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Ex1.xml" ContentType="application/vnd.ms-office.chartex+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pivotTables/pivotTable6.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Ex3.xml" ContentType="application/vnd.ms-office.chartex+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Ex4.xml" ContentType="application/vnd.ms-office.chartex+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hidePivotFieldList="1" defaultThemeVersion="202300"/>
  <mc:AlternateContent xmlns:mc="http://schemas.openxmlformats.org/markup-compatibility/2006">
    <mc:Choice Requires="x15">
      <x15ac:absPath xmlns:x15ac="http://schemas.microsoft.com/office/spreadsheetml/2010/11/ac" url="https://d.docs.live.net/362378ef944501d1/Documents/"/>
    </mc:Choice>
  </mc:AlternateContent>
  <xr:revisionPtr revIDLastSave="2" documentId="8_{391AC230-0D1A-46ED-8679-0894C83D518E}" xr6:coauthVersionLast="47" xr6:coauthVersionMax="47" xr10:uidLastSave="{D49E64C5-1FFE-4661-A9A0-CCD42252281E}"/>
  <workbookProtection workbookAlgorithmName="SHA-512" workbookHashValue="rCdQArz7Bhsy6SvmUXpHC65VJz/k2zvU+6XwORUCecu14CYsby9xVU2wHgcxcL1BGlnzkrD5c2raB5BGCa1ucQ==" workbookSaltValue="AGdDZEoq/1mkYdPLXBWtKg==" workbookSpinCount="100000" lockStructure="1"/>
  <bookViews>
    <workbookView xWindow="-108" yWindow="-108" windowWidth="23256" windowHeight="12456" firstSheet="1" activeTab="6" xr2:uid="{EBF7772F-49A2-4C95-9FE9-755CDBE6775F}"/>
  </bookViews>
  <sheets>
    <sheet name="PROFIT GAINED" sheetId="4" r:id="rId1"/>
    <sheet name="MONTHLY  SALES" sheetId="5" r:id="rId2"/>
    <sheet name="TOP 5 CUSTOMERS" sheetId="6" r:id="rId3"/>
    <sheet name="SALES BY STATE" sheetId="7" r:id="rId4"/>
    <sheet name="sales data" sheetId="1" r:id="rId5"/>
    <sheet name="Sheet7" sheetId="8" r:id="rId6"/>
    <sheet name="Sheet8" sheetId="9" r:id="rId7"/>
    <sheet name="SALES BY CATEGORY" sheetId="3" r:id="rId8"/>
  </sheets>
  <definedNames>
    <definedName name="_xlchart.v2.10" hidden="1">'SALES BY CATEGORY'!$D$4:$D$20</definedName>
    <definedName name="_xlchart.v2.11" hidden="1">'SALES BY CATEGORY'!$E$4:$E$20</definedName>
    <definedName name="_xlchart.v2.4" hidden="1">'SALES BY CATEGORY'!$D$4:$D$20</definedName>
    <definedName name="_xlchart.v2.5" hidden="1">'SALES BY CATEGORY'!$E$4:$E$20</definedName>
    <definedName name="_xlchart.v5.0" hidden="1">'SALES BY STATE'!$D$3</definedName>
    <definedName name="_xlchart.v5.1" hidden="1">'SALES BY STATE'!$D$4:$D$48</definedName>
    <definedName name="_xlchart.v5.2" hidden="1">'SALES BY STATE'!$E$3</definedName>
    <definedName name="_xlchart.v5.3" hidden="1">'SALES BY STATE'!$E$4:$E$48</definedName>
    <definedName name="_xlchart.v5.6" hidden="1">'SALES BY STATE'!$D$3</definedName>
    <definedName name="_xlchart.v5.7" hidden="1">'SALES BY STATE'!$D$4:$D$48</definedName>
    <definedName name="_xlchart.v5.8" hidden="1">'SALES BY STATE'!$E$3</definedName>
    <definedName name="_xlchart.v5.9" hidden="1">'SALES BY STATE'!$E$4:$E$48</definedName>
    <definedName name="Slicer_Category">#N/A</definedName>
    <definedName name="Slicer_Year">#N/A</definedName>
  </definedNames>
  <calcPr calcId="191029"/>
  <pivotCaches>
    <pivotCache cacheId="0" r:id="rId9"/>
    <pivotCache cacheId="1" r:id="rId10"/>
    <pivotCache cacheId="2"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851" i="8" l="1"/>
  <c r="A1850" i="8"/>
  <c r="A1849" i="8"/>
  <c r="A1848" i="8"/>
  <c r="A1847" i="8"/>
  <c r="A1846" i="8"/>
  <c r="A1845" i="8"/>
  <c r="A1844" i="8"/>
  <c r="A1843" i="8"/>
  <c r="A1842" i="8"/>
  <c r="A1841" i="8"/>
  <c r="A1840" i="8"/>
  <c r="A1839" i="8"/>
  <c r="A1838" i="8"/>
  <c r="A1837" i="8"/>
  <c r="A1836" i="8"/>
  <c r="A1835" i="8"/>
  <c r="A1834" i="8"/>
  <c r="A1833" i="8"/>
  <c r="A1832" i="8"/>
  <c r="A1831" i="8"/>
  <c r="A1830" i="8"/>
  <c r="A1829" i="8"/>
  <c r="A1828" i="8"/>
  <c r="A1827" i="8"/>
  <c r="A1826" i="8"/>
  <c r="A1825" i="8"/>
  <c r="A1824" i="8"/>
  <c r="A1823" i="8"/>
  <c r="A1822" i="8"/>
  <c r="A1821" i="8"/>
  <c r="A1820" i="8"/>
  <c r="A1819" i="8"/>
  <c r="A1818" i="8"/>
  <c r="A1817" i="8"/>
  <c r="A1816" i="8"/>
  <c r="A1815" i="8"/>
  <c r="A1814" i="8"/>
  <c r="A1813" i="8"/>
  <c r="A1812" i="8"/>
  <c r="A1811" i="8"/>
  <c r="A1810" i="8"/>
  <c r="A1809" i="8"/>
  <c r="A1808" i="8"/>
  <c r="A1807" i="8"/>
  <c r="A1806" i="8"/>
  <c r="A1805" i="8"/>
  <c r="A1804" i="8"/>
  <c r="A1803" i="8"/>
  <c r="A1802" i="8"/>
  <c r="A1801" i="8"/>
  <c r="A1800" i="8"/>
  <c r="A1799" i="8"/>
  <c r="A1798" i="8"/>
  <c r="A1797" i="8"/>
  <c r="A1796" i="8"/>
  <c r="A1795" i="8"/>
  <c r="A1794" i="8"/>
  <c r="A1793" i="8"/>
  <c r="A1792" i="8"/>
  <c r="A1791" i="8"/>
  <c r="A1790" i="8"/>
  <c r="A1789" i="8"/>
  <c r="A1788" i="8"/>
  <c r="A1787" i="8"/>
  <c r="A1786" i="8"/>
  <c r="A1785" i="8"/>
  <c r="A1784" i="8"/>
  <c r="A1783" i="8"/>
  <c r="A1782" i="8"/>
  <c r="A1781" i="8"/>
  <c r="A1780" i="8"/>
  <c r="A1779" i="8"/>
  <c r="A1778" i="8"/>
  <c r="A1777" i="8"/>
  <c r="A1776" i="8"/>
  <c r="A1775" i="8"/>
  <c r="A1774" i="8"/>
  <c r="A1773" i="8"/>
  <c r="A1772" i="8"/>
  <c r="A1771" i="8"/>
  <c r="A1770" i="8"/>
  <c r="A1769" i="8"/>
  <c r="A1768" i="8"/>
  <c r="A1767" i="8"/>
  <c r="A1766" i="8"/>
  <c r="A1765" i="8"/>
  <c r="A1764" i="8"/>
  <c r="A1763" i="8"/>
  <c r="A1762" i="8"/>
  <c r="A1761" i="8"/>
  <c r="A1760" i="8"/>
  <c r="A1759" i="8"/>
  <c r="A1758" i="8"/>
  <c r="A1757" i="8"/>
  <c r="A1756" i="8"/>
  <c r="A1755" i="8"/>
  <c r="A1754" i="8"/>
  <c r="A1753" i="8"/>
  <c r="A1752" i="8"/>
  <c r="A1751" i="8"/>
  <c r="A1750" i="8"/>
  <c r="A1749" i="8"/>
  <c r="A1748" i="8"/>
  <c r="A1747" i="8"/>
  <c r="A1746" i="8"/>
  <c r="A1745" i="8"/>
  <c r="A1744" i="8"/>
  <c r="A1743" i="8"/>
  <c r="A1742" i="8"/>
  <c r="A1741" i="8"/>
  <c r="A1740" i="8"/>
  <c r="A1739" i="8"/>
  <c r="A1738" i="8"/>
  <c r="A1737" i="8"/>
  <c r="A1736" i="8"/>
  <c r="A1735" i="8"/>
  <c r="A1734" i="8"/>
  <c r="A1733" i="8"/>
  <c r="A1732" i="8"/>
  <c r="A1731" i="8"/>
  <c r="A1730" i="8"/>
  <c r="A1729" i="8"/>
  <c r="A1728" i="8"/>
  <c r="A1727" i="8"/>
  <c r="A1726" i="8"/>
  <c r="A1725" i="8"/>
  <c r="A1724" i="8"/>
  <c r="A1723" i="8"/>
  <c r="A1722" i="8"/>
  <c r="A1721" i="8"/>
  <c r="A1720" i="8"/>
  <c r="A1719" i="8"/>
  <c r="A1718" i="8"/>
  <c r="A1717" i="8"/>
  <c r="A1716" i="8"/>
  <c r="A1715" i="8"/>
  <c r="A1714" i="8"/>
  <c r="A1713" i="8"/>
  <c r="A1712" i="8"/>
  <c r="A1711" i="8"/>
  <c r="A1710" i="8"/>
  <c r="A1709" i="8"/>
  <c r="A1708" i="8"/>
  <c r="A1707" i="8"/>
  <c r="A1706" i="8"/>
  <c r="A1705" i="8"/>
  <c r="A1704" i="8"/>
  <c r="A1703" i="8"/>
  <c r="A1702" i="8"/>
  <c r="A1701" i="8"/>
  <c r="A1700" i="8"/>
  <c r="A1699" i="8"/>
  <c r="A1698" i="8"/>
  <c r="A1697" i="8"/>
  <c r="A1696" i="8"/>
  <c r="A1695" i="8"/>
  <c r="A1694" i="8"/>
  <c r="A1693" i="8"/>
  <c r="A1692" i="8"/>
  <c r="A1691" i="8"/>
  <c r="A1690" i="8"/>
  <c r="A1689" i="8"/>
  <c r="A1688" i="8"/>
  <c r="A1687" i="8"/>
  <c r="A1686" i="8"/>
  <c r="A1685" i="8"/>
  <c r="A1684" i="8"/>
  <c r="A1683" i="8"/>
  <c r="A1682" i="8"/>
  <c r="A1681" i="8"/>
  <c r="A1680" i="8"/>
  <c r="A1679" i="8"/>
  <c r="A1678" i="8"/>
  <c r="A1677" i="8"/>
  <c r="A1676" i="8"/>
  <c r="A1675" i="8"/>
  <c r="A1674" i="8"/>
  <c r="A1673" i="8"/>
  <c r="A1672" i="8"/>
  <c r="A1671" i="8"/>
  <c r="A1670" i="8"/>
  <c r="A1669" i="8"/>
  <c r="A1668" i="8"/>
  <c r="A1667" i="8"/>
  <c r="A1666" i="8"/>
  <c r="A1665" i="8"/>
  <c r="A1664" i="8"/>
  <c r="A1663" i="8"/>
  <c r="A1662" i="8"/>
  <c r="A1661" i="8"/>
  <c r="A1660" i="8"/>
  <c r="A1659" i="8"/>
  <c r="A1658" i="8"/>
  <c r="A1657" i="8"/>
  <c r="A1656" i="8"/>
  <c r="A1655" i="8"/>
  <c r="A1654" i="8"/>
  <c r="A1653" i="8"/>
  <c r="A1652" i="8"/>
  <c r="A1651" i="8"/>
  <c r="A1650" i="8"/>
  <c r="A1649" i="8"/>
  <c r="A1648" i="8"/>
  <c r="A1647" i="8"/>
  <c r="A1646" i="8"/>
  <c r="A1645" i="8"/>
  <c r="A1644" i="8"/>
  <c r="A1643" i="8"/>
  <c r="A1642" i="8"/>
  <c r="A1641" i="8"/>
  <c r="A1640" i="8"/>
  <c r="A1639" i="8"/>
  <c r="A1638" i="8"/>
  <c r="A1637" i="8"/>
  <c r="A1636" i="8"/>
  <c r="A1635" i="8"/>
  <c r="A1634" i="8"/>
  <c r="A1633" i="8"/>
  <c r="A1632" i="8"/>
  <c r="A1631" i="8"/>
  <c r="A1630" i="8"/>
  <c r="A1629" i="8"/>
  <c r="A1628" i="8"/>
  <c r="A1627" i="8"/>
  <c r="A1626" i="8"/>
  <c r="A1625" i="8"/>
  <c r="A1624" i="8"/>
  <c r="A1623" i="8"/>
  <c r="A1622" i="8"/>
  <c r="A1621" i="8"/>
  <c r="A1620" i="8"/>
  <c r="A1619" i="8"/>
  <c r="A1618" i="8"/>
  <c r="A1617" i="8"/>
  <c r="A1616" i="8"/>
  <c r="A1615" i="8"/>
  <c r="A1614" i="8"/>
  <c r="A1613" i="8"/>
  <c r="A1612" i="8"/>
  <c r="A1611" i="8"/>
  <c r="A1610" i="8"/>
  <c r="A1609" i="8"/>
  <c r="A1608" i="8"/>
  <c r="A1607" i="8"/>
  <c r="A1606" i="8"/>
  <c r="A1605" i="8"/>
  <c r="A1604" i="8"/>
  <c r="A1603" i="8"/>
  <c r="A1602" i="8"/>
  <c r="A1601" i="8"/>
  <c r="A1600" i="8"/>
  <c r="A1599" i="8"/>
  <c r="A1598" i="8"/>
  <c r="A1597" i="8"/>
  <c r="A1596" i="8"/>
  <c r="A1595" i="8"/>
  <c r="A1594" i="8"/>
  <c r="A1593" i="8"/>
  <c r="A1592" i="8"/>
  <c r="A1591" i="8"/>
  <c r="A1590" i="8"/>
  <c r="A1589" i="8"/>
  <c r="A1588" i="8"/>
  <c r="A1587" i="8"/>
  <c r="A1586" i="8"/>
  <c r="A1585" i="8"/>
  <c r="A1584" i="8"/>
  <c r="A1583" i="8"/>
  <c r="A1582" i="8"/>
  <c r="A1581" i="8"/>
  <c r="A1580" i="8"/>
  <c r="A1579" i="8"/>
  <c r="A1578" i="8"/>
  <c r="A1577" i="8"/>
  <c r="A1576" i="8"/>
  <c r="A1575" i="8"/>
  <c r="A1574" i="8"/>
  <c r="A1573" i="8"/>
  <c r="A1572" i="8"/>
  <c r="A1571" i="8"/>
  <c r="A1570" i="8"/>
  <c r="A1569" i="8"/>
  <c r="A1568" i="8"/>
  <c r="A1567" i="8"/>
  <c r="A1566" i="8"/>
  <c r="A1565" i="8"/>
  <c r="A1564" i="8"/>
  <c r="A1563" i="8"/>
  <c r="A1562" i="8"/>
  <c r="A1561" i="8"/>
  <c r="A1560" i="8"/>
  <c r="A1559" i="8"/>
  <c r="A1558" i="8"/>
  <c r="A1557" i="8"/>
  <c r="A1556" i="8"/>
  <c r="A1555" i="8"/>
  <c r="A1554" i="8"/>
  <c r="A1553" i="8"/>
  <c r="A1552" i="8"/>
  <c r="A1551" i="8"/>
  <c r="A1550" i="8"/>
  <c r="A1549" i="8"/>
  <c r="A1548" i="8"/>
  <c r="A1547" i="8"/>
  <c r="A1546" i="8"/>
  <c r="A1545" i="8"/>
  <c r="A1544" i="8"/>
  <c r="A1543" i="8"/>
  <c r="A1542" i="8"/>
  <c r="A1541" i="8"/>
  <c r="A1540" i="8"/>
  <c r="A1539" i="8"/>
  <c r="A1538" i="8"/>
  <c r="A1537" i="8"/>
  <c r="A1536" i="8"/>
  <c r="A1535" i="8"/>
  <c r="A1534" i="8"/>
  <c r="A1533" i="8"/>
  <c r="A1532" i="8"/>
  <c r="A1531" i="8"/>
  <c r="A1530" i="8"/>
  <c r="A1529" i="8"/>
  <c r="A1528" i="8"/>
  <c r="A1527" i="8"/>
  <c r="A1526" i="8"/>
  <c r="A1525" i="8"/>
  <c r="A1524" i="8"/>
  <c r="A1523" i="8"/>
  <c r="A1522" i="8"/>
  <c r="A1521" i="8"/>
  <c r="A1520" i="8"/>
  <c r="A1519" i="8"/>
  <c r="A1518" i="8"/>
  <c r="A1517" i="8"/>
  <c r="A1516" i="8"/>
  <c r="A1515" i="8"/>
  <c r="A1514" i="8"/>
  <c r="A1513" i="8"/>
  <c r="A1512" i="8"/>
  <c r="A1511" i="8"/>
  <c r="A1510" i="8"/>
  <c r="A1509" i="8"/>
  <c r="A1508" i="8"/>
  <c r="A1507" i="8"/>
  <c r="A1506" i="8"/>
  <c r="A1505" i="8"/>
  <c r="A1504" i="8"/>
  <c r="A1503" i="8"/>
  <c r="A1502" i="8"/>
  <c r="A1501" i="8"/>
  <c r="A1500" i="8"/>
  <c r="A1499" i="8"/>
  <c r="A1498" i="8"/>
  <c r="A1497" i="8"/>
  <c r="A1496" i="8"/>
  <c r="A1495" i="8"/>
  <c r="A1494" i="8"/>
  <c r="A1493" i="8"/>
  <c r="A1492" i="8"/>
  <c r="A1491" i="8"/>
  <c r="A1490" i="8"/>
  <c r="A1489" i="8"/>
  <c r="A1488" i="8"/>
  <c r="A1487" i="8"/>
  <c r="A1486" i="8"/>
  <c r="A1485" i="8"/>
  <c r="A1484" i="8"/>
  <c r="A1483" i="8"/>
  <c r="A1482" i="8"/>
  <c r="A1481" i="8"/>
  <c r="A1480" i="8"/>
  <c r="A1479" i="8"/>
  <c r="A1478" i="8"/>
  <c r="A1477" i="8"/>
  <c r="A1476" i="8"/>
  <c r="A1475" i="8"/>
  <c r="A1474" i="8"/>
  <c r="A1473" i="8"/>
  <c r="A1472" i="8"/>
  <c r="A1471" i="8"/>
  <c r="A1470" i="8"/>
  <c r="A1469" i="8"/>
  <c r="A1468" i="8"/>
  <c r="A1467" i="8"/>
  <c r="A1466" i="8"/>
  <c r="A1465" i="8"/>
  <c r="A1464" i="8"/>
  <c r="A1463" i="8"/>
  <c r="A1462" i="8"/>
  <c r="A1461" i="8"/>
  <c r="A1460" i="8"/>
  <c r="A1459" i="8"/>
  <c r="A1458" i="8"/>
  <c r="A1457" i="8"/>
  <c r="A1456" i="8"/>
  <c r="A1455" i="8"/>
  <c r="A1454" i="8"/>
  <c r="A1453" i="8"/>
  <c r="A1452" i="8"/>
  <c r="A1451" i="8"/>
  <c r="A1450" i="8"/>
  <c r="A1449" i="8"/>
  <c r="A1448" i="8"/>
  <c r="A1447" i="8"/>
  <c r="A1446" i="8"/>
  <c r="A1445" i="8"/>
  <c r="A1444" i="8"/>
  <c r="A1443" i="8"/>
  <c r="A1442" i="8"/>
  <c r="A1441" i="8"/>
  <c r="A1440" i="8"/>
  <c r="A1439" i="8"/>
  <c r="A1438" i="8"/>
  <c r="A1437" i="8"/>
  <c r="A1436" i="8"/>
  <c r="A1435" i="8"/>
  <c r="A1434" i="8"/>
  <c r="A1433" i="8"/>
  <c r="A1432" i="8"/>
  <c r="A1431" i="8"/>
  <c r="A1430" i="8"/>
  <c r="A1429" i="8"/>
  <c r="A1428" i="8"/>
  <c r="A1427" i="8"/>
  <c r="A1426" i="8"/>
  <c r="A1425" i="8"/>
  <c r="A1424" i="8"/>
  <c r="A1423" i="8"/>
  <c r="A1422" i="8"/>
  <c r="A1421" i="8"/>
  <c r="A1420" i="8"/>
  <c r="A1419" i="8"/>
  <c r="A1418" i="8"/>
  <c r="A1417" i="8"/>
  <c r="A1416" i="8"/>
  <c r="A1415" i="8"/>
  <c r="A1414" i="8"/>
  <c r="A1413" i="8"/>
  <c r="A1412" i="8"/>
  <c r="A1411" i="8"/>
  <c r="A1410" i="8"/>
  <c r="A1409" i="8"/>
  <c r="A1408" i="8"/>
  <c r="A1407" i="8"/>
  <c r="A1406" i="8"/>
  <c r="A1405" i="8"/>
  <c r="A1404" i="8"/>
  <c r="A1403" i="8"/>
  <c r="A1402" i="8"/>
  <c r="A1401" i="8"/>
  <c r="A1400" i="8"/>
  <c r="A1399" i="8"/>
  <c r="A1398" i="8"/>
  <c r="A1397" i="8"/>
  <c r="A1396" i="8"/>
  <c r="A1395" i="8"/>
  <c r="A1394" i="8"/>
  <c r="A1393" i="8"/>
  <c r="A1392" i="8"/>
  <c r="A1391" i="8"/>
  <c r="A1390" i="8"/>
  <c r="A1389" i="8"/>
  <c r="A1388" i="8"/>
  <c r="A1387" i="8"/>
  <c r="A1386" i="8"/>
  <c r="A1385" i="8"/>
  <c r="A1384" i="8"/>
  <c r="A1383" i="8"/>
  <c r="A1382" i="8"/>
  <c r="A1381" i="8"/>
  <c r="A1380" i="8"/>
  <c r="A1379" i="8"/>
  <c r="A1378" i="8"/>
  <c r="A1377" i="8"/>
  <c r="A1376" i="8"/>
  <c r="A1375" i="8"/>
  <c r="A1374" i="8"/>
  <c r="A1373" i="8"/>
  <c r="A1372" i="8"/>
  <c r="A1371" i="8"/>
  <c r="A1370" i="8"/>
  <c r="A1369" i="8"/>
  <c r="A1368" i="8"/>
  <c r="A1367" i="8"/>
  <c r="A1366" i="8"/>
  <c r="A1365" i="8"/>
  <c r="A1364" i="8"/>
  <c r="A1363" i="8"/>
  <c r="A1362" i="8"/>
  <c r="A1361" i="8"/>
  <c r="A1360" i="8"/>
  <c r="A1359" i="8"/>
  <c r="A1358" i="8"/>
  <c r="A1357" i="8"/>
  <c r="A1356" i="8"/>
  <c r="A1355" i="8"/>
  <c r="A1354" i="8"/>
  <c r="A1353" i="8"/>
  <c r="A1352" i="8"/>
  <c r="A1351" i="8"/>
  <c r="A1350" i="8"/>
  <c r="A1349" i="8"/>
  <c r="A1348" i="8"/>
  <c r="A1347" i="8"/>
  <c r="A1346" i="8"/>
  <c r="A1345" i="8"/>
  <c r="A1344" i="8"/>
  <c r="A1343" i="8"/>
  <c r="A1342" i="8"/>
  <c r="A1341" i="8"/>
  <c r="A1340" i="8"/>
  <c r="A1339" i="8"/>
  <c r="A1338" i="8"/>
  <c r="A1337" i="8"/>
  <c r="A1336" i="8"/>
  <c r="A1335" i="8"/>
  <c r="A1334" i="8"/>
  <c r="A1333" i="8"/>
  <c r="A1332" i="8"/>
  <c r="A1331" i="8"/>
  <c r="A1330" i="8"/>
  <c r="A1329" i="8"/>
  <c r="A1328" i="8"/>
  <c r="A1327" i="8"/>
  <c r="A1326" i="8"/>
  <c r="A1325" i="8"/>
  <c r="A1324" i="8"/>
  <c r="A1323" i="8"/>
  <c r="A1322" i="8"/>
  <c r="A1321" i="8"/>
  <c r="A1320" i="8"/>
  <c r="A1319" i="8"/>
  <c r="A1318" i="8"/>
  <c r="A1317" i="8"/>
  <c r="A1316" i="8"/>
  <c r="A1315" i="8"/>
  <c r="A1314" i="8"/>
  <c r="A1313" i="8"/>
  <c r="A1312" i="8"/>
  <c r="A1311" i="8"/>
  <c r="A1310" i="8"/>
  <c r="A1309" i="8"/>
  <c r="A1308" i="8"/>
  <c r="A1307" i="8"/>
  <c r="A1306" i="8"/>
  <c r="A1305" i="8"/>
  <c r="A1304" i="8"/>
  <c r="A1303" i="8"/>
  <c r="A1302" i="8"/>
  <c r="A1301" i="8"/>
  <c r="A1300" i="8"/>
  <c r="A1299" i="8"/>
  <c r="A1298" i="8"/>
  <c r="A1297" i="8"/>
  <c r="A1296" i="8"/>
  <c r="A1295" i="8"/>
  <c r="A1294" i="8"/>
  <c r="A1293" i="8"/>
  <c r="A1292" i="8"/>
  <c r="A1291" i="8"/>
  <c r="A1290" i="8"/>
  <c r="A1289" i="8"/>
  <c r="A1288" i="8"/>
  <c r="A1287" i="8"/>
  <c r="A1286" i="8"/>
  <c r="A1285" i="8"/>
  <c r="A1284" i="8"/>
  <c r="A1283" i="8"/>
  <c r="A1282" i="8"/>
  <c r="A1281" i="8"/>
  <c r="A1280" i="8"/>
  <c r="A1279" i="8"/>
  <c r="A1278" i="8"/>
  <c r="A1277" i="8"/>
  <c r="A1276" i="8"/>
  <c r="A1275" i="8"/>
  <c r="A1274" i="8"/>
  <c r="A1273" i="8"/>
  <c r="A1272" i="8"/>
  <c r="A1271" i="8"/>
  <c r="A1270" i="8"/>
  <c r="A1269" i="8"/>
  <c r="A1268" i="8"/>
  <c r="A1267" i="8"/>
  <c r="A1266" i="8"/>
  <c r="A1265" i="8"/>
  <c r="A1264" i="8"/>
  <c r="A1263" i="8"/>
  <c r="A1262" i="8"/>
  <c r="A1261" i="8"/>
  <c r="A1260" i="8"/>
  <c r="A1259" i="8"/>
  <c r="A1258" i="8"/>
  <c r="A1257" i="8"/>
  <c r="A1256" i="8"/>
  <c r="A1255" i="8"/>
  <c r="A1254" i="8"/>
  <c r="A1253" i="8"/>
  <c r="A1252" i="8"/>
  <c r="A1251" i="8"/>
  <c r="A1250" i="8"/>
  <c r="A1249" i="8"/>
  <c r="A1248" i="8"/>
  <c r="A1247" i="8"/>
  <c r="A1246" i="8"/>
  <c r="A1245" i="8"/>
  <c r="A1244" i="8"/>
  <c r="A1243" i="8"/>
  <c r="A1242" i="8"/>
  <c r="A1241" i="8"/>
  <c r="A1240" i="8"/>
  <c r="A1239" i="8"/>
  <c r="A1238" i="8"/>
  <c r="A1237" i="8"/>
  <c r="A1236" i="8"/>
  <c r="A1235" i="8"/>
  <c r="A1234" i="8"/>
  <c r="A1233" i="8"/>
  <c r="A1232" i="8"/>
  <c r="A1231" i="8"/>
  <c r="A1230" i="8"/>
  <c r="A1229" i="8"/>
  <c r="A1228" i="8"/>
  <c r="A1227" i="8"/>
  <c r="A1226" i="8"/>
  <c r="A1225" i="8"/>
  <c r="A1224" i="8"/>
  <c r="A1223" i="8"/>
  <c r="A1222" i="8"/>
  <c r="A1221" i="8"/>
  <c r="A1220" i="8"/>
  <c r="A1219" i="8"/>
  <c r="A1218" i="8"/>
  <c r="A1217" i="8"/>
  <c r="A1216" i="8"/>
  <c r="A1215" i="8"/>
  <c r="A1214" i="8"/>
  <c r="A1213" i="8"/>
  <c r="A1212" i="8"/>
  <c r="A1211" i="8"/>
  <c r="A1210" i="8"/>
  <c r="A1209" i="8"/>
  <c r="A1208" i="8"/>
  <c r="A1207" i="8"/>
  <c r="A1206" i="8"/>
  <c r="A1205" i="8"/>
  <c r="A1204" i="8"/>
  <c r="A1203" i="8"/>
  <c r="A1202" i="8"/>
  <c r="A1201" i="8"/>
  <c r="A1200" i="8"/>
  <c r="A1199" i="8"/>
  <c r="A1198" i="8"/>
  <c r="A1197" i="8"/>
  <c r="A1196" i="8"/>
  <c r="A1195" i="8"/>
  <c r="A1194" i="8"/>
  <c r="A1193" i="8"/>
  <c r="A1192" i="8"/>
  <c r="A1191" i="8"/>
  <c r="A1190" i="8"/>
  <c r="A1189" i="8"/>
  <c r="A1188" i="8"/>
  <c r="A1187" i="8"/>
  <c r="A1186" i="8"/>
  <c r="A1185" i="8"/>
  <c r="A1184" i="8"/>
  <c r="A1183" i="8"/>
  <c r="A1182" i="8"/>
  <c r="A1181" i="8"/>
  <c r="A1180" i="8"/>
  <c r="A1179" i="8"/>
  <c r="A1178" i="8"/>
  <c r="A1177" i="8"/>
  <c r="A1176" i="8"/>
  <c r="A1175" i="8"/>
  <c r="A1174" i="8"/>
  <c r="A1173" i="8"/>
  <c r="A1172" i="8"/>
  <c r="A1171" i="8"/>
  <c r="A1170" i="8"/>
  <c r="A1169" i="8"/>
  <c r="A1168" i="8"/>
  <c r="A1167" i="8"/>
  <c r="A1166" i="8"/>
  <c r="A1165" i="8"/>
  <c r="A1164" i="8"/>
  <c r="A1163" i="8"/>
  <c r="A1162" i="8"/>
  <c r="A1161" i="8"/>
  <c r="A1160" i="8"/>
  <c r="A1159" i="8"/>
  <c r="A1158" i="8"/>
  <c r="A1157" i="8"/>
  <c r="A1156" i="8"/>
  <c r="A1155" i="8"/>
  <c r="A1154" i="8"/>
  <c r="A1153" i="8"/>
  <c r="A1152" i="8"/>
  <c r="A1151" i="8"/>
  <c r="A1150" i="8"/>
  <c r="A1149" i="8"/>
  <c r="A1148" i="8"/>
  <c r="A1147" i="8"/>
  <c r="A1146" i="8"/>
  <c r="A1145" i="8"/>
  <c r="A1144" i="8"/>
  <c r="A1143" i="8"/>
  <c r="A1142" i="8"/>
  <c r="A1141" i="8"/>
  <c r="A1140" i="8"/>
  <c r="A1139" i="8"/>
  <c r="A1138" i="8"/>
  <c r="A1137" i="8"/>
  <c r="A1136" i="8"/>
  <c r="A1135" i="8"/>
  <c r="A1134" i="8"/>
  <c r="A1133" i="8"/>
  <c r="A1132" i="8"/>
  <c r="A1131" i="8"/>
  <c r="A1130" i="8"/>
  <c r="A1129" i="8"/>
  <c r="A1128" i="8"/>
  <c r="A1127" i="8"/>
  <c r="A1126" i="8"/>
  <c r="A1125" i="8"/>
  <c r="A1124" i="8"/>
  <c r="A1123" i="8"/>
  <c r="A1122" i="8"/>
  <c r="A1121" i="8"/>
  <c r="A1120" i="8"/>
  <c r="A1119" i="8"/>
  <c r="A1118" i="8"/>
  <c r="A1117" i="8"/>
  <c r="A1116" i="8"/>
  <c r="A1115" i="8"/>
  <c r="A1114" i="8"/>
  <c r="A1113" i="8"/>
  <c r="A1112" i="8"/>
  <c r="A1111" i="8"/>
  <c r="A1110" i="8"/>
  <c r="A1109" i="8"/>
  <c r="A1108" i="8"/>
  <c r="A1107" i="8"/>
  <c r="A1106" i="8"/>
  <c r="A1105" i="8"/>
  <c r="A1104" i="8"/>
  <c r="A1103" i="8"/>
  <c r="A1102" i="8"/>
  <c r="A1101" i="8"/>
  <c r="A1100" i="8"/>
  <c r="A1099" i="8"/>
  <c r="A1098" i="8"/>
  <c r="A1097" i="8"/>
  <c r="A1096" i="8"/>
  <c r="A1095" i="8"/>
  <c r="A1094" i="8"/>
  <c r="A1093" i="8"/>
  <c r="A1092" i="8"/>
  <c r="A1091" i="8"/>
  <c r="A1090" i="8"/>
  <c r="A1089" i="8"/>
  <c r="A1088" i="8"/>
  <c r="A1087" i="8"/>
  <c r="A1086" i="8"/>
  <c r="A1085" i="8"/>
  <c r="A1084" i="8"/>
  <c r="A1083" i="8"/>
  <c r="A1082" i="8"/>
  <c r="A1081" i="8"/>
  <c r="A1080" i="8"/>
  <c r="A1079" i="8"/>
  <c r="A1078" i="8"/>
  <c r="A1077" i="8"/>
  <c r="A1076" i="8"/>
  <c r="A1075" i="8"/>
  <c r="A1074" i="8"/>
  <c r="A1073" i="8"/>
  <c r="A1072" i="8"/>
  <c r="A1071" i="8"/>
  <c r="A1070" i="8"/>
  <c r="A1069" i="8"/>
  <c r="A1068" i="8"/>
  <c r="A1067" i="8"/>
  <c r="A1066" i="8"/>
  <c r="A1065" i="8"/>
  <c r="A1064" i="8"/>
  <c r="A1063" i="8"/>
  <c r="A1062" i="8"/>
  <c r="A1061" i="8"/>
  <c r="A1060" i="8"/>
  <c r="A1059" i="8"/>
  <c r="A1058" i="8"/>
  <c r="A1057" i="8"/>
  <c r="A1056" i="8"/>
  <c r="A1055" i="8"/>
  <c r="A1054" i="8"/>
  <c r="A1053" i="8"/>
  <c r="A1052" i="8"/>
  <c r="A1051" i="8"/>
  <c r="A1050" i="8"/>
  <c r="A1049" i="8"/>
  <c r="A1048" i="8"/>
  <c r="A1047" i="8"/>
  <c r="A1046" i="8"/>
  <c r="A1045" i="8"/>
  <c r="A1044" i="8"/>
  <c r="A1043" i="8"/>
  <c r="A1042" i="8"/>
  <c r="A1041" i="8"/>
  <c r="A1040" i="8"/>
  <c r="A1039" i="8"/>
  <c r="A1038" i="8"/>
  <c r="A1037" i="8"/>
  <c r="A1036" i="8"/>
  <c r="A1035" i="8"/>
  <c r="A1034" i="8"/>
  <c r="A1033" i="8"/>
  <c r="A1032" i="8"/>
  <c r="A1031" i="8"/>
  <c r="A1030" i="8"/>
  <c r="A1029" i="8"/>
  <c r="A1028" i="8"/>
  <c r="A1027" i="8"/>
  <c r="A1026" i="8"/>
  <c r="A1025" i="8"/>
  <c r="A1024" i="8"/>
  <c r="A1023" i="8"/>
  <c r="A1022" i="8"/>
  <c r="A1021" i="8"/>
  <c r="A1020" i="8"/>
  <c r="A1019" i="8"/>
  <c r="A1018" i="8"/>
  <c r="A1017" i="8"/>
  <c r="A1016" i="8"/>
  <c r="A1015" i="8"/>
  <c r="A1014" i="8"/>
  <c r="A1013" i="8"/>
  <c r="A1012" i="8"/>
  <c r="A1011" i="8"/>
  <c r="A1010" i="8"/>
  <c r="A1009" i="8"/>
  <c r="A1008" i="8"/>
  <c r="A1007" i="8"/>
  <c r="A1006" i="8"/>
  <c r="A1005" i="8"/>
  <c r="A1004" i="8"/>
  <c r="A1003" i="8"/>
  <c r="A1002" i="8"/>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1" i="8"/>
  <c r="A10" i="8"/>
  <c r="A9" i="8"/>
  <c r="A8" i="8"/>
  <c r="A7" i="8"/>
  <c r="A6" i="8"/>
  <c r="A5" i="8"/>
  <c r="A4" i="8"/>
  <c r="A3" i="8"/>
  <c r="A2" i="8"/>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E4" i="7"/>
  <c r="D4" i="7"/>
  <c r="D5" i="6"/>
  <c r="D6" i="6"/>
  <c r="D7" i="6"/>
  <c r="D8" i="6"/>
  <c r="D4" i="6"/>
  <c r="C5" i="6"/>
  <c r="C6" i="6"/>
  <c r="C7" i="6"/>
  <c r="C8" i="6"/>
  <c r="C4" i="6"/>
  <c r="B1610" i="1"/>
  <c r="E5" i="3"/>
  <c r="E6" i="3"/>
  <c r="E7" i="3"/>
  <c r="E8" i="3"/>
  <c r="E9" i="3"/>
  <c r="E10" i="3"/>
  <c r="E11" i="3"/>
  <c r="E12" i="3"/>
  <c r="E13" i="3"/>
  <c r="E14" i="3"/>
  <c r="E15" i="3"/>
  <c r="E16" i="3"/>
  <c r="E17" i="3"/>
  <c r="E18" i="3"/>
  <c r="E19" i="3"/>
  <c r="E20" i="3"/>
  <c r="E4" i="3"/>
  <c r="D5" i="3"/>
  <c r="D6" i="3"/>
  <c r="D7" i="3"/>
  <c r="D8" i="3"/>
  <c r="D9" i="3"/>
  <c r="D10" i="3"/>
  <c r="D11" i="3"/>
  <c r="D12" i="3"/>
  <c r="D13" i="3"/>
  <c r="D14" i="3"/>
  <c r="D15" i="3"/>
  <c r="D16" i="3"/>
  <c r="D17" i="3"/>
  <c r="D18" i="3"/>
  <c r="D19" i="3"/>
  <c r="D20" i="3"/>
  <c r="D4" i="3"/>
  <c r="B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alcChain>
</file>

<file path=xl/sharedStrings.xml><?xml version="1.0" encoding="utf-8"?>
<sst xmlns="http://schemas.openxmlformats.org/spreadsheetml/2006/main" count="12037" uniqueCount="2754">
  <si>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</si>
  <si>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</si>
  <si>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</si>
  <si>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</si>
  <si>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</si>
  <si>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</si>
  <si>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</si>
  <si>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</si>
  <si>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</si>
  <si>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</si>
  <si>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</si>
  <si>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</si>
  <si>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</si>
  <si>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</si>
  <si>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</si>
  <si>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</si>
  <si>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</si>
  <si>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</si>
  <si>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</si>
  <si>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</si>
  <si>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</si>
  <si>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</si>
  <si>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</si>
  <si>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</si>
  <si>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</si>
  <si>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</si>
  <si>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</si>
  <si>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</si>
  <si>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</si>
  <si>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</si>
  <si>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</si>
  <si>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</si>
  <si>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</si>
  <si>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</si>
  <si>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</si>
  <si>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</si>
  <si>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</si>
  <si>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</si>
  <si>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</si>
  <si>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</si>
  <si>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</si>
  <si>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</si>
  <si>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</si>
  <si>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</si>
  <si>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</si>
  <si>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</si>
  <si>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</si>
  <si>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</si>
  <si>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</si>
  <si>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</si>
  <si>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</si>
  <si>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</si>
  <si>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</si>
  <si>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</si>
  <si>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</si>
  <si>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</si>
  <si>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</si>
  <si>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</si>
  <si>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</si>
  <si>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</si>
  <si>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</si>
  <si>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</si>
  <si>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</si>
  <si>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</si>
  <si>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</si>
  <si>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</si>
  <si>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</si>
  <si>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</si>
  <si>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</si>
  <si>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</si>
  <si>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</si>
  <si>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</si>
  <si>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</si>
  <si>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</si>
  <si>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</si>
  <si>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</si>
  <si>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</si>
  <si>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</si>
  <si>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</si>
  <si>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</si>
  <si>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</si>
  <si>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14-01-2014</t>
  </si>
  <si>
    <t>Brendan Sweed</t>
  </si>
  <si>
    <t>Sauder Cornerstone Collection Library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</si>
  <si>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</si>
  <si>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</si>
  <si>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</si>
  <si>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</si>
  <si>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</si>
  <si>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</si>
  <si>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</si>
  <si>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</si>
  <si>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</si>
  <si>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</si>
  <si>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</si>
  <si>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</si>
  <si>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</si>
  <si>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</si>
  <si>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</si>
  <si>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</si>
  <si>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Arkansas</t>
  </si>
  <si>
    <t>Apple iPhone 5C</t>
  </si>
  <si>
    <t>Newell 351</t>
  </si>
  <si>
    <t>Eldon Expressions Desk Accessory, Wood Pencil Holder, Oak</t>
  </si>
  <si>
    <t>Newell 327</t>
  </si>
  <si>
    <t>Hon 4700 Series Mobuis Mid-Back Task Chairs with Adjustable Arms</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</si>
  <si>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</si>
  <si>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</si>
  <si>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</si>
  <si>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</si>
  <si>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</si>
  <si>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</si>
  <si>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</si>
  <si>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</si>
  <si>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</si>
  <si>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</si>
  <si>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</si>
  <si>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</si>
  <si>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</si>
  <si>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</si>
  <si>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</si>
  <si>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</si>
  <si>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</si>
  <si>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</si>
  <si>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</si>
  <si>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</si>
  <si>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</si>
  <si>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</si>
  <si>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</si>
  <si>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</si>
  <si>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</si>
  <si>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</si>
  <si>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</si>
  <si>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</si>
  <si>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</si>
  <si>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</si>
  <si>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</si>
  <si>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</si>
  <si>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</si>
  <si>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</si>
  <si>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</si>
  <si>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</si>
  <si>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</si>
  <si>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</si>
  <si>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</si>
  <si>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</si>
  <si>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</si>
  <si>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</si>
  <si>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</si>
  <si>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</si>
  <si>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</si>
  <si>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</si>
  <si>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</si>
  <si>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</si>
  <si>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</si>
  <si>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</si>
  <si>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</si>
  <si>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</si>
  <si>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</si>
  <si>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</si>
  <si>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</si>
  <si>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</si>
  <si>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</si>
  <si>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</si>
  <si>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</si>
  <si>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</si>
  <si>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</si>
  <si>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</si>
  <si>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</si>
  <si>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</si>
  <si>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</si>
  <si>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</si>
  <si>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</si>
  <si>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</si>
  <si>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</si>
  <si>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</si>
  <si>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</si>
  <si>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</si>
  <si>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</si>
  <si>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</si>
  <si>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</si>
  <si>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</si>
  <si>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</si>
  <si>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</si>
  <si>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</si>
  <si>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</si>
  <si>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</si>
  <si>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</si>
  <si>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14-02-2014</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</si>
  <si>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</si>
  <si>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</si>
  <si>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</si>
  <si>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</si>
  <si>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</si>
  <si>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</si>
  <si>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</si>
  <si>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</si>
  <si>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</si>
  <si>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</si>
  <si>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</si>
  <si>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</si>
  <si>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</si>
  <si>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</si>
  <si>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</si>
  <si>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</si>
  <si>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</si>
  <si>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</si>
  <si>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</si>
  <si>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</si>
  <si>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</si>
  <si>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</si>
  <si>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</si>
  <si>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</si>
  <si>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</si>
  <si>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</si>
  <si>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</si>
  <si>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</si>
  <si>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TOPS 4 x 6 Fluorescent Color Memo Sheets, 500 Sheets per Pack</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</si>
  <si>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</si>
  <si>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</si>
  <si>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</si>
  <si>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</si>
  <si>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</si>
  <si>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</si>
  <si>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</si>
  <si>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</si>
  <si>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</si>
  <si>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</si>
  <si>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</si>
  <si>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</si>
  <si>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</si>
  <si>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</si>
  <si>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</si>
  <si>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</si>
  <si>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</si>
  <si>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</si>
  <si>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</si>
  <si>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</si>
  <si>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</si>
  <si>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</si>
  <si>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</si>
  <si>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</si>
  <si>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</si>
  <si>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</si>
  <si>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</si>
  <si>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</si>
  <si>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</si>
  <si>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</si>
  <si>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</si>
  <si>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</si>
  <si>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</si>
  <si>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</si>
  <si>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</si>
  <si>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</si>
  <si>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</si>
  <si>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</si>
  <si>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</si>
  <si>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</si>
  <si>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</si>
  <si>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</si>
  <si>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</si>
  <si>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</si>
  <si>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</si>
  <si>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</si>
  <si>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</si>
  <si>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</si>
  <si>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</si>
  <si>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Geographics Note Cards, Blank, White, 8 1/2" x 11"</t>
  </si>
  <si>
    <t>Kean Thornton</t>
  </si>
  <si>
    <t>Colorado</t>
  </si>
  <si>
    <t>BOSTON Ranger #55 Pencil Sharpener, Black</t>
  </si>
  <si>
    <t>Chloris Kastensmidt</t>
  </si>
  <si>
    <t>Eldon Wave Desk Accessories</t>
  </si>
  <si>
    <t>Stockwell Push Pins</t>
  </si>
  <si>
    <t>Southworth 100% RÃ©sumÃ© Paper, 24lb.</t>
  </si>
  <si>
    <t>Filia McAdams</t>
  </si>
  <si>
    <t>Fellowes Premier Superior Surge Suppressor, 10-Outlet, With Phone and Remote</t>
  </si>
  <si>
    <t>Panasonic KX-TG9471B</t>
  </si>
  <si>
    <t>Xerox 198</t>
  </si>
  <si>
    <t>Richard Bierner</t>
  </si>
  <si>
    <t>Economy #2 Pencils</t>
  </si>
  <si>
    <t>14-03-2014</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</si>
  <si>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</si>
  <si>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</si>
  <si>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</si>
  <si>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</si>
  <si>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</si>
  <si>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</si>
  <si>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</si>
  <si>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</si>
  <si>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</si>
  <si>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</si>
  <si>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</si>
  <si>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</si>
  <si>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</si>
  <si>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</si>
  <si>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</si>
  <si>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</si>
  <si>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15-03-2014</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</si>
  <si>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</si>
  <si>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</si>
  <si>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</si>
  <si>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</si>
  <si>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</si>
  <si>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</si>
  <si>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</si>
  <si>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17-03-2014</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</si>
  <si>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</si>
  <si>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</si>
  <si>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</si>
  <si>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</si>
  <si>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</si>
  <si>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</si>
  <si>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</si>
  <si>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</si>
  <si>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</si>
  <si>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</si>
  <si>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</si>
  <si>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</si>
  <si>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</si>
  <si>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</si>
  <si>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</si>
  <si>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</si>
  <si>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</si>
  <si>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</si>
  <si>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</si>
  <si>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</si>
  <si>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</si>
  <si>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</si>
  <si>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18-03-2014</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</si>
  <si>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</si>
  <si>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</si>
  <si>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</si>
  <si>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</si>
  <si>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</si>
  <si>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</si>
  <si>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</si>
  <si>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</si>
  <si>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</si>
  <si>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</si>
  <si>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19-03-2014</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</si>
  <si>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</si>
  <si>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</si>
  <si>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</si>
  <si>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</si>
  <si>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</si>
  <si>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</si>
  <si>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</si>
  <si>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</si>
  <si>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</si>
  <si>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</si>
  <si>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</si>
  <si>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</si>
  <si>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</si>
  <si>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</si>
  <si>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</si>
  <si>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</si>
  <si>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</si>
  <si>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Avery 505</t>
  </si>
  <si>
    <t>DAX Wood Document Frame</t>
  </si>
  <si>
    <t>Craig Carroll</t>
  </si>
  <si>
    <t>C-Line Peel &amp; Stick Add-On Filing Pockets, 8-3/4 x 5-1/8, 10/Pack</t>
  </si>
  <si>
    <t>GBC Prestige Therm-A-Bind Covers</t>
  </si>
  <si>
    <t>Xerox 1951</t>
  </si>
  <si>
    <t>Office Star - Mesh Screen back chair with Vinyl seat</t>
  </si>
  <si>
    <t>Vivian Mathis</t>
  </si>
  <si>
    <t>Economy Rollaway Files</t>
  </si>
  <si>
    <t>Ooma Telo VoIP Home Phone System</t>
  </si>
  <si>
    <t>Avery 476</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</si>
  <si>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</si>
  <si>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</si>
  <si>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</si>
  <si>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</si>
  <si>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</si>
  <si>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</si>
  <si>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</si>
  <si>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</si>
  <si>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26-03-2014</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</si>
  <si>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</si>
  <si>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</si>
  <si>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</si>
  <si>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</si>
  <si>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</si>
  <si>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</si>
  <si>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</si>
  <si>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</si>
  <si>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</si>
  <si>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</si>
  <si>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</si>
  <si>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</si>
  <si>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</si>
  <si>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</si>
  <si>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</si>
  <si>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</si>
  <si>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</si>
  <si>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</si>
  <si>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</si>
  <si>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</si>
  <si>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</si>
  <si>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</si>
  <si>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</si>
  <si>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</si>
  <si>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</si>
  <si>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</si>
  <si>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</si>
  <si>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</si>
  <si>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</si>
  <si>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</si>
  <si>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</si>
  <si>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</si>
  <si>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</si>
  <si>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</si>
  <si>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</si>
  <si>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</si>
  <si>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</si>
  <si>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</si>
  <si>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</si>
  <si>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</si>
  <si>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</si>
  <si>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</si>
  <si>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</si>
  <si>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</si>
  <si>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</si>
  <si>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</si>
  <si>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</si>
  <si>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</si>
  <si>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</si>
  <si>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</si>
  <si>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</si>
  <si>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</si>
  <si>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</si>
  <si>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</si>
  <si>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</si>
  <si>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</si>
  <si>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</si>
  <si>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</si>
  <si>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</si>
  <si>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</si>
  <si>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</si>
  <si>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</si>
  <si>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</si>
  <si>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</si>
  <si>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</si>
  <si>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</si>
  <si>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</si>
  <si>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</si>
  <si>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</si>
  <si>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</si>
  <si>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</si>
  <si>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</si>
  <si>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</si>
  <si>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</si>
  <si>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</si>
  <si>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</si>
  <si>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</si>
  <si>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</si>
  <si>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Ibico Standard Transparent Covers</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</si>
  <si>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</si>
  <si>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</si>
  <si>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</si>
  <si>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</si>
  <si>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</si>
  <si>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</si>
  <si>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</si>
  <si>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</si>
  <si>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</si>
  <si>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</si>
  <si>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</si>
  <si>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</si>
  <si>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</si>
  <si>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</si>
  <si>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</si>
  <si>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</si>
  <si>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</si>
  <si>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</si>
  <si>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</si>
  <si>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</si>
  <si>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</si>
  <si>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</si>
  <si>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</si>
  <si>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</si>
  <si>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</si>
  <si>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</si>
  <si>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</si>
  <si>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</si>
  <si>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</si>
  <si>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</si>
  <si>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</si>
  <si>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</si>
  <si>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</si>
  <si>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</si>
  <si>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</si>
  <si>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</si>
  <si>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</si>
  <si>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</si>
  <si>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</si>
  <si>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</si>
  <si>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</si>
  <si>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</si>
  <si>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</si>
  <si>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</si>
  <si>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</si>
  <si>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</si>
  <si>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</si>
  <si>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</si>
  <si>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</si>
  <si>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</si>
  <si>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</si>
  <si>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</si>
  <si>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</si>
  <si>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</si>
  <si>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</si>
  <si>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13-04-2014</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</si>
  <si>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</si>
  <si>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</si>
  <si>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</si>
  <si>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</si>
  <si>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</si>
  <si>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</si>
  <si>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</si>
  <si>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</si>
  <si>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</si>
  <si>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</si>
  <si>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18-04-2014</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</si>
  <si>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</si>
  <si>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</si>
  <si>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</si>
  <si>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</si>
  <si>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</si>
  <si>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</si>
  <si>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</si>
  <si>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</si>
  <si>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</si>
  <si>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</si>
  <si>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</si>
  <si>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</si>
  <si>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</si>
  <si>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</si>
  <si>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</si>
  <si>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GE 4 Foot Flourescent Tube, 40 Watt</t>
  </si>
  <si>
    <t>21-04-2014</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</si>
  <si>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</si>
  <si>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</si>
  <si>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</si>
  <si>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</si>
  <si>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</si>
  <si>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</si>
  <si>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</si>
  <si>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</si>
  <si>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</si>
  <si>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</si>
  <si>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</si>
  <si>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</si>
  <si>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</si>
  <si>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</si>
  <si>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</si>
  <si>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</si>
  <si>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</si>
  <si>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</si>
  <si>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</si>
  <si>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</si>
  <si>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</si>
  <si>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</si>
  <si>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</si>
  <si>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</si>
  <si>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</si>
  <si>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</si>
  <si>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</si>
  <si>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</si>
  <si>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</si>
  <si>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</si>
  <si>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</si>
  <si>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</si>
  <si>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</si>
  <si>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</si>
  <si>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</si>
  <si>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</si>
  <si>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</si>
  <si>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</si>
  <si>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</si>
  <si>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</si>
  <si>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</si>
  <si>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</si>
  <si>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</si>
  <si>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</si>
  <si>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</si>
  <si>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</si>
  <si>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</si>
  <si>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</si>
  <si>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</si>
  <si>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</si>
  <si>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</si>
  <si>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</si>
  <si>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</si>
  <si>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</si>
  <si>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</si>
  <si>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</si>
  <si>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</si>
  <si>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</si>
  <si>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</si>
  <si>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</si>
  <si>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</si>
  <si>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</si>
  <si>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</si>
  <si>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</si>
  <si>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</si>
  <si>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</si>
  <si>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</si>
  <si>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</si>
  <si>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</si>
  <si>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</si>
  <si>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</si>
  <si>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</si>
  <si>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</si>
  <si>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</si>
  <si>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</si>
  <si>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</si>
  <si>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</si>
  <si>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</si>
  <si>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</si>
  <si>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</si>
  <si>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</si>
  <si>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</si>
  <si>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</si>
  <si>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</si>
  <si>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</si>
  <si>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</si>
  <si>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</si>
  <si>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</si>
  <si>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</si>
  <si>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</si>
  <si>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</si>
  <si>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</si>
  <si>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</si>
  <si>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</si>
  <si>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</si>
  <si>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</si>
  <si>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</si>
  <si>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</si>
  <si>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</si>
  <si>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</si>
  <si>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</si>
  <si>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</si>
  <si>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</si>
  <si>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</si>
  <si>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</si>
  <si>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</si>
  <si>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</si>
  <si>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</si>
  <si>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</si>
  <si>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</si>
  <si>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13-05-2014</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</si>
  <si>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</si>
  <si>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</si>
  <si>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</si>
  <si>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</si>
  <si>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</si>
  <si>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</si>
  <si>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</si>
  <si>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</si>
  <si>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</si>
  <si>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</si>
  <si>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</si>
  <si>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</si>
  <si>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</si>
  <si>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</si>
  <si>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</si>
  <si>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</si>
  <si>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</si>
  <si>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</si>
  <si>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</si>
  <si>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20-05-2014</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</si>
  <si>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</si>
  <si>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</si>
  <si>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</si>
  <si>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</si>
  <si>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</si>
  <si>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</si>
  <si>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</si>
  <si>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</si>
  <si>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Fellowes PB300 Plastic Comb Binding Machine</t>
  </si>
  <si>
    <t>Plantronics Voyager Pro Legend</t>
  </si>
  <si>
    <t>Frank Gastineau</t>
  </si>
  <si>
    <t>GBC ProClick Punch Binding System</t>
  </si>
  <si>
    <t>Xerox 1992</t>
  </si>
  <si>
    <t>Global Deluxe Steno Chair</t>
  </si>
  <si>
    <t>Adams Telephone Message Books, 5 1/4Â” x 11Â”</t>
  </si>
  <si>
    <t>Ibico Plastic Spiral Binding Combs</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</si>
  <si>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</si>
  <si>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</si>
  <si>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</si>
  <si>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</si>
  <si>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</si>
  <si>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</si>
  <si>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</si>
  <si>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</si>
  <si>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</si>
  <si>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</si>
  <si>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</si>
  <si>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</si>
  <si>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</si>
  <si>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</si>
  <si>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Strathmore Photo Frame Cards</t>
  </si>
  <si>
    <t>Sauder Inglewood Library Bookcases</t>
  </si>
  <si>
    <t>VTech DS6151</t>
  </si>
  <si>
    <t>netTALK DUO VoIP Telephone Service</t>
  </si>
  <si>
    <t>Hon Olson Stacker Stools</t>
  </si>
  <si>
    <t>Dean percer</t>
  </si>
  <si>
    <t>SAFCO Mobile Desk Side File, Wire Frame</t>
  </si>
  <si>
    <t>Global Commerce Series Low-Back Swivel/Tilt Chairs</t>
  </si>
  <si>
    <t>27-05-2014</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</si>
  <si>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</si>
  <si>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</si>
  <si>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</si>
  <si>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</si>
  <si>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</si>
  <si>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</si>
  <si>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</si>
  <si>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</si>
  <si>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Green Canvas Binder for 8-1/2" x 14" Sheets</t>
  </si>
  <si>
    <t>Ellis Ballard</t>
  </si>
  <si>
    <t>Ampad Poly Cover Wirebound Steno Book, 6" x 9" Assorted Colors, Gregg Ruled</t>
  </si>
  <si>
    <t>Shahid Shariari</t>
  </si>
  <si>
    <t>Chromcraft Rectangular Conference Tables</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</si>
  <si>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</si>
  <si>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</si>
  <si>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</si>
  <si>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</si>
  <si>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</si>
  <si>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</si>
  <si>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</si>
  <si>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</si>
  <si>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</si>
  <si>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</si>
  <si>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</si>
  <si>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</si>
  <si>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</si>
  <si>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</si>
  <si>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</si>
  <si>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</si>
  <si>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</si>
  <si>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</si>
  <si>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</si>
  <si>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</si>
  <si>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</si>
  <si>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</si>
  <si>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</si>
  <si>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</si>
  <si>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</si>
  <si>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</si>
  <si>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</si>
  <si>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</si>
  <si>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</si>
  <si>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</si>
  <si>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</si>
  <si>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</si>
  <si>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</si>
  <si>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</si>
  <si>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</si>
  <si>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</si>
  <si>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</si>
  <si>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</si>
  <si>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</si>
  <si>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</si>
  <si>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</si>
  <si>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</si>
  <si>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</si>
  <si>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</si>
  <si>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</si>
  <si>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</si>
  <si>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</si>
  <si>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</si>
  <si>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</si>
  <si>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</si>
  <si>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</si>
  <si>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</si>
  <si>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</si>
  <si>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</si>
  <si>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</si>
  <si>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</si>
  <si>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</si>
  <si>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</si>
  <si>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</si>
  <si>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</si>
  <si>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</si>
  <si>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</si>
  <si>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</si>
  <si>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</si>
  <si>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</si>
  <si>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</si>
  <si>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</si>
  <si>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</si>
  <si>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</si>
  <si>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</si>
  <si>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</si>
  <si>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14-06-2014</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</si>
  <si>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</si>
  <si>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</si>
  <si>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</si>
  <si>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</si>
  <si>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</si>
  <si>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</si>
  <si>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</si>
  <si>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</si>
  <si>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</si>
  <si>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Texas Instruments TI-34 Scientific Calculator</t>
  </si>
  <si>
    <t>Gary Hwang</t>
  </si>
  <si>
    <t>OIC Binder Clips</t>
  </si>
  <si>
    <t>GBC DocuBind P400 Electric Binding System</t>
  </si>
  <si>
    <t>Jennifer Ferguson</t>
  </si>
  <si>
    <t>Xerox 1892</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</si>
  <si>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</si>
  <si>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</si>
  <si>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</si>
  <si>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</si>
  <si>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</si>
  <si>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</si>
  <si>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</si>
  <si>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</si>
  <si>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</si>
  <si>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</si>
  <si>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21-06-2014</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</si>
  <si>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</si>
  <si>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</si>
  <si>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</si>
  <si>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</si>
  <si>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</si>
  <si>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</si>
  <si>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</si>
  <si>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</si>
  <si>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</si>
  <si>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</si>
  <si>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</si>
  <si>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</si>
  <si>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</si>
  <si>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</si>
  <si>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</si>
  <si>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</si>
  <si>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</si>
  <si>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</si>
  <si>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</si>
  <si>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</si>
  <si>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</si>
  <si>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</si>
  <si>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</si>
  <si>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</si>
  <si>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</si>
  <si>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</si>
  <si>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</si>
  <si>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</si>
  <si>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</si>
  <si>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</si>
  <si>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</si>
  <si>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</si>
  <si>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</si>
  <si>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</si>
  <si>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</si>
  <si>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</si>
  <si>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</si>
  <si>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</si>
  <si>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</si>
  <si>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</si>
  <si>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</si>
  <si>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</si>
  <si>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</si>
  <si>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</si>
  <si>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</si>
  <si>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</si>
  <si>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</si>
  <si>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</si>
  <si>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</si>
  <si>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</si>
  <si>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</si>
  <si>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</si>
  <si>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</si>
  <si>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</si>
  <si>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</si>
  <si>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</si>
  <si>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</si>
  <si>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</si>
  <si>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</si>
  <si>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</si>
  <si>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</si>
  <si>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</si>
  <si>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</si>
  <si>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</si>
  <si>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</si>
  <si>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</si>
  <si>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</si>
  <si>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</si>
  <si>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</si>
  <si>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</si>
  <si>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</si>
  <si>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</si>
  <si>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</si>
  <si>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</si>
  <si>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</si>
  <si>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</si>
  <si>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</si>
  <si>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</si>
  <si>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</si>
  <si>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</si>
  <si>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</si>
  <si>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</si>
  <si>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</si>
  <si>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</si>
  <si>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</si>
  <si>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</si>
  <si>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</si>
  <si>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</si>
  <si>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</si>
  <si>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</si>
  <si>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</si>
  <si>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</si>
  <si>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</si>
  <si>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</si>
  <si>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</si>
  <si>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</si>
  <si>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</si>
  <si>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</si>
  <si>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</si>
  <si>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</si>
  <si>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</si>
  <si>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</si>
  <si>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</si>
  <si>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</si>
  <si>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</si>
  <si>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</si>
  <si>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</si>
  <si>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14-07-2014</t>
  </si>
  <si>
    <t>Arthur Wiediger</t>
  </si>
  <si>
    <t>Acco D-Ring Binder w/DublLock</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</si>
  <si>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</si>
  <si>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</si>
  <si>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</si>
  <si>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</si>
  <si>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</si>
  <si>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</si>
  <si>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</si>
  <si>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</si>
  <si>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</si>
  <si>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</si>
  <si>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</si>
  <si>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</si>
  <si>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</si>
  <si>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</si>
  <si>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</si>
  <si>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</si>
  <si>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</si>
  <si>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</si>
  <si>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</si>
  <si>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</si>
  <si>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</si>
  <si>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</si>
  <si>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</si>
  <si>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</si>
  <si>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</si>
  <si>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</si>
  <si>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</si>
  <si>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</si>
  <si>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</si>
  <si>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</si>
  <si>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</si>
  <si>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</si>
  <si>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</si>
  <si>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</si>
  <si>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21-07-2014</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</si>
  <si>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</si>
  <si>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</si>
  <si>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</si>
  <si>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</si>
  <si>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</si>
  <si>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</si>
  <si>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</si>
  <si>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</si>
  <si>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</si>
  <si>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</si>
  <si>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</si>
  <si>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</si>
  <si>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</si>
  <si>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</si>
  <si>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</si>
  <si>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</si>
  <si>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</si>
  <si>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</si>
  <si>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</si>
  <si>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</si>
  <si>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</si>
  <si>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</si>
  <si>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</si>
  <si>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</si>
  <si>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</si>
  <si>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26-07-2014</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</si>
  <si>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</si>
  <si>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</si>
  <si>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</si>
  <si>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</si>
  <si>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</si>
  <si>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</si>
  <si>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</si>
  <si>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</si>
  <si>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</si>
  <si>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</si>
  <si>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</si>
  <si>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</si>
  <si>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</si>
  <si>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</si>
  <si>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</si>
  <si>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</si>
  <si>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</si>
  <si>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</si>
  <si>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</si>
  <si>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</si>
  <si>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</si>
  <si>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</si>
  <si>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</si>
  <si>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</si>
  <si>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</si>
  <si>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</si>
  <si>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</si>
  <si>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</si>
  <si>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</si>
  <si>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</si>
  <si>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</si>
  <si>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</si>
  <si>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</si>
  <si>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</si>
  <si>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</si>
  <si>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</si>
  <si>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</si>
  <si>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</si>
  <si>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</si>
  <si>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</si>
  <si>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</si>
  <si>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</si>
  <si>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</si>
  <si>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</si>
  <si>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</si>
  <si>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</si>
  <si>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</si>
  <si>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</si>
  <si>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</si>
  <si>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</si>
  <si>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</si>
  <si>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</si>
  <si>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</si>
  <si>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</si>
  <si>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</si>
  <si>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</si>
  <si>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</si>
  <si>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</si>
  <si>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</si>
  <si>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</si>
  <si>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</si>
  <si>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</si>
  <si>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</si>
  <si>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</si>
  <si>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</si>
  <si>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</si>
  <si>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</si>
  <si>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</si>
  <si>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</si>
  <si>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</si>
  <si>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</si>
  <si>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</si>
  <si>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</si>
  <si>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</si>
  <si>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</si>
  <si>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</si>
  <si>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</si>
  <si>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</si>
  <si>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</si>
  <si>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</si>
  <si>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</si>
  <si>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</si>
  <si>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</si>
  <si>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</si>
  <si>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</si>
  <si>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</si>
  <si>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</si>
  <si>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</si>
  <si>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</si>
  <si>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</si>
  <si>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</si>
  <si>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</si>
  <si>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</si>
  <si>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</si>
  <si>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</si>
  <si>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</si>
  <si>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</si>
  <si>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</si>
  <si>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</si>
  <si>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</si>
  <si>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</si>
  <si>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</si>
  <si>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</si>
  <si>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</si>
  <si>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</si>
  <si>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</si>
  <si>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</si>
  <si>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</si>
  <si>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</si>
  <si>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</si>
  <si>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</si>
  <si>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</si>
  <si>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Xerox 203</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</si>
  <si>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</si>
  <si>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</si>
  <si>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</si>
  <si>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</si>
  <si>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</si>
  <si>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</si>
  <si>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</si>
  <si>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</si>
  <si>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Riverleaf Stik-Withit Designer Note Cubes</t>
  </si>
  <si>
    <t>GBC DocuBind TL300 Electric Binding System</t>
  </si>
  <si>
    <t>22-08-2014</t>
  </si>
  <si>
    <t>Deanra Eno</t>
  </si>
  <si>
    <t>Faber Castell Col-Erase Pencils</t>
  </si>
  <si>
    <t>Jeremy Pistek</t>
  </si>
  <si>
    <t>Acme Serrated Blade Letter Opener</t>
  </si>
  <si>
    <t>Xerox 1899</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</si>
  <si>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</si>
  <si>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</si>
  <si>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</si>
  <si>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</si>
  <si>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</si>
  <si>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</si>
  <si>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</si>
  <si>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</si>
  <si>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</si>
  <si>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</si>
  <si>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</si>
  <si>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</si>
  <si>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</si>
  <si>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</si>
  <si>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</si>
  <si>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</si>
  <si>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</si>
  <si>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</si>
  <si>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</si>
  <si>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</si>
  <si>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</si>
  <si>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</si>
  <si>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</si>
  <si>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</si>
  <si>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</si>
  <si>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</si>
  <si>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</si>
  <si>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</si>
  <si>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Xerox 1978</t>
  </si>
  <si>
    <t>Avoid Verbal Orders Carbonless Minifold Book</t>
  </si>
  <si>
    <t>Paul Prost</t>
  </si>
  <si>
    <t>Newell 340</t>
  </si>
  <si>
    <t>27-08-2014</t>
  </si>
  <si>
    <t>Zuschuss Donatelli</t>
  </si>
  <si>
    <t>Cisco SPA 501G IP Phone</t>
  </si>
  <si>
    <t>Wilson Jones Hanging View Binder, White, 1"</t>
  </si>
  <si>
    <t>Corey Catlett</t>
  </si>
  <si>
    <t>GE 30522EE2</t>
  </si>
  <si>
    <t>Master Caster Door Stop, Large Neon Orange</t>
  </si>
  <si>
    <t>Bretford CR8500 Series Meeting Room Furniture</t>
  </si>
  <si>
    <t>29-08-2014</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</si>
  <si>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</si>
  <si>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</si>
  <si>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</si>
  <si>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</si>
  <si>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</si>
  <si>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</si>
  <si>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</si>
  <si>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</si>
  <si>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</si>
  <si>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</si>
  <si>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</si>
  <si>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</si>
  <si>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</si>
  <si>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</si>
  <si>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</si>
  <si>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</si>
  <si>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</si>
  <si>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</si>
  <si>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</si>
  <si>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</si>
  <si>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</si>
  <si>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</si>
  <si>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</si>
  <si>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</si>
  <si>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</si>
  <si>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</si>
  <si>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</si>
  <si>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</si>
  <si>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</si>
  <si>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</si>
  <si>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</si>
  <si>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</si>
  <si>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</si>
  <si>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</si>
  <si>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</si>
  <si>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</si>
  <si>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</si>
  <si>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</si>
  <si>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</si>
  <si>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</si>
  <si>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</si>
  <si>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</si>
  <si>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</si>
  <si>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</si>
  <si>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</si>
  <si>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</si>
  <si>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</si>
  <si>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</si>
  <si>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</si>
  <si>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</si>
  <si>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</si>
  <si>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</si>
  <si>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</si>
  <si>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</si>
  <si>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</si>
  <si>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</si>
  <si>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</si>
  <si>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</si>
  <si>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</si>
  <si>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</si>
  <si>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</si>
  <si>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</si>
  <si>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</si>
  <si>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</si>
  <si>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</si>
  <si>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</si>
  <si>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</si>
  <si>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</si>
  <si>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</si>
  <si>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</si>
  <si>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</si>
  <si>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</si>
  <si>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</si>
  <si>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</si>
  <si>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</si>
  <si>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</si>
  <si>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</si>
  <si>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</si>
  <si>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</si>
  <si>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</si>
  <si>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</si>
  <si>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</si>
  <si>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</si>
  <si>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</si>
  <si>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</si>
  <si>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</si>
  <si>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</si>
  <si>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</si>
  <si>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</si>
  <si>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</si>
  <si>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</si>
  <si>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</si>
  <si>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</si>
  <si>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</si>
  <si>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</si>
  <si>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</si>
  <si>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13-09-2014</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</si>
  <si>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</si>
  <si>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</si>
  <si>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</si>
  <si>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</si>
  <si>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</si>
  <si>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</si>
  <si>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</si>
  <si>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</si>
  <si>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14-09-2014</t>
  </si>
  <si>
    <t>Jennifer Braxton</t>
  </si>
  <si>
    <t>Kensington 7 Outlet MasterPiece HOMEOFFICE Power Control Center</t>
  </si>
  <si>
    <t>Avery 51</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</si>
  <si>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</si>
  <si>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</si>
  <si>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</si>
  <si>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</si>
  <si>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</si>
  <si>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</si>
  <si>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</si>
  <si>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</si>
  <si>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</si>
  <si>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</si>
  <si>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</si>
  <si>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</si>
  <si>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</si>
  <si>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17-09-2014</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</si>
  <si>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</si>
  <si>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</si>
  <si>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</si>
  <si>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</si>
  <si>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</si>
  <si>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</si>
  <si>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</si>
  <si>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</si>
  <si>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</si>
  <si>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</si>
  <si>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</si>
  <si>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</si>
  <si>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</si>
  <si>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19-09-2014</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</si>
  <si>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</si>
  <si>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</si>
  <si>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</si>
  <si>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</si>
  <si>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</si>
  <si>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</si>
  <si>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</si>
  <si>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</si>
  <si>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Avery 499</t>
  </si>
  <si>
    <t>Wirebound Message Book, 4 per Page</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</si>
  <si>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</si>
  <si>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</si>
  <si>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</si>
  <si>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</si>
  <si>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</si>
  <si>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</si>
  <si>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</si>
  <si>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</si>
  <si>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</si>
  <si>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</si>
  <si>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</si>
  <si>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</si>
  <si>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</si>
  <si>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</si>
  <si>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</si>
  <si>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</si>
  <si>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</si>
  <si>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Sara Luxemburg</t>
  </si>
  <si>
    <t>Boston 16801 Nautilus Battery Pencil Sharpener</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</si>
  <si>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</si>
  <si>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</si>
  <si>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</si>
  <si>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</si>
  <si>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</si>
  <si>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</si>
  <si>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</si>
  <si>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</si>
  <si>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</si>
  <si>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</si>
  <si>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</si>
  <si>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</si>
  <si>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</si>
  <si>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Gould Plastics 9-Pocket Panel Bin, 18-3/8w x 5-1/4d x 20-1/2h, Black</t>
  </si>
  <si>
    <t>Michelle Tran</t>
  </si>
  <si>
    <t>Xerox 1954</t>
  </si>
  <si>
    <t>Avery Self-Adhesive Photo Pockets for Polaroid Photos</t>
  </si>
  <si>
    <t>Barry Franz</t>
  </si>
  <si>
    <t>Leather Task Chair, Black</t>
  </si>
  <si>
    <t>Acco 3-Hole Punch</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</si>
  <si>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</si>
  <si>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</si>
  <si>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</si>
  <si>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</si>
  <si>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</si>
  <si>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</si>
  <si>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</si>
  <si>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</si>
  <si>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</si>
  <si>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</si>
  <si>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</si>
  <si>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</si>
  <si>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</si>
  <si>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</si>
  <si>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</si>
  <si>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</si>
  <si>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</si>
  <si>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</si>
  <si>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</si>
  <si>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</si>
  <si>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</si>
  <si>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</si>
  <si>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</si>
  <si>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</si>
  <si>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</si>
  <si>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</si>
  <si>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</si>
  <si>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</si>
  <si>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</si>
  <si>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</si>
  <si>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</si>
  <si>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</si>
  <si>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</si>
  <si>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</si>
  <si>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</si>
  <si>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</si>
  <si>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</si>
  <si>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</si>
  <si>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</si>
  <si>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</si>
  <si>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</si>
  <si>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</si>
  <si>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</si>
  <si>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</si>
  <si>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</si>
  <si>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</si>
  <si>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</si>
  <si>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</si>
  <si>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</si>
  <si>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</si>
  <si>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</si>
  <si>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</si>
  <si>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</si>
  <si>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</si>
  <si>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</si>
  <si>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</si>
  <si>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</si>
  <si>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</si>
  <si>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</si>
  <si>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</si>
  <si>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</si>
  <si>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</si>
  <si>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</si>
  <si>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</si>
  <si>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</si>
  <si>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</si>
  <si>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</si>
  <si>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</si>
  <si>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</si>
  <si>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</si>
  <si>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</si>
  <si>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</si>
  <si>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</si>
  <si>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</si>
  <si>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</si>
  <si>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</si>
  <si>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13-10-2014</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</si>
  <si>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</si>
  <si>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</si>
  <si>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</si>
  <si>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</si>
  <si>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</si>
  <si>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</si>
  <si>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</si>
  <si>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14-10-2014</t>
  </si>
  <si>
    <t>Jim Epp</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</si>
  <si>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</si>
  <si>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</si>
  <si>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</si>
  <si>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</si>
  <si>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</si>
  <si>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</si>
  <si>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16-10-2014</t>
  </si>
  <si>
    <t>Lynn Smith</t>
  </si>
  <si>
    <t>LogitechÂ Illuminated - Keyboard</t>
  </si>
  <si>
    <t>17-10-2014</t>
  </si>
  <si>
    <t>18-10-2014</t>
  </si>
  <si>
    <t>Alan Schoenberger</t>
  </si>
  <si>
    <t>Avaya IP Phone 1140E VoIP phone</t>
  </si>
  <si>
    <t>Global Wood Trimmed Manager's Task Chair, Khaki</t>
  </si>
  <si>
    <t>White Business Envelopes with Contemporary Seam, Recycled White Business Envelopes</t>
  </si>
  <si>
    <t>Eldon Base for stackable storage shelf, platinum</t>
  </si>
  <si>
    <t>Office Star Flex Back Scooter Chair with Aluminum Finish Frame</t>
  </si>
  <si>
    <t>Ivan Gibson</t>
  </si>
  <si>
    <t>Computer Printout Index Tabs</t>
  </si>
  <si>
    <t>19-10-2014</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</si>
  <si>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</si>
  <si>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</si>
  <si>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</si>
  <si>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</si>
  <si>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</si>
  <si>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</si>
  <si>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</si>
  <si>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</si>
  <si>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20-10-2014</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</si>
  <si>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</si>
  <si>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</si>
  <si>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</si>
  <si>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</si>
  <si>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</si>
  <si>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</si>
  <si>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</si>
  <si>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</si>
  <si>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</si>
  <si>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</si>
  <si>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</si>
  <si>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</si>
  <si>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</si>
  <si>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</si>
  <si>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</si>
  <si>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</si>
  <si>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Tenex Chairmats For Use With Carpeted Floors</t>
  </si>
  <si>
    <t>Ross DeVincentis</t>
  </si>
  <si>
    <t>Todd Sumrall</t>
  </si>
  <si>
    <t>Serrated Blade or Curved Handle Hand Letter Openers</t>
  </si>
  <si>
    <t>Premier Automatic Letter Opener</t>
  </si>
  <si>
    <t>Digium D40 VoIP phone</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</si>
  <si>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</si>
  <si>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</si>
  <si>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</si>
  <si>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</si>
  <si>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</si>
  <si>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</si>
  <si>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</si>
  <si>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</si>
  <si>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Rhode Island</t>
  </si>
  <si>
    <t>Lumber Crayons</t>
  </si>
  <si>
    <t>RSVP Cards &amp; Envelopes, Blank White, 8-1/2" X 11", 24 Cards/25 Envelopes/Set</t>
  </si>
  <si>
    <t>Eldon Expressions Wood Desk Accessories, Oak</t>
  </si>
  <si>
    <t>GBC Recycled VeloBinder Covers</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</si>
  <si>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</si>
  <si>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</si>
  <si>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</si>
  <si>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</si>
  <si>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</si>
  <si>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</si>
  <si>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</si>
  <si>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</si>
  <si>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</si>
  <si>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</si>
  <si>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</si>
  <si>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</si>
  <si>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</si>
  <si>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</si>
  <si>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</si>
  <si>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</si>
  <si>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</si>
  <si>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</si>
  <si>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</si>
  <si>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</si>
  <si>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</si>
  <si>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</si>
  <si>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</si>
  <si>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</si>
  <si>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</si>
  <si>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</si>
  <si>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</si>
  <si>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</si>
  <si>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</si>
  <si>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</si>
  <si>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</si>
  <si>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</si>
  <si>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</si>
  <si>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</si>
  <si>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</si>
  <si>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</si>
  <si>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</si>
  <si>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</si>
  <si>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</si>
  <si>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</si>
  <si>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</si>
  <si>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</si>
  <si>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</si>
  <si>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</si>
  <si>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</si>
  <si>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</si>
  <si>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</si>
  <si>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</si>
  <si>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</si>
  <si>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</si>
  <si>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</si>
  <si>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</si>
  <si>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</si>
  <si>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</si>
  <si>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</si>
  <si>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</si>
  <si>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</si>
  <si>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</si>
  <si>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</si>
  <si>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</si>
  <si>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</si>
  <si>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</si>
  <si>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</si>
  <si>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</si>
  <si>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</si>
  <si>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</si>
  <si>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</si>
  <si>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</si>
  <si>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</si>
  <si>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</si>
  <si>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</si>
  <si>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</si>
  <si>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</si>
  <si>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</si>
  <si>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</si>
  <si>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</si>
  <si>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</si>
  <si>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</si>
  <si>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</si>
  <si>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</si>
  <si>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</si>
  <si>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Jeremy Lonsdale</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</si>
  <si>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</si>
  <si>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</si>
  <si>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</si>
  <si>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</si>
  <si>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</si>
  <si>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</si>
  <si>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</si>
  <si>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</si>
  <si>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</si>
  <si>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</si>
  <si>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</si>
  <si>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</si>
  <si>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Permanent Self-Adhesive File Folder Labels for Typewriters by Universal</t>
  </si>
  <si>
    <t>SAFCO Optional Arm Kit for Workspace Cribbage Stacking Chair</t>
  </si>
  <si>
    <t>OtterBox Commuter Series Case - Samsung Galaxy S4</t>
  </si>
  <si>
    <t>Bush Andora Bookcase, Maple/Graphite Gray Finish</t>
  </si>
  <si>
    <t>17-11-2014</t>
  </si>
  <si>
    <t>Yoseph Carroll</t>
  </si>
  <si>
    <t>Eldon Econocleat Chair Mats for Low Pile Carpets</t>
  </si>
  <si>
    <t>APC 7 Outlet Network SurgeArrest Surge Protector</t>
  </si>
  <si>
    <t>Southworth 100% Cotton The Best Paper</t>
  </si>
  <si>
    <t>18-11-2014</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</si>
  <si>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</si>
  <si>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</si>
  <si>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</si>
  <si>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</si>
  <si>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</si>
  <si>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</si>
  <si>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</si>
  <si>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</si>
  <si>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</si>
  <si>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</si>
  <si>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</si>
  <si>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</si>
  <si>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</si>
  <si>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</si>
  <si>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Howard Miller 13-1/2" Diameter Rosebrook Wall Clock</t>
  </si>
  <si>
    <t>19-11-2014</t>
  </si>
  <si>
    <t>Nokia Lumia 521 (T-Mobile)</t>
  </si>
  <si>
    <t>HP Standard 104 key PS/2 Keyboard</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</si>
  <si>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</si>
  <si>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</si>
  <si>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</si>
  <si>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</si>
  <si>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</si>
  <si>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</si>
  <si>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</si>
  <si>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Steve Carroll</t>
  </si>
  <si>
    <t>Tops Wirebound Message Log Books</t>
  </si>
  <si>
    <t>22-11-2014</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</si>
  <si>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</si>
  <si>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</si>
  <si>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</si>
  <si>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</si>
  <si>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</si>
  <si>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</si>
  <si>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</si>
  <si>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</si>
  <si>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</si>
  <si>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</si>
  <si>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</si>
  <si>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</si>
  <si>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</si>
  <si>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</si>
  <si>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</si>
  <si>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</si>
  <si>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</si>
  <si>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</si>
  <si>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</si>
  <si>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</si>
  <si>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</si>
  <si>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</si>
  <si>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</si>
  <si>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</si>
  <si>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</si>
  <si>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</si>
  <si>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</si>
  <si>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</si>
  <si>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</si>
  <si>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</si>
  <si>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</si>
  <si>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</si>
  <si>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</si>
  <si>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</si>
  <si>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</si>
  <si>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</si>
  <si>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Newell 331</t>
  </si>
  <si>
    <t>Mary O'Rourke</t>
  </si>
  <si>
    <t>Eldon Cleatmat Plus Chair Mats for High Pile Carpets</t>
  </si>
  <si>
    <t>Avery 489</t>
  </si>
  <si>
    <t>Sauder Camden County Barrister Bookcase, Planked Cherry Finish</t>
  </si>
  <si>
    <t>Micropad Numeric Keypads</t>
  </si>
  <si>
    <t>Brian Thompson</t>
  </si>
  <si>
    <t>Laser &amp; Ink Jet Business Envelopes</t>
  </si>
  <si>
    <t>Bill Stewart</t>
  </si>
  <si>
    <t>Alan Hwang</t>
  </si>
  <si>
    <t>30-11-2014</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</si>
  <si>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</si>
  <si>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</si>
  <si>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</si>
  <si>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</si>
  <si>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</si>
  <si>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</si>
  <si>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</si>
  <si>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</si>
  <si>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</si>
  <si>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</si>
  <si>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</si>
  <si>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</si>
  <si>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</si>
  <si>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</si>
  <si>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</si>
  <si>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</si>
  <si>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</si>
  <si>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</si>
  <si>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</si>
  <si>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</si>
  <si>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</si>
  <si>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</si>
  <si>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</si>
  <si>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</si>
  <si>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</si>
  <si>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</si>
  <si>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</si>
  <si>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</si>
  <si>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</si>
  <si>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</si>
  <si>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</si>
  <si>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</si>
  <si>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</si>
  <si>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</si>
  <si>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</si>
  <si>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</si>
  <si>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</si>
  <si>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</si>
  <si>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</si>
  <si>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</si>
  <si>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</si>
  <si>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</si>
  <si>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</si>
  <si>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</si>
  <si>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</si>
  <si>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</si>
  <si>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</si>
  <si>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</si>
  <si>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</si>
  <si>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</si>
  <si>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</si>
  <si>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</si>
  <si>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</si>
  <si>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</si>
  <si>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</si>
  <si>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</si>
  <si>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</si>
  <si>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13-12-2014</t>
  </si>
  <si>
    <t>Ralph Arnett</t>
  </si>
  <si>
    <t>Howard Miller 12-3/4 Diameter Accuwave DS  Wall Clock</t>
  </si>
  <si>
    <t>Kimberly Carter</t>
  </si>
  <si>
    <t>14-12-2014</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</si>
  <si>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</si>
  <si>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</si>
  <si>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</si>
  <si>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</si>
  <si>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</si>
  <si>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</si>
  <si>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</si>
  <si>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16-12-2014</t>
  </si>
  <si>
    <t>Avery Binder Labels</t>
  </si>
  <si>
    <t>Chad Cunningham</t>
  </si>
  <si>
    <t>Executive Impressions 14" Contract Wall Clock</t>
  </si>
  <si>
    <t>First Data FD10 PIN Pad</t>
  </si>
  <si>
    <t>OIC Binder Clips, Mini, 1/4" Capacity, Black</t>
  </si>
  <si>
    <t>Steve Chapman</t>
  </si>
  <si>
    <t>Sean Christensen</t>
  </si>
  <si>
    <t>Erin Creighton</t>
  </si>
  <si>
    <t>19-12-2014</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</si>
  <si>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</si>
  <si>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</si>
  <si>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</si>
  <si>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</si>
  <si>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</si>
  <si>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</si>
  <si>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</si>
  <si>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</si>
  <si>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</si>
  <si>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</si>
  <si>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20-12-2014</t>
  </si>
  <si>
    <t>Penelope Sewall</t>
  </si>
  <si>
    <t>Chromcraft 48" x 96" Racetrack Double Pedestal Table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</si>
  <si>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</si>
  <si>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</si>
  <si>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</si>
  <si>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</si>
  <si>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</si>
  <si>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</si>
  <si>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</si>
  <si>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</si>
  <si>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</si>
  <si>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</si>
  <si>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</si>
  <si>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</si>
  <si>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</si>
  <si>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</si>
  <si>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</si>
  <si>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</si>
  <si>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</si>
  <si>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</si>
  <si>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</si>
  <si>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</si>
  <si>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</si>
  <si>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</si>
  <si>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</si>
  <si>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</si>
  <si>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</si>
  <si>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</si>
  <si>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</si>
  <si>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</si>
  <si>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</si>
  <si>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</si>
  <si>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</si>
  <si>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27-12-2014</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</si>
  <si>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</si>
  <si>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</si>
  <si>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</si>
  <si>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</si>
  <si>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</si>
  <si>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</si>
  <si>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</si>
  <si>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</si>
  <si>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</si>
  <si>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</si>
  <si>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</si>
  <si>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</si>
  <si>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</si>
  <si>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</si>
  <si>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</si>
  <si>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</si>
  <si>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</si>
  <si>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</si>
  <si>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</si>
  <si>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</si>
  <si>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Ken Brennan</t>
  </si>
  <si>
    <t>Maureen Fritzler</t>
  </si>
  <si>
    <t>Alex Russell</t>
  </si>
  <si>
    <t>Kensington 6 Outlet SmartSocket Surge Protector</t>
  </si>
  <si>
    <t>Tennsco Industrial Shelving</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</si>
  <si>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</si>
  <si>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</si>
  <si>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</si>
  <si>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</si>
  <si>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</si>
  <si>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</si>
  <si>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</si>
  <si>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</si>
  <si>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</si>
  <si>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</si>
  <si>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</si>
  <si>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</si>
  <si>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</si>
  <si>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</si>
  <si>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</si>
  <si>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</si>
  <si>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</si>
  <si>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</si>
  <si>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</si>
  <si>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</si>
  <si>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</si>
  <si>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</si>
  <si>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</si>
  <si>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</si>
  <si>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</si>
  <si>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</si>
  <si>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23-01-2015</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</si>
  <si>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</si>
  <si>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</si>
  <si>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</si>
  <si>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</si>
  <si>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</si>
  <si>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</si>
  <si>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</si>
  <si>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</si>
  <si>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</si>
  <si>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</si>
  <si>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</si>
  <si>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</si>
  <si>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</si>
  <si>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</si>
  <si>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</si>
  <si>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</si>
  <si>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</si>
  <si>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</si>
  <si>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14-02-2015</t>
  </si>
  <si>
    <t>Google Nexus 5</t>
  </si>
  <si>
    <t>Black Avery Memo-Size 3-Ring Binder, 5 1/2" x 8 1/2"</t>
  </si>
  <si>
    <t>15-02-2015</t>
  </si>
  <si>
    <t>Xerox 22</t>
  </si>
  <si>
    <t>Anker Ultrathin Bluetooth Wireless Keyboard Aluminum Cover with Stand</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</si>
  <si>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</si>
  <si>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</si>
  <si>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</si>
  <si>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</si>
  <si>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</si>
  <si>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</si>
  <si>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</si>
  <si>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</si>
  <si>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</si>
  <si>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</si>
  <si>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</si>
  <si>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</si>
  <si>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</si>
  <si>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</si>
  <si>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</si>
  <si>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</si>
  <si>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</si>
  <si>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</si>
  <si>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</si>
  <si>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</si>
  <si>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</si>
  <si>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</si>
  <si>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Edward Becker</t>
  </si>
  <si>
    <t>14-03-2015</t>
  </si>
  <si>
    <t>SmartStand Mobile Device Holder, Assorted Colors</t>
  </si>
  <si>
    <t>Christopher Martinez</t>
  </si>
  <si>
    <t>Newell 344</t>
  </si>
  <si>
    <t>Personal File Boxes with Fold-Down Carry Handle</t>
  </si>
  <si>
    <t>Howard Miller 11-1/2" Diameter Brentwood Wall Clock</t>
  </si>
  <si>
    <t>Plantronics MX500i Earset</t>
  </si>
  <si>
    <t>Avery Hi-Liter Smear-Safe Highlighters</t>
  </si>
  <si>
    <t>17-03-2015</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</si>
  <si>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</si>
  <si>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</si>
  <si>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</si>
  <si>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</si>
  <si>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</si>
  <si>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</si>
  <si>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</si>
  <si>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</si>
  <si>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</si>
  <si>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</si>
  <si>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</si>
  <si>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</si>
  <si>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</si>
  <si>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22-03-2015</t>
  </si>
  <si>
    <t>Dean Braden</t>
  </si>
  <si>
    <t>Verbatim 25 GB 6x Blu-ray Single Layer Recordable Disc, 25/Pack</t>
  </si>
  <si>
    <t>XtraLife ClearVue Slant-D Ring Binders by Cardinal</t>
  </si>
  <si>
    <t>Newell 316</t>
  </si>
  <si>
    <t>Iris 3-Drawer Stacking Bin, Black</t>
  </si>
  <si>
    <t>Ben Peterman</t>
  </si>
  <si>
    <t>Eureka Sanitaire  Multi-Pro Heavy-Duty Upright, Disposable Bags</t>
  </si>
  <si>
    <t>Eldon Expressions Punched Metal &amp; Wood Desk Accessories, Black &amp; Cherry</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</si>
  <si>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</si>
  <si>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</si>
  <si>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</si>
  <si>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</si>
  <si>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</si>
  <si>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</si>
  <si>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</si>
  <si>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</si>
  <si>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</si>
  <si>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</si>
  <si>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</si>
  <si>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</si>
  <si>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</si>
  <si>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</si>
  <si>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</si>
  <si>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</si>
  <si>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</si>
  <si>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</si>
  <si>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</si>
  <si>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</si>
  <si>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</si>
  <si>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</si>
  <si>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</si>
  <si>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</si>
  <si>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</si>
  <si>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</si>
  <si>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</si>
  <si>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</si>
  <si>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</si>
  <si>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</si>
  <si>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</si>
  <si>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</si>
  <si>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</si>
  <si>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</si>
  <si>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13-04-2015</t>
  </si>
  <si>
    <t>Anthony Witt</t>
  </si>
  <si>
    <t>Heather Jas</t>
  </si>
  <si>
    <t>Xerox 1973</t>
  </si>
  <si>
    <t>Flat Face Poster Frame</t>
  </si>
  <si>
    <t>3M Replacement Filter for Office Air Cleaner for 20' x 33' Room</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</si>
  <si>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</si>
  <si>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</si>
  <si>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</si>
  <si>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</si>
  <si>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</si>
  <si>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</si>
  <si>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</si>
  <si>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</si>
  <si>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</si>
  <si>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</si>
  <si>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</si>
  <si>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18-04-2015</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</si>
  <si>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</si>
  <si>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</si>
  <si>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</si>
  <si>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</si>
  <si>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</si>
  <si>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</si>
  <si>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</si>
  <si>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</si>
  <si>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</si>
  <si>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</si>
  <si>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Tenex "The Solids" Textured Chair Mats</t>
  </si>
  <si>
    <t>Global Armless Task Chair, Royal Blue</t>
  </si>
  <si>
    <t>RCA ViSYS 25825 Wireless digital phone</t>
  </si>
  <si>
    <t>27-04-2015</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</si>
  <si>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</si>
  <si>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</si>
  <si>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</si>
  <si>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</si>
  <si>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</si>
  <si>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</si>
  <si>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</si>
  <si>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</si>
  <si>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</si>
  <si>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</si>
  <si>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</si>
  <si>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</si>
  <si>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</si>
  <si>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</si>
  <si>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</si>
  <si>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</si>
  <si>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</si>
  <si>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</si>
  <si>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</si>
  <si>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</si>
  <si>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Anna Gayman</t>
  </si>
  <si>
    <t>Chromcraft Round Conference Tables</t>
  </si>
  <si>
    <t>Tripp Lite Isotel 8 Ultra 8 Outlet Metal Surge</t>
  </si>
  <si>
    <t>Global Chrome Stack Chair</t>
  </si>
  <si>
    <t>Xerox 1962</t>
  </si>
  <si>
    <t>Xerox 1953</t>
  </si>
  <si>
    <t>Rose O'Brian</t>
  </si>
  <si>
    <t>14-05-2015</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</si>
  <si>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</si>
  <si>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</si>
  <si>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</si>
  <si>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</si>
  <si>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</si>
  <si>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</si>
  <si>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22-05-2015</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</si>
  <si>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</si>
  <si>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</si>
  <si>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</si>
  <si>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</si>
  <si>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</si>
  <si>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</si>
  <si>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</si>
  <si>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</si>
  <si>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</si>
  <si>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</si>
  <si>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30-05-2015</t>
  </si>
  <si>
    <t>Edward Nazzal</t>
  </si>
  <si>
    <t>RCA H5401RE1 DECT 6.0 4-Line Cordless Handset With Caller ID/Call Waiting</t>
  </si>
  <si>
    <t>Eureka The Boss Lite 10-Amp Upright Vacuum, Blue</t>
  </si>
  <si>
    <t>Tenex Personal Project File with Scoop Front Design, Black</t>
  </si>
  <si>
    <t>O'Sullivan Living Dimensions 3-Shelf Bookcases</t>
  </si>
  <si>
    <t>Bill Donatelli</t>
  </si>
  <si>
    <t>Bagged Rubber Bands</t>
  </si>
  <si>
    <t>Tenex Traditional Chairmats for Hard Floors, Average Lip, 36" x 48"</t>
  </si>
  <si>
    <t>Xerox 1928</t>
  </si>
  <si>
    <t>Avery 491</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</si>
  <si>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</si>
  <si>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</si>
  <si>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</si>
  <si>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</si>
  <si>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</si>
  <si>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</si>
  <si>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</si>
  <si>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</si>
  <si>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</si>
  <si>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</si>
  <si>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</si>
  <si>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13-06-2015</t>
  </si>
  <si>
    <t>Lenovo 17-Key USB Numeric Keypad</t>
  </si>
  <si>
    <t>Xerox 202</t>
  </si>
  <si>
    <t>15-06-2015</t>
  </si>
  <si>
    <t>Xerox 188</t>
  </si>
  <si>
    <t>18-06-2015</t>
  </si>
  <si>
    <t>Skye Norling</t>
  </si>
  <si>
    <t>Xerox 1922</t>
  </si>
  <si>
    <t>Wilson Jones International Size A4 Ring Binders</t>
  </si>
  <si>
    <t>JM Magazine Binder</t>
  </si>
  <si>
    <t>19-06-2015</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</si>
  <si>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</si>
  <si>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</si>
  <si>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</si>
  <si>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</si>
  <si>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</si>
  <si>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</si>
  <si>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</si>
  <si>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23-06-2015</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</si>
  <si>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</si>
  <si>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</si>
  <si>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</si>
  <si>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</si>
  <si>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</si>
  <si>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</si>
  <si>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</si>
  <si>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</si>
  <si>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</si>
  <si>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</si>
  <si>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</si>
  <si>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</si>
  <si>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</si>
  <si>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</si>
  <si>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</si>
  <si>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</si>
  <si>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</si>
  <si>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</si>
  <si>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</si>
  <si>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</si>
  <si>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</si>
  <si>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</si>
  <si>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</si>
  <si>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</si>
  <si>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</si>
  <si>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</si>
  <si>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</si>
  <si>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</si>
  <si>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</si>
  <si>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</si>
  <si>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</si>
  <si>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</si>
  <si>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</si>
  <si>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</si>
  <si>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</si>
  <si>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</si>
  <si>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19-07-2015</t>
  </si>
  <si>
    <t>Thais Sissman</t>
  </si>
  <si>
    <t>Wilson Jones DublLock D-Ring Binders</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</si>
  <si>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</si>
  <si>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</si>
  <si>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</si>
  <si>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</si>
  <si>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</si>
  <si>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</si>
  <si>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</si>
  <si>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</si>
  <si>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</si>
  <si>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</si>
  <si>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</si>
  <si>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</si>
  <si>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</si>
  <si>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</si>
  <si>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</si>
  <si>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</si>
  <si>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</si>
  <si>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</si>
  <si>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</si>
  <si>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</si>
  <si>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</si>
  <si>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</si>
  <si>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</si>
  <si>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</si>
  <si>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</si>
  <si>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</si>
  <si>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</si>
  <si>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</si>
  <si>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</si>
  <si>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</si>
  <si>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</si>
  <si>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17-08-2015</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</si>
  <si>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</si>
  <si>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</si>
  <si>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</si>
  <si>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</si>
  <si>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</si>
  <si>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</si>
  <si>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</si>
  <si>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</si>
  <si>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</si>
  <si>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</si>
  <si>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</si>
  <si>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</si>
  <si>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</si>
  <si>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</si>
  <si>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</si>
  <si>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</si>
  <si>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</si>
  <si>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</si>
  <si>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</si>
  <si>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</si>
  <si>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</si>
  <si>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</si>
  <si>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</si>
  <si>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</si>
  <si>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</si>
  <si>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</si>
  <si>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</si>
  <si>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</si>
  <si>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</si>
  <si>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</si>
  <si>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</si>
  <si>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</si>
  <si>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</si>
  <si>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</si>
  <si>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</si>
  <si>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</si>
  <si>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</si>
  <si>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</si>
  <si>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</si>
  <si>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</si>
  <si>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13-09-2015</t>
  </si>
  <si>
    <t>Heavy-Duty E-Z-D Binders</t>
  </si>
  <si>
    <t>Ken Dana</t>
  </si>
  <si>
    <t>Xerox 1915</t>
  </si>
  <si>
    <t>Brendan Murry</t>
  </si>
  <si>
    <t>Anker Astro Mini 3000mAh Ultra-Compact Portable Charger</t>
  </si>
  <si>
    <t>Ann Chong</t>
  </si>
  <si>
    <t>17-09-2015</t>
  </si>
  <si>
    <t>Riverside Palais Royal Lawyers Bookcase, Royale Cherry Finish</t>
  </si>
  <si>
    <t>Howard Miller Distant Time Traveler Alarm Clock</t>
  </si>
  <si>
    <t>18-09-2015</t>
  </si>
  <si>
    <t>Rediform S.O.S. Phone Message Books</t>
  </si>
  <si>
    <t>Elite 5" Scissors</t>
  </si>
  <si>
    <t>Adam Bellavance</t>
  </si>
  <si>
    <t>Charlotte Melton</t>
  </si>
  <si>
    <t>Kensington K72356US Mouse-in-a-Box USB Desktop Mouse</t>
  </si>
  <si>
    <t>Newell 323</t>
  </si>
  <si>
    <t>Recycled Premium Regency Composition Covers</t>
  </si>
  <si>
    <t>Xerox 193</t>
  </si>
  <si>
    <t>Sanjit Jacobs</t>
  </si>
  <si>
    <t>Avery 510</t>
  </si>
  <si>
    <t>24-09-2015</t>
  </si>
  <si>
    <t>AT&amp;T 1080 Phone</t>
  </si>
  <si>
    <t>#6 3/4 Gummed Flap White Envelopes</t>
  </si>
  <si>
    <t>Blue String-Tie &amp; Button Interoffice Envelopes, 10 x 13</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</si>
  <si>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</si>
  <si>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</si>
  <si>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</si>
  <si>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</si>
  <si>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</si>
  <si>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</si>
  <si>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</si>
  <si>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</si>
  <si>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</si>
  <si>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</si>
  <si>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</si>
  <si>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</si>
  <si>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</si>
  <si>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</si>
  <si>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</si>
  <si>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</si>
  <si>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</si>
  <si>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</si>
  <si>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</si>
  <si>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15-10-2015</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</si>
  <si>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</si>
  <si>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</si>
  <si>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</si>
  <si>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</si>
  <si>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</si>
  <si>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</si>
  <si>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</si>
  <si>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</si>
  <si>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</si>
  <si>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</si>
  <si>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</si>
  <si>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</si>
  <si>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</si>
  <si>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</si>
  <si>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</si>
  <si>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</si>
  <si>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</si>
  <si>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</si>
  <si>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30-10-2015</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</si>
  <si>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</si>
  <si>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</si>
  <si>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</si>
  <si>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</si>
  <si>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</si>
  <si>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</si>
  <si>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</si>
  <si>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</si>
  <si>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</si>
  <si>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</si>
  <si>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</si>
  <si>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</si>
  <si>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</si>
  <si>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</si>
  <si>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</si>
  <si>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</si>
  <si>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</si>
  <si>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</si>
  <si>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</si>
  <si>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</si>
  <si>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</si>
  <si>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</si>
  <si>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</si>
  <si>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</si>
  <si>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</si>
  <si>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</si>
  <si>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</si>
  <si>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</si>
  <si>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</si>
  <si>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13-11-2015</t>
  </si>
  <si>
    <t>Xerox 1910</t>
  </si>
  <si>
    <t>Black Print Carbonless Snap-Off Rapid Letter, 8 1/2" x 7"</t>
  </si>
  <si>
    <t>Portfile Personal File Boxes</t>
  </si>
  <si>
    <t>14-11-2015</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</si>
  <si>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</si>
  <si>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</si>
  <si>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</si>
  <si>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</si>
  <si>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</si>
  <si>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</si>
  <si>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</si>
  <si>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17-11-2015</t>
  </si>
  <si>
    <t>Carina Media Storage Towers in Natural &amp; Black</t>
  </si>
  <si>
    <t>20-11-2015</t>
  </si>
  <si>
    <t>Gear Head AU3700S Headset</t>
  </si>
  <si>
    <t>Patrick Bzostek</t>
  </si>
  <si>
    <t>Katrina Bavinger</t>
  </si>
  <si>
    <t>Ultra Commercial Grade Dual Valve Door Closer</t>
  </si>
  <si>
    <t>NeatDesk Desktop Scanner &amp; Digital Filing System</t>
  </si>
  <si>
    <t>Sauder Barrister Bookcases</t>
  </si>
  <si>
    <t>21-11-2015</t>
  </si>
  <si>
    <t>Crayola Anti Dust Chalk, 12/Pack</t>
  </si>
  <si>
    <t>Ricoh - Ink Collector Unit for GX3000 Series Printers</t>
  </si>
  <si>
    <t>Imation Bio 2GB USBÂ Flash Drive ImationÂ Corp</t>
  </si>
  <si>
    <t>Fellowes Command Center 5-outlet power strip</t>
  </si>
  <si>
    <t>22-11-2015</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</si>
  <si>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</si>
  <si>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</si>
  <si>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</si>
  <si>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</si>
  <si>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</si>
  <si>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</si>
  <si>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</si>
  <si>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</si>
  <si>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</si>
  <si>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</si>
  <si>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</si>
  <si>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</si>
  <si>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</si>
  <si>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</si>
  <si>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</si>
  <si>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</si>
  <si>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</si>
  <si>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</si>
  <si>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</si>
  <si>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</si>
  <si>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</si>
  <si>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</si>
  <si>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</si>
  <si>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</si>
  <si>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</si>
  <si>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</si>
  <si>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</si>
  <si>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</si>
  <si>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Xerox 218</t>
  </si>
  <si>
    <t>Tonja Turnell</t>
  </si>
  <si>
    <t>Xerox 201</t>
  </si>
  <si>
    <t>Adams Phone Message Book, 200 Message Capacity, 8 1/16Â” x 11Â”</t>
  </si>
  <si>
    <t>Bush Westfield Collection Bookcases, Dark Cherry Finish</t>
  </si>
  <si>
    <t>Newell 326</t>
  </si>
  <si>
    <t>Xerox 1932</t>
  </si>
  <si>
    <t>Avery Personal Creations Heavyweight Cards</t>
  </si>
  <si>
    <t>Maxell 4.7GB DVD+RW 3/Pack</t>
  </si>
  <si>
    <t>Xerox 1930</t>
  </si>
  <si>
    <t>13-12-2015</t>
  </si>
  <si>
    <t>Fellowes 8 Outlet Superior Workstation Surge Protector w/o Phone/Fax/Modem Protection</t>
  </si>
  <si>
    <t>14-12-2015</t>
  </si>
  <si>
    <t>Doug Jacobs</t>
  </si>
  <si>
    <t>Master Caster Door Stop, Gray</t>
  </si>
  <si>
    <t>Micro Innovations USB RF Wireless Keyboard with Mouse</t>
  </si>
  <si>
    <t>Ibico Recycled Grain-Textured Covers</t>
  </si>
  <si>
    <t>Bush Andora Conference Table, Maple/Graphite Gray Finish</t>
  </si>
  <si>
    <t>15-12-2015</t>
  </si>
  <si>
    <t>3M Office Air Cleaner</t>
  </si>
  <si>
    <t>Cubify CubeX 3D Printer Double Head Print</t>
  </si>
  <si>
    <t>Cisco Small Business SPA 502G VoIP phone</t>
  </si>
  <si>
    <t>16-12-2015</t>
  </si>
  <si>
    <t>17-12-2015</t>
  </si>
  <si>
    <t>Hon Valutask Swivel Chairs</t>
  </si>
  <si>
    <t>18-12-2015</t>
  </si>
  <si>
    <t>20-12-2015</t>
  </si>
  <si>
    <t>21-12-2015</t>
  </si>
  <si>
    <t>Elpida Rittenbach</t>
  </si>
  <si>
    <t>Anker 36W 4-Port USB Wall Charger Travel Power Adapter for iPhone 5s 5c 5</t>
  </si>
  <si>
    <t>Recycled Interoffice Envelopes with Re-Use-A-Seal Closure, 10 x 13</t>
  </si>
  <si>
    <t>Stanley Bostitch Contemporary Electric Pencil Sharpeners</t>
  </si>
  <si>
    <t>Rush Hierlooms Collection Rich Wood Bookcases</t>
  </si>
  <si>
    <t>26-12-2015</t>
  </si>
  <si>
    <t>Office Star - Contemporary Task Swivel chair with 2-way adjustable arms, Plum</t>
  </si>
  <si>
    <t>27-12-2015</t>
  </si>
  <si>
    <t>#10-4 1/8" x 9 1/2" Premium Diagonal Seam Envelopes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</si>
  <si>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</si>
  <si>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</si>
  <si>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</si>
  <si>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</si>
  <si>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</si>
  <si>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</si>
  <si>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</si>
  <si>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</si>
  <si>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</si>
  <si>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</si>
  <si>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</si>
  <si>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</si>
  <si>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</si>
  <si>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</si>
  <si>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14-01-2016</t>
  </si>
  <si>
    <t>Electrix Fluorescent Magnifier Lamps &amp; Weighted Base</t>
  </si>
  <si>
    <t>Bill Eplett</t>
  </si>
  <si>
    <t>ImationÂ 8GB Mini TravelDrive USB 2.0Â Flash Drive</t>
  </si>
  <si>
    <t>23-01-2016</t>
  </si>
  <si>
    <t>4009 Highlighters</t>
  </si>
  <si>
    <t>Dixon Ticonderoga Maple Cedar Pencil, #2</t>
  </si>
  <si>
    <t>Telephone Message Books with Fax/Mobile Section, 4 1/4" x 6"</t>
  </si>
  <si>
    <t>30-01-2016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</si>
  <si>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</si>
  <si>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</si>
  <si>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</si>
  <si>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</si>
  <si>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</si>
  <si>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</si>
  <si>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16-02-2016</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</si>
  <si>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</si>
  <si>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</si>
  <si>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</si>
  <si>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</si>
  <si>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</si>
  <si>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</si>
  <si>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</si>
  <si>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</si>
  <si>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</si>
  <si>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</si>
  <si>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</si>
  <si>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</si>
  <si>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</si>
  <si>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</si>
  <si>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13-03-2016</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</si>
  <si>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</si>
  <si>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</si>
  <si>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</si>
  <si>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</si>
  <si>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</si>
  <si>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</si>
  <si>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18-03-2016</t>
  </si>
  <si>
    <t>Atlantic Metals Mobile 2-Shelf Bookcases, Custom Colors</t>
  </si>
  <si>
    <t>Belkin iPhone and iPad Lightning Cable</t>
  </si>
  <si>
    <t>21-03-2016</t>
  </si>
  <si>
    <t>Avery Durable Slant Ring Binders</t>
  </si>
  <si>
    <t>Newell 33</t>
  </si>
  <si>
    <t>Ink Jet Note and Greeting Cards, 8-1/2" x 5-1/2" Card Size</t>
  </si>
  <si>
    <t>Eldon Expressions Wood and Plastic Desk Accessories, Oak</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</si>
  <si>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</si>
  <si>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</si>
  <si>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</si>
  <si>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</si>
  <si>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</si>
  <si>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</si>
  <si>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</si>
  <si>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</si>
  <si>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</si>
  <si>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</si>
  <si>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</si>
  <si>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</si>
  <si>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</si>
  <si>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14-04-2016</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</si>
  <si>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</si>
  <si>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</si>
  <si>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</si>
  <si>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</si>
  <si>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</si>
  <si>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</si>
  <si>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</si>
  <si>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</si>
  <si>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</si>
  <si>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</si>
  <si>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18-04-2016</t>
  </si>
  <si>
    <t>19-04-2016</t>
  </si>
  <si>
    <t>Premier Electric Letter Opener</t>
  </si>
  <si>
    <t>Southworth 25% Cotton Linen-Finish Paper &amp; Envelopes</t>
  </si>
  <si>
    <t>Embossed Ink Jet Note Cards</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</si>
  <si>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</si>
  <si>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</si>
  <si>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</si>
  <si>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</si>
  <si>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</si>
  <si>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</si>
  <si>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</si>
  <si>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</si>
  <si>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</si>
  <si>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</si>
  <si>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</si>
  <si>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</si>
  <si>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</si>
  <si>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</si>
  <si>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</si>
  <si>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</si>
  <si>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</si>
  <si>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</si>
  <si>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</si>
  <si>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</si>
  <si>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</si>
  <si>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</si>
  <si>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</si>
  <si>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21-05-2016</t>
  </si>
  <si>
    <t>Panasonic KX MB2061 Multifunction Printer</t>
  </si>
  <si>
    <t>Alejandro Savely</t>
  </si>
  <si>
    <t>Nortel Business Series Terminal T7208 Digital phone</t>
  </si>
  <si>
    <t>Canon imageCLASS 2200 Advanced Copier</t>
  </si>
  <si>
    <t>BIC Liqua Brite Liner</t>
  </si>
  <si>
    <t>25-05-2016</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</si>
  <si>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</si>
  <si>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</si>
  <si>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</si>
  <si>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</si>
  <si>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</si>
  <si>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</si>
  <si>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</si>
  <si>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</si>
  <si>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</si>
  <si>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</si>
  <si>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</si>
  <si>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</si>
  <si>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</si>
  <si>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Canon Color ImageCLASS MF8580Cdw Wireless Laser All-In-One Printer, Copier, Scanner</t>
  </si>
  <si>
    <t>IBM Multi-Purpose Copy Paper, 8 1/2 x 11", Case</t>
  </si>
  <si>
    <t>Xerox 1975</t>
  </si>
  <si>
    <t>13-06-2016</t>
  </si>
  <si>
    <t>14-06-2016</t>
  </si>
  <si>
    <t>Jim Sink</t>
  </si>
  <si>
    <t>16-06-2016</t>
  </si>
  <si>
    <t>Penpower WorldCard Pro Card Scanner</t>
  </si>
  <si>
    <t>Ted Butterfield</t>
  </si>
  <si>
    <t>Wirebound Message Books, 2 7/8" x 5", 3 Forms per Page</t>
  </si>
  <si>
    <t>Sanyo 2.5 Cubic Foot Mid-Size Office Refrigerators</t>
  </si>
  <si>
    <t>Translucent Push Pins by OIC</t>
  </si>
  <si>
    <t>25-06-2016</t>
  </si>
  <si>
    <t>Eldon Executive Woodline II Cherry Finish Desk Accessories</t>
  </si>
  <si>
    <t>26-06-2016</t>
  </si>
  <si>
    <t>Memorex Mini Travel Drive 4 GB USB 2.0 Flash Drive</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</si>
  <si>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</si>
  <si>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</si>
  <si>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</si>
  <si>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</si>
  <si>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</si>
  <si>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</si>
  <si>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</si>
  <si>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Fiskars Home &amp; Office Scissors</t>
  </si>
  <si>
    <t>16-07-2016</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</si>
  <si>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</si>
  <si>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</si>
  <si>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</si>
  <si>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</si>
  <si>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</si>
  <si>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</si>
  <si>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</si>
  <si>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</si>
  <si>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</si>
  <si>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</si>
  <si>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</si>
  <si>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</si>
  <si>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</si>
  <si>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</si>
  <si>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</si>
  <si>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14-08-2016</t>
  </si>
  <si>
    <t>Array Memo Cubes</t>
  </si>
  <si>
    <t>Rediform S.O.S. 1-Up Phone Message Bk, 4-1/4x3-1/16 Bk, 1 Form/Pg, 40 Messages/Bk, 3/Pk</t>
  </si>
  <si>
    <t>Mick Hernandez</t>
  </si>
  <si>
    <t>Avery 515</t>
  </si>
  <si>
    <t>Advantus SlideClip Paper Clips</t>
  </si>
  <si>
    <t>Samsung Replacement EH64AVFWE Premium Headset</t>
  </si>
  <si>
    <t>27-08-2016</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</si>
  <si>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</si>
  <si>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</si>
  <si>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</si>
  <si>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</si>
  <si>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</si>
  <si>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</si>
  <si>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</si>
  <si>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</si>
  <si>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</si>
  <si>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</si>
  <si>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</si>
  <si>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14-09-2016</t>
  </si>
  <si>
    <t>Xerox 1968</t>
  </si>
  <si>
    <t>16-09-2016</t>
  </si>
  <si>
    <t>17-09-2016</t>
  </si>
  <si>
    <t>Lexmark X 9575 Professional All-in-One Color Printer</t>
  </si>
  <si>
    <t>18-09-2016</t>
  </si>
  <si>
    <t>19-09-2016</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</si>
  <si>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</si>
  <si>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</si>
  <si>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</si>
  <si>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</si>
  <si>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</si>
  <si>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</si>
  <si>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</si>
  <si>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</si>
  <si>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</si>
  <si>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</si>
  <si>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13-10-2016</t>
  </si>
  <si>
    <t>SAFCO Folding Chair Trolley</t>
  </si>
  <si>
    <t>15-10-2016</t>
  </si>
  <si>
    <t>Xerox 1982</t>
  </si>
  <si>
    <t>22-10-2016</t>
  </si>
  <si>
    <t>Linden 12" Wall Clock With Oak Frame</t>
  </si>
  <si>
    <t>Okidata B401 Printer</t>
  </si>
  <si>
    <t>Okidata B400 Printer</t>
  </si>
  <si>
    <t>Logitech Wireless Headset H600 Over-The-Head Design</t>
  </si>
  <si>
    <t>Cherry 142-key Programmable Keyboard</t>
  </si>
  <si>
    <t>Belkin F9S820V06 8 Outlet Surge</t>
  </si>
  <si>
    <t>Newell 338</t>
  </si>
  <si>
    <t>Magnifier Swing Arm Lamp</t>
  </si>
  <si>
    <t>13-11-2016</t>
  </si>
  <si>
    <t>Xiaomi Mi3</t>
  </si>
  <si>
    <t>14-11-2016</t>
  </si>
  <si>
    <t>18-11-2016</t>
  </si>
  <si>
    <t>19-11-2016</t>
  </si>
  <si>
    <t>20-11-2016</t>
  </si>
  <si>
    <t>Avaya 5420 Digital phone</t>
  </si>
  <si>
    <t>21-11-2016</t>
  </si>
  <si>
    <t>Texas Instrument TI-15 Fraction Calculator</t>
  </si>
  <si>
    <t>24-11-2016</t>
  </si>
  <si>
    <t>Stockwell Gold Paper Clips</t>
  </si>
  <si>
    <t>Neola Schneider</t>
  </si>
  <si>
    <t>O'Sullivan Cherrywood Estates Traditional Bookcase</t>
  </si>
  <si>
    <t>25-11-2016</t>
  </si>
  <si>
    <t>Konica Minolta magicolor 1690MF Multifunction Printer</t>
  </si>
  <si>
    <t>NETGEAR RangeMax WNR1000 Wireless Router</t>
  </si>
  <si>
    <t>26-11-2016</t>
  </si>
  <si>
    <t>Hewlett-Packard Deskjet 3050a All-in-One Color Inkjet Printer</t>
  </si>
  <si>
    <t>Motorola Moto X</t>
  </si>
  <si>
    <t>Xerox 215</t>
  </si>
  <si>
    <t>Belkin OmniView SE Rackmount Kit</t>
  </si>
  <si>
    <t>Newell 318</t>
  </si>
  <si>
    <t>Avery 517</t>
  </si>
  <si>
    <t>Harmony HEPA Quiet Air Purifiers</t>
  </si>
  <si>
    <t>Xerox 1907</t>
  </si>
  <si>
    <t>14-12-2016</t>
  </si>
  <si>
    <t>15-12-2016</t>
  </si>
  <si>
    <t>Xerox 1958</t>
  </si>
  <si>
    <t>16-12-2016</t>
  </si>
  <si>
    <t>Seth Thomas 12" Clock w/ Goldtone Case</t>
  </si>
  <si>
    <t>Strathmore Photo Mount Cards</t>
  </si>
  <si>
    <t>23-12-2016</t>
  </si>
  <si>
    <t>LG G2</t>
  </si>
  <si>
    <t>Samsung Galaxy Note 2</t>
  </si>
  <si>
    <t>Hoover Commercial SteamVac</t>
  </si>
  <si>
    <t>14-01-2017</t>
  </si>
  <si>
    <t>19-01-2017</t>
  </si>
  <si>
    <t>21-01-2017</t>
  </si>
  <si>
    <t>I.R.I.S IRISCard Anywhere 5 Card Scanner</t>
  </si>
  <si>
    <t>Canon Image Class D660 Copier</t>
  </si>
  <si>
    <t>HP Officejet Pro 8600 e-All-In-One Printer, Copier, Scanner, Fax</t>
  </si>
  <si>
    <t>17-02-2017</t>
  </si>
  <si>
    <t>18-02-2017</t>
  </si>
  <si>
    <t>Microsoft Wireless Mobile Mouse 4000</t>
  </si>
  <si>
    <t>21-02-2017</t>
  </si>
  <si>
    <t>Belkin 8 Outlet SurgeMaster II Gold Surge Protector with Phone Protection</t>
  </si>
  <si>
    <t>13-03-2017</t>
  </si>
  <si>
    <t>Col-Erase Pencils with Erasers</t>
  </si>
  <si>
    <t>16-03-2017</t>
  </si>
  <si>
    <t>Xerox 1980</t>
  </si>
  <si>
    <t>Career Cubicle Clock, 8 1/4", Black</t>
  </si>
  <si>
    <t>Unpadded Memo Slips</t>
  </si>
  <si>
    <t>Panasonic KX - TS880B Telephone</t>
  </si>
  <si>
    <t>30-03-2017</t>
  </si>
  <si>
    <t>Tony Molinari</t>
  </si>
  <si>
    <t>Multimedia Mailers</t>
  </si>
  <si>
    <t>Color-Coded Legal Exhibit Labels</t>
  </si>
  <si>
    <t>Computer Printout Paper with Letter-Trim Fine Perforations</t>
  </si>
  <si>
    <t>Pencil and Crayon Sharpener</t>
  </si>
  <si>
    <t>13-04-2017</t>
  </si>
  <si>
    <t>30-04-2017</t>
  </si>
  <si>
    <t>Avery 5</t>
  </si>
  <si>
    <t>14-05-2017</t>
  </si>
  <si>
    <t>15-05-2017</t>
  </si>
  <si>
    <t>Universal Ultra Bright White Copier/Laser Paper, 8 1/2" x 11", Ream</t>
  </si>
  <si>
    <t>Plastic Stacking Crates &amp; Casters</t>
  </si>
  <si>
    <t>19-05-2017</t>
  </si>
  <si>
    <t>Nokia Lumia 925</t>
  </si>
  <si>
    <t>Bulldog Table or Wall-Mount Pencil Sharpener</t>
  </si>
  <si>
    <t>Belkin 8-Outlet Premiere SurgeMaster II Surge Protectors</t>
  </si>
  <si>
    <t>27-05-2017</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</si>
  <si>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</si>
  <si>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</si>
  <si>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</si>
  <si>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</si>
  <si>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</si>
  <si>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15-06-2017</t>
  </si>
  <si>
    <t>Clay Cheatham</t>
  </si>
  <si>
    <t>16-06-2017</t>
  </si>
  <si>
    <t>Fellowes Smart Surge Ten-Outlet Protector, Platinum</t>
  </si>
  <si>
    <t>17-06-2017</t>
  </si>
  <si>
    <t>Hewlett-Packard Desktjet 6988DT Refurbished Printer</t>
  </si>
  <si>
    <t>Kingston Digital DataTraveler 64GB USB 2.0</t>
  </si>
  <si>
    <t>19-06-2017</t>
  </si>
  <si>
    <t>Chuck Sachs</t>
  </si>
  <si>
    <t>Hewlett-Packard Deskjet 5550 Printer</t>
  </si>
  <si>
    <t>Quartet Alpha White Chalk, 12/Pack</t>
  </si>
  <si>
    <t>14-07-2017</t>
  </si>
  <si>
    <t>15-07-2017</t>
  </si>
  <si>
    <t>18-07-2017</t>
  </si>
  <si>
    <t>Wirebound Message Forms, Four 2 3/4 x 5 Forms per Page, Pink Paper</t>
  </si>
  <si>
    <t>Xerox 1998</t>
  </si>
  <si>
    <t>Mead 1st Gear 2" Zipper Binder, Asst. Colors</t>
  </si>
  <si>
    <t>Global Enterprise Series Seating Low-Back Swivel/Tilt Chairs</t>
  </si>
  <si>
    <t>18-08-2017</t>
  </si>
  <si>
    <t>21-08-2017</t>
  </si>
  <si>
    <t>MaxellÂ iVDR EX 500GB Cartridge</t>
  </si>
  <si>
    <t>"While you Were Out" Message Book, One Form per Page</t>
  </si>
  <si>
    <t>Bush Birmingham Collection Bookcase, Dark Cherry</t>
  </si>
  <si>
    <t>iOttie XL Car Mount</t>
  </si>
  <si>
    <t>14-09-2017</t>
  </si>
  <si>
    <t>15-09-2017</t>
  </si>
  <si>
    <t>16-09-2017</t>
  </si>
  <si>
    <t>17-09-2017</t>
  </si>
  <si>
    <t>Xerox 1984</t>
  </si>
  <si>
    <t>Global Adaptabilites Bookcase, Cherry/Storm Gray Finish</t>
  </si>
  <si>
    <t>Lexmark 20R1285 X6650 Wireless All-in-One Printer</t>
  </si>
  <si>
    <t>Post-it Â“Important MessageÂ” Note Pad, Neon Colors, 50 Sheets/Pad</t>
  </si>
  <si>
    <t>19-09-2017</t>
  </si>
  <si>
    <t>22-09-2017</t>
  </si>
  <si>
    <t>Stride Job 150 Highlighters, Chisel Tip, Assorted Colors</t>
  </si>
  <si>
    <t>24-09-2017</t>
  </si>
  <si>
    <t>Socket Bluetooth Cordless Hand Scanner (CHS)</t>
  </si>
  <si>
    <t>29-09-2017</t>
  </si>
  <si>
    <t>Wasp CCD Handheld Bar Code Reader</t>
  </si>
  <si>
    <t>Xerox 1989</t>
  </si>
  <si>
    <t>13-10-2017</t>
  </si>
  <si>
    <t>15-10-2017</t>
  </si>
  <si>
    <t>Panasonic KP-310 Heavy-Duty Electric Pencil Sharpener</t>
  </si>
  <si>
    <t>16-10-2017</t>
  </si>
  <si>
    <t>17-10-2017</t>
  </si>
  <si>
    <t>19-10-2017</t>
  </si>
  <si>
    <t>23-10-2017</t>
  </si>
  <si>
    <t>Xerox 1969</t>
  </si>
  <si>
    <t>Cubify CubeX 3D Printer Triple Head Print</t>
  </si>
  <si>
    <t>Decoflex Hanging Personal Folder File</t>
  </si>
  <si>
    <t>13-11-2017</t>
  </si>
  <si>
    <t>14-11-2017</t>
  </si>
  <si>
    <t>15-11-2017</t>
  </si>
  <si>
    <t>16-11-2017</t>
  </si>
  <si>
    <t>17-11-2017</t>
  </si>
  <si>
    <t>Xerox 1938</t>
  </si>
  <si>
    <t>19-11-2017</t>
  </si>
  <si>
    <t>Xerox 1901</t>
  </si>
  <si>
    <t>30-11-2017</t>
  </si>
  <si>
    <t>Panasonic BusinessÂ TelephonesÂ KX-T7736</t>
  </si>
  <si>
    <t>13-12-2017</t>
  </si>
  <si>
    <t>14-12-2017</t>
  </si>
  <si>
    <t>17-12-2017</t>
  </si>
  <si>
    <t>18-12-2017</t>
  </si>
  <si>
    <t>Bush Saratoga Collection 5-Shelf Bookcase, Hanover Cherry, *Special Order</t>
  </si>
  <si>
    <t>29-12-2017</t>
  </si>
  <si>
    <t>Acco Glide Clips</t>
  </si>
  <si>
    <t>Year</t>
  </si>
  <si>
    <t>Month</t>
  </si>
  <si>
    <t>Row Labels</t>
  </si>
  <si>
    <t>Grand Total</t>
  </si>
  <si>
    <t>Sum of Sales</t>
  </si>
  <si>
    <t>Sum of Profit</t>
  </si>
  <si>
    <t>Column Labels</t>
  </si>
  <si>
    <t>13/02/2016</t>
  </si>
  <si>
    <t>13/02/2017</t>
  </si>
  <si>
    <t>13/03/2016</t>
  </si>
  <si>
    <t>Count of Customer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</si>
</sst>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4">
    <xf numFmtId="0" fontId="0" fillId="0" borderId="0" xfId="0"/>
    <xf numFmtId="14" fontId="0" fillId="0" borderId="0" xfId="0" applyNumberFormat="1"/>
    <xf numFmtId="14" fontId="0" fillId="0" borderId="0" xfId="0" applyNumberFormat="1" applyAlignment="1">
      <alignment horizontal="left"/>
    </xf>
    <xf numFmtId="0" fontId="0" fillId="0" borderId="0" xfId="0" applyAlignment="1">
      <alignment horizontal="left"/>
    </xf>
    <xf numFmtId="0" fontId="13" fillId="33" borderId="10" xfId="0" applyFont="1" applyFill="1" applyBorder="1"/>
    <xf numFmtId="0" fontId="0" fillId="34" borderId="10" xfId="0" applyFont="1" applyFill="1" applyBorder="1"/>
    <xf numFmtId="0" fontId="0" fillId="0" borderId="10" xfId="0" applyFont="1" applyBorder="1"/>
    <xf numFmtId="164" fontId="0" fillId="0" borderId="0" xfId="0" applyNumberFormat="1"/>
    <xf numFmtId="1" fontId="0" fillId="0" borderId="0" xfId="0" applyNumberFormat="1"/>
    <xf numFmtId="1" fontId="0" fillId="0" borderId="0" xfId="0" applyNumberFormat="1" applyAlignment="1">
      <alignment horizontal="left"/>
    </xf>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0" xfId="0" pivotButton="1"/>
    <xf numFmtId="0" fontId="0" fillId="0" borderId="0" xfId="0" applyNumberFormat="1"/>
    <xf numFmtId="14" fontId="13" fillId="33" borderId="10" xfId="0" applyNumberFormat="1" applyFont="1" applyFill="1" applyBorder="1"/>
    <xf numFmtId="1" fontId="0" fillId="34" borderId="10" xfId="0" applyNumberFormat="1" applyFont="1" applyFill="1" applyBorder="1" applyAlignment="1">
      <alignment horizontal="left"/>
    </xf>
    <xf numFmtId="1" fontId="0" fillId="0" borderId="10" xfId="0" applyNumberFormat="1" applyFont="1" applyBorder="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
    <dxf>
      <numFmt numFmtId="164" formatCode="&quot;$&quot;#,##0.00"/>
    </dxf>
    <dxf>
      <numFmt numFmtId="1" formatCode="0"/>
    </dxf>
    <dxf>
      <numFmt numFmtId="164" formatCode="&quot;$&quot;#,##0.0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s>
  <tableStyles count="0" defaultTableStyle="TableStyleMedium2" defaultPivotStyle="PivotStyleLight16"/>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DASHBOARD1.xlsm]PROFIT GAINED!PivotTable8</c:name>
    <c:fmtId val="3"/>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46981627296588"/>
          <c:y val="0.26851851851851855"/>
          <c:w val="0.7997928696412947"/>
          <c:h val="0.68055555555555547"/>
        </c:manualLayout>
      </c:layout>
      <c:lineChart>
        <c:grouping val="standard"/>
        <c:varyColors val="0"/>
        <c:ser>
          <c:idx val="0"/>
          <c:order val="0"/>
          <c:tx>
            <c:strRef>
              <c:f>'PROFIT GAINED'!$B$3:$B$4</c:f>
              <c:strCache>
                <c:ptCount val="1"/>
                <c:pt idx="0">
                  <c:v>Furniture</c:v>
                </c:pt>
              </c:strCache>
            </c:strRef>
          </c:tx>
          <c:spPr>
            <a:ln w="28575" cap="rnd">
              <a:solidFill>
                <a:schemeClr val="accent1"/>
              </a:solidFill>
              <a:round/>
            </a:ln>
            <a:effectLst/>
          </c:spPr>
          <c:marker>
            <c:symbol val="none"/>
          </c:marker>
          <c:cat>
            <c:strRef>
              <c:f>'PROFIT GAINED'!$A$5:$A$8</c:f>
              <c:strCache>
                <c:ptCount val="4"/>
                <c:pt idx="0">
                  <c:v>2014</c:v>
                </c:pt>
                <c:pt idx="1">
                  <c:v>2015</c:v>
                </c:pt>
                <c:pt idx="2">
                  <c:v>2016</c:v>
                </c:pt>
                <c:pt idx="3">
                  <c:v>2017</c:v>
                </c:pt>
              </c:strCache>
            </c:strRef>
          </c:cat>
          <c:val>
            <c:numRef>
              <c:f>'PROFIT GAINED'!$B$5:$B$8</c:f>
              <c:numCache>
                <c:formatCode>General</c:formatCode>
                <c:ptCount val="4"/>
                <c:pt idx="0">
                  <c:v>2227.5799999999995</c:v>
                </c:pt>
                <c:pt idx="1">
                  <c:v>1341.1299999999999</c:v>
                </c:pt>
                <c:pt idx="2">
                  <c:v>-359.2399999999999</c:v>
                </c:pt>
                <c:pt idx="3">
                  <c:v>-283.20000000000005</c:v>
                </c:pt>
              </c:numCache>
            </c:numRef>
          </c:val>
          <c:smooth val="0"/>
          <c:extLst>
            <c:ext xmlns:c16="http://schemas.microsoft.com/office/drawing/2014/chart" uri="{C3380CC4-5D6E-409C-BE32-E72D297353CC}">
              <c16:uniqueId val="{00000000-D492-48A6-BF83-83D042FB98D5}"/>
            </c:ext>
          </c:extLst>
        </c:ser>
        <c:ser>
          <c:idx val="1"/>
          <c:order val="1"/>
          <c:tx>
            <c:strRef>
              <c:f>'PROFIT GAINED'!$C$3:$C$4</c:f>
              <c:strCache>
                <c:ptCount val="1"/>
                <c:pt idx="0">
                  <c:v>Office Supplies</c:v>
                </c:pt>
              </c:strCache>
            </c:strRef>
          </c:tx>
          <c:spPr>
            <a:ln w="28575" cap="rnd">
              <a:solidFill>
                <a:schemeClr val="accent2"/>
              </a:solidFill>
              <a:round/>
            </a:ln>
            <a:effectLst/>
          </c:spPr>
          <c:marker>
            <c:symbol val="none"/>
          </c:marker>
          <c:cat>
            <c:strRef>
              <c:f>'PROFIT GAINED'!$A$5:$A$8</c:f>
              <c:strCache>
                <c:ptCount val="4"/>
                <c:pt idx="0">
                  <c:v>2014</c:v>
                </c:pt>
                <c:pt idx="1">
                  <c:v>2015</c:v>
                </c:pt>
                <c:pt idx="2">
                  <c:v>2016</c:v>
                </c:pt>
                <c:pt idx="3">
                  <c:v>2017</c:v>
                </c:pt>
              </c:strCache>
            </c:strRef>
          </c:cat>
          <c:val>
            <c:numRef>
              <c:f>'PROFIT GAINED'!$C$5:$C$8</c:f>
              <c:numCache>
                <c:formatCode>General</c:formatCode>
                <c:ptCount val="4"/>
                <c:pt idx="0">
                  <c:v>8263.1799999999912</c:v>
                </c:pt>
                <c:pt idx="1">
                  <c:v>657.19999999999993</c:v>
                </c:pt>
                <c:pt idx="2">
                  <c:v>4711.08</c:v>
                </c:pt>
                <c:pt idx="3">
                  <c:v>808.64999999999861</c:v>
                </c:pt>
              </c:numCache>
            </c:numRef>
          </c:val>
          <c:smooth val="0"/>
          <c:extLst>
            <c:ext xmlns:c16="http://schemas.microsoft.com/office/drawing/2014/chart" uri="{C3380CC4-5D6E-409C-BE32-E72D297353CC}">
              <c16:uniqueId val="{00000002-C240-493B-A42B-FCB0196A2119}"/>
            </c:ext>
          </c:extLst>
        </c:ser>
        <c:ser>
          <c:idx val="2"/>
          <c:order val="2"/>
          <c:tx>
            <c:strRef>
              <c:f>'PROFIT GAINED'!$D$3:$D$4</c:f>
              <c:strCache>
                <c:ptCount val="1"/>
                <c:pt idx="0">
                  <c:v>Technology</c:v>
                </c:pt>
              </c:strCache>
            </c:strRef>
          </c:tx>
          <c:spPr>
            <a:ln w="28575" cap="rnd">
              <a:solidFill>
                <a:schemeClr val="accent3"/>
              </a:solidFill>
              <a:round/>
            </a:ln>
            <a:effectLst/>
          </c:spPr>
          <c:marker>
            <c:symbol val="none"/>
          </c:marker>
          <c:cat>
            <c:strRef>
              <c:f>'PROFIT GAINED'!$A$5:$A$8</c:f>
              <c:strCache>
                <c:ptCount val="4"/>
                <c:pt idx="0">
                  <c:v>2014</c:v>
                </c:pt>
                <c:pt idx="1">
                  <c:v>2015</c:v>
                </c:pt>
                <c:pt idx="2">
                  <c:v>2016</c:v>
                </c:pt>
                <c:pt idx="3">
                  <c:v>2017</c:v>
                </c:pt>
              </c:strCache>
            </c:strRef>
          </c:cat>
          <c:val>
            <c:numRef>
              <c:f>'PROFIT GAINED'!$D$5:$D$8</c:f>
              <c:numCache>
                <c:formatCode>General</c:formatCode>
                <c:ptCount val="4"/>
                <c:pt idx="0">
                  <c:v>6647.7699999999977</c:v>
                </c:pt>
                <c:pt idx="1">
                  <c:v>5824.4599999999991</c:v>
                </c:pt>
                <c:pt idx="2">
                  <c:v>17079.959999999995</c:v>
                </c:pt>
                <c:pt idx="3">
                  <c:v>1035.5399999999997</c:v>
                </c:pt>
              </c:numCache>
            </c:numRef>
          </c:val>
          <c:smooth val="0"/>
          <c:extLst>
            <c:ext xmlns:c16="http://schemas.microsoft.com/office/drawing/2014/chart" uri="{C3380CC4-5D6E-409C-BE32-E72D297353CC}">
              <c16:uniqueId val="{00000003-C240-493B-A42B-FCB0196A2119}"/>
            </c:ext>
          </c:extLst>
        </c:ser>
        <c:dLbls>
          <c:showLegendKey val="0"/>
          <c:showVal val="0"/>
          <c:showCatName val="0"/>
          <c:showSerName val="0"/>
          <c:showPercent val="0"/>
          <c:showBubbleSize val="0"/>
        </c:dLbls>
        <c:smooth val="0"/>
        <c:axId val="641157279"/>
        <c:axId val="641158239"/>
      </c:lineChart>
      <c:catAx>
        <c:axId val="641157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158239"/>
        <c:crosses val="autoZero"/>
        <c:auto val="1"/>
        <c:lblAlgn val="ctr"/>
        <c:lblOffset val="100"/>
        <c:noMultiLvlLbl val="0"/>
      </c:catAx>
      <c:valAx>
        <c:axId val="641158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157279"/>
        <c:crosses val="autoZero"/>
        <c:crossBetween val="between"/>
      </c:valAx>
      <c:spPr>
        <a:noFill/>
        <a:ln>
          <a:noFill/>
        </a:ln>
        <a:effectLst/>
      </c:spPr>
    </c:plotArea>
    <c:legend>
      <c:legendPos val="r"/>
      <c:layout>
        <c:manualLayout>
          <c:xMode val="edge"/>
          <c:yMode val="edge"/>
          <c:x val="0.16259601924759404"/>
          <c:y val="3.5589457567804017E-2"/>
          <c:w val="0.67629286964129487"/>
          <c:h val="0.234376640419947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DASHBOARD1.xlsm]MONTHLY  SALES!PivotTable9</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'MONTHLY  SALES'!$B$3</c:f>
              <c:strCache>
                <c:ptCount val="1"/>
                <c:pt idx="0">
                  <c:v>Total</c:v>
                </c:pt>
              </c:strCache>
            </c:strRef>
          </c:tx>
          <c:spPr>
            <a:solidFill>
              <a:schemeClr val="accent1"/>
            </a:solidFill>
            <a:ln>
              <a:noFill/>
            </a:ln>
            <a:effectLst/>
          </c:spPr>
          <c:cat>
            <c:strRef>
              <c:f>'MONTHLY  SALES'!$A$4:$A$16</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  SALES'!$B$4:$B$16</c:f>
              <c:numCache>
                <c:formatCode>General</c:formatCode>
                <c:ptCount val="12"/>
                <c:pt idx="0">
                  <c:v>46220.69000000001</c:v>
                </c:pt>
                <c:pt idx="1">
                  <c:v>66761.310000000012</c:v>
                </c:pt>
                <c:pt idx="2">
                  <c:v>38382.949999999997</c:v>
                </c:pt>
                <c:pt idx="3">
                  <c:v>36177.239999999991</c:v>
                </c:pt>
                <c:pt idx="4">
                  <c:v>31837.86</c:v>
                </c:pt>
                <c:pt idx="5">
                  <c:v>22485.700000000008</c:v>
                </c:pt>
                <c:pt idx="6">
                  <c:v>25412.140000000007</c:v>
                </c:pt>
                <c:pt idx="7">
                  <c:v>46825.88</c:v>
                </c:pt>
                <c:pt idx="8">
                  <c:v>28545.370000000003</c:v>
                </c:pt>
                <c:pt idx="9">
                  <c:v>19197.989999999994</c:v>
                </c:pt>
                <c:pt idx="10">
                  <c:v>29434.32</c:v>
                </c:pt>
                <c:pt idx="11">
                  <c:v>28113.139999999996</c:v>
                </c:pt>
              </c:numCache>
            </c:numRef>
          </c:val>
          <c:extLst>
            <c:ext xmlns:c16="http://schemas.microsoft.com/office/drawing/2014/chart" uri="{C3380CC4-5D6E-409C-BE32-E72D297353CC}">
              <c16:uniqueId val="{00000000-D020-4C4A-AB75-44A9C6894458}"/>
            </c:ext>
          </c:extLst>
        </c:ser>
        <c:dLbls>
          <c:showLegendKey val="0"/>
          <c:showVal val="0"/>
          <c:showCatName val="0"/>
          <c:showSerName val="0"/>
          <c:showPercent val="0"/>
          <c:showBubbleSize val="0"/>
        </c:dLbls>
        <c:axId val="641158719"/>
        <c:axId val="641155359"/>
      </c:areaChart>
      <c:catAx>
        <c:axId val="6411587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155359"/>
        <c:crosses val="autoZero"/>
        <c:auto val="1"/>
        <c:lblAlgn val="ctr"/>
        <c:lblOffset val="100"/>
        <c:noMultiLvlLbl val="0"/>
      </c:catAx>
      <c:valAx>
        <c:axId val="641155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15871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390-45AC-8B03-D362DEF776B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390-45AC-8B03-D362DEF776B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390-45AC-8B03-D362DEF776B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390-45AC-8B03-D362DEF776B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390-45AC-8B03-D362DEF776B4}"/>
              </c:ext>
            </c:extLst>
          </c:dPt>
          <c:cat>
            <c:strRef>
              <c:f>'TOP 5 CUSTOMERS'!$C$4:$C$8</c:f>
              <c:strCache>
                <c:ptCount val="5"/>
                <c:pt idx="0">
                  <c:v>Tamara Chand</c:v>
                </c:pt>
                <c:pt idx="1">
                  <c:v>Sanjit Engle</c:v>
                </c:pt>
                <c:pt idx="2">
                  <c:v>Karen Daniels</c:v>
                </c:pt>
                <c:pt idx="3">
                  <c:v>Nathan Mautz</c:v>
                </c:pt>
                <c:pt idx="4">
                  <c:v>Keith Dawkins</c:v>
                </c:pt>
              </c:strCache>
            </c:strRef>
          </c:cat>
          <c:val>
            <c:numRef>
              <c:f>'TOP 5 CUSTOMERS'!$D$4:$D$8</c:f>
              <c:numCache>
                <c:formatCode>General</c:formatCode>
                <c:ptCount val="5"/>
                <c:pt idx="0">
                  <c:v>8365.2099999999991</c:v>
                </c:pt>
                <c:pt idx="1">
                  <c:v>3056.98</c:v>
                </c:pt>
                <c:pt idx="2">
                  <c:v>2445.3999999999996</c:v>
                </c:pt>
                <c:pt idx="3">
                  <c:v>2390.8500000000004</c:v>
                </c:pt>
                <c:pt idx="4">
                  <c:v>2297.3599999999997</c:v>
                </c:pt>
              </c:numCache>
            </c:numRef>
          </c:val>
          <c:extLst>
            <c:ext xmlns:c16="http://schemas.microsoft.com/office/drawing/2014/chart" uri="{C3380CC4-5D6E-409C-BE32-E72D297353CC}">
              <c16:uniqueId val="{00000000-4663-44DB-862A-F06319B6D583}"/>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DASHBOARD1.xlsm]PROFIT GAINED!PivotTable8</c:name>
    <c:fmtId val="5"/>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46981627296588"/>
          <c:y val="0.26851851851851855"/>
          <c:w val="0.7997928696412947"/>
          <c:h val="0.68055555555555547"/>
        </c:manualLayout>
      </c:layout>
      <c:lineChart>
        <c:grouping val="standard"/>
        <c:varyColors val="0"/>
        <c:ser>
          <c:idx val="0"/>
          <c:order val="0"/>
          <c:tx>
            <c:strRef>
              <c:f>'PROFIT GAINED'!$B$3:$B$4</c:f>
              <c:strCache>
                <c:ptCount val="1"/>
                <c:pt idx="0">
                  <c:v>Furniture</c:v>
                </c:pt>
              </c:strCache>
            </c:strRef>
          </c:tx>
          <c:spPr>
            <a:ln w="28575" cap="rnd">
              <a:solidFill>
                <a:schemeClr val="accent1"/>
              </a:solidFill>
              <a:round/>
            </a:ln>
            <a:effectLst/>
          </c:spPr>
          <c:marker>
            <c:symbol val="none"/>
          </c:marker>
          <c:cat>
            <c:strRef>
              <c:f>'PROFIT GAINED'!$A$5:$A$8</c:f>
              <c:strCache>
                <c:ptCount val="4"/>
                <c:pt idx="0">
                  <c:v>2014</c:v>
                </c:pt>
                <c:pt idx="1">
                  <c:v>2015</c:v>
                </c:pt>
                <c:pt idx="2">
                  <c:v>2016</c:v>
                </c:pt>
                <c:pt idx="3">
                  <c:v>2017</c:v>
                </c:pt>
              </c:strCache>
            </c:strRef>
          </c:cat>
          <c:val>
            <c:numRef>
              <c:f>'PROFIT GAINED'!$B$5:$B$8</c:f>
              <c:numCache>
                <c:formatCode>General</c:formatCode>
                <c:ptCount val="4"/>
                <c:pt idx="0">
                  <c:v>2227.5799999999995</c:v>
                </c:pt>
                <c:pt idx="1">
                  <c:v>1341.1299999999999</c:v>
                </c:pt>
                <c:pt idx="2">
                  <c:v>-359.2399999999999</c:v>
                </c:pt>
                <c:pt idx="3">
                  <c:v>-283.20000000000005</c:v>
                </c:pt>
              </c:numCache>
            </c:numRef>
          </c:val>
          <c:smooth val="0"/>
          <c:extLst>
            <c:ext xmlns:c16="http://schemas.microsoft.com/office/drawing/2014/chart" uri="{C3380CC4-5D6E-409C-BE32-E72D297353CC}">
              <c16:uniqueId val="{00000000-9E19-4021-97D2-702CDA08E060}"/>
            </c:ext>
          </c:extLst>
        </c:ser>
        <c:ser>
          <c:idx val="1"/>
          <c:order val="1"/>
          <c:tx>
            <c:strRef>
              <c:f>'PROFIT GAINED'!$C$3:$C$4</c:f>
              <c:strCache>
                <c:ptCount val="1"/>
                <c:pt idx="0">
                  <c:v>Office Supplies</c:v>
                </c:pt>
              </c:strCache>
            </c:strRef>
          </c:tx>
          <c:spPr>
            <a:ln w="28575" cap="rnd">
              <a:solidFill>
                <a:schemeClr val="accent2"/>
              </a:solidFill>
              <a:round/>
            </a:ln>
            <a:effectLst/>
          </c:spPr>
          <c:marker>
            <c:symbol val="none"/>
          </c:marker>
          <c:cat>
            <c:strRef>
              <c:f>'PROFIT GAINED'!$A$5:$A$8</c:f>
              <c:strCache>
                <c:ptCount val="4"/>
                <c:pt idx="0">
                  <c:v>2014</c:v>
                </c:pt>
                <c:pt idx="1">
                  <c:v>2015</c:v>
                </c:pt>
                <c:pt idx="2">
                  <c:v>2016</c:v>
                </c:pt>
                <c:pt idx="3">
                  <c:v>2017</c:v>
                </c:pt>
              </c:strCache>
            </c:strRef>
          </c:cat>
          <c:val>
            <c:numRef>
              <c:f>'PROFIT GAINED'!$C$5:$C$8</c:f>
              <c:numCache>
                <c:formatCode>General</c:formatCode>
                <c:ptCount val="4"/>
                <c:pt idx="0">
                  <c:v>8263.1799999999912</c:v>
                </c:pt>
                <c:pt idx="1">
                  <c:v>657.19999999999993</c:v>
                </c:pt>
                <c:pt idx="2">
                  <c:v>4711.08</c:v>
                </c:pt>
                <c:pt idx="3">
                  <c:v>808.64999999999861</c:v>
                </c:pt>
              </c:numCache>
            </c:numRef>
          </c:val>
          <c:smooth val="0"/>
          <c:extLst>
            <c:ext xmlns:c16="http://schemas.microsoft.com/office/drawing/2014/chart" uri="{C3380CC4-5D6E-409C-BE32-E72D297353CC}">
              <c16:uniqueId val="{00000003-D0B3-4103-B9F8-59942C81C8CA}"/>
            </c:ext>
          </c:extLst>
        </c:ser>
        <c:ser>
          <c:idx val="2"/>
          <c:order val="2"/>
          <c:tx>
            <c:strRef>
              <c:f>'PROFIT GAINED'!$D$3:$D$4</c:f>
              <c:strCache>
                <c:ptCount val="1"/>
                <c:pt idx="0">
                  <c:v>Technology</c:v>
                </c:pt>
              </c:strCache>
            </c:strRef>
          </c:tx>
          <c:spPr>
            <a:ln w="28575" cap="rnd">
              <a:solidFill>
                <a:schemeClr val="accent3"/>
              </a:solidFill>
              <a:round/>
            </a:ln>
            <a:effectLst/>
          </c:spPr>
          <c:marker>
            <c:symbol val="none"/>
          </c:marker>
          <c:cat>
            <c:strRef>
              <c:f>'PROFIT GAINED'!$A$5:$A$8</c:f>
              <c:strCache>
                <c:ptCount val="4"/>
                <c:pt idx="0">
                  <c:v>2014</c:v>
                </c:pt>
                <c:pt idx="1">
                  <c:v>2015</c:v>
                </c:pt>
                <c:pt idx="2">
                  <c:v>2016</c:v>
                </c:pt>
                <c:pt idx="3">
                  <c:v>2017</c:v>
                </c:pt>
              </c:strCache>
            </c:strRef>
          </c:cat>
          <c:val>
            <c:numRef>
              <c:f>'PROFIT GAINED'!$D$5:$D$8</c:f>
              <c:numCache>
                <c:formatCode>General</c:formatCode>
                <c:ptCount val="4"/>
                <c:pt idx="0">
                  <c:v>6647.7699999999977</c:v>
                </c:pt>
                <c:pt idx="1">
                  <c:v>5824.4599999999991</c:v>
                </c:pt>
                <c:pt idx="2">
                  <c:v>17079.959999999995</c:v>
                </c:pt>
                <c:pt idx="3">
                  <c:v>1035.5399999999997</c:v>
                </c:pt>
              </c:numCache>
            </c:numRef>
          </c:val>
          <c:smooth val="0"/>
          <c:extLst>
            <c:ext xmlns:c16="http://schemas.microsoft.com/office/drawing/2014/chart" uri="{C3380CC4-5D6E-409C-BE32-E72D297353CC}">
              <c16:uniqueId val="{00000004-D0B3-4103-B9F8-59942C81C8CA}"/>
            </c:ext>
          </c:extLst>
        </c:ser>
        <c:dLbls>
          <c:showLegendKey val="0"/>
          <c:showVal val="0"/>
          <c:showCatName val="0"/>
          <c:showSerName val="0"/>
          <c:showPercent val="0"/>
          <c:showBubbleSize val="0"/>
        </c:dLbls>
        <c:smooth val="0"/>
        <c:axId val="641157279"/>
        <c:axId val="641158239"/>
      </c:lineChart>
      <c:catAx>
        <c:axId val="641157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158239"/>
        <c:crosses val="autoZero"/>
        <c:auto val="1"/>
        <c:lblAlgn val="ctr"/>
        <c:lblOffset val="100"/>
        <c:noMultiLvlLbl val="0"/>
      </c:catAx>
      <c:valAx>
        <c:axId val="641158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41157279"/>
        <c:crosses val="autoZero"/>
        <c:crossBetween val="between"/>
      </c:valAx>
      <c:spPr>
        <a:noFill/>
        <a:ln>
          <a:noFill/>
        </a:ln>
        <a:effectLst/>
      </c:spPr>
    </c:plotArea>
    <c:legend>
      <c:legendPos val="r"/>
      <c:layout>
        <c:manualLayout>
          <c:xMode val="edge"/>
          <c:yMode val="edge"/>
          <c:x val="0.10632999626370283"/>
          <c:y val="3.5589212910549665E-2"/>
          <c:w val="0.31593542554121301"/>
          <c:h val="0.3949495948483606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DASHBOARD1.xlsm]MONTHLY  SALES!PivotTable9</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'MONTHLY  SALES'!$B$3</c:f>
              <c:strCache>
                <c:ptCount val="1"/>
                <c:pt idx="0">
                  <c:v>Total</c:v>
                </c:pt>
              </c:strCache>
            </c:strRef>
          </c:tx>
          <c:spPr>
            <a:solidFill>
              <a:schemeClr val="accent1"/>
            </a:solidFill>
            <a:ln>
              <a:noFill/>
            </a:ln>
            <a:effectLst/>
          </c:spPr>
          <c:cat>
            <c:strRef>
              <c:f>'MONTHLY  SALES'!$A$4:$A$16</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  SALES'!$B$4:$B$16</c:f>
              <c:numCache>
                <c:formatCode>General</c:formatCode>
                <c:ptCount val="12"/>
                <c:pt idx="0">
                  <c:v>46220.69000000001</c:v>
                </c:pt>
                <c:pt idx="1">
                  <c:v>66761.310000000012</c:v>
                </c:pt>
                <c:pt idx="2">
                  <c:v>38382.949999999997</c:v>
                </c:pt>
                <c:pt idx="3">
                  <c:v>36177.239999999991</c:v>
                </c:pt>
                <c:pt idx="4">
                  <c:v>31837.86</c:v>
                </c:pt>
                <c:pt idx="5">
                  <c:v>22485.700000000008</c:v>
                </c:pt>
                <c:pt idx="6">
                  <c:v>25412.140000000007</c:v>
                </c:pt>
                <c:pt idx="7">
                  <c:v>46825.88</c:v>
                </c:pt>
                <c:pt idx="8">
                  <c:v>28545.370000000003</c:v>
                </c:pt>
                <c:pt idx="9">
                  <c:v>19197.989999999994</c:v>
                </c:pt>
                <c:pt idx="10">
                  <c:v>29434.32</c:v>
                </c:pt>
                <c:pt idx="11">
                  <c:v>28113.139999999996</c:v>
                </c:pt>
              </c:numCache>
            </c:numRef>
          </c:val>
          <c:extLst>
            <c:ext xmlns:c16="http://schemas.microsoft.com/office/drawing/2014/chart" uri="{C3380CC4-5D6E-409C-BE32-E72D297353CC}">
              <c16:uniqueId val="{00000000-BEB9-4BAB-8D5F-16D53F921908}"/>
            </c:ext>
          </c:extLst>
        </c:ser>
        <c:dLbls>
          <c:showLegendKey val="0"/>
          <c:showVal val="0"/>
          <c:showCatName val="0"/>
          <c:showSerName val="0"/>
          <c:showPercent val="0"/>
          <c:showBubbleSize val="0"/>
        </c:dLbls>
        <c:axId val="641158719"/>
        <c:axId val="641155359"/>
      </c:areaChart>
      <c:catAx>
        <c:axId val="6411587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41155359"/>
        <c:crosses val="autoZero"/>
        <c:auto val="1"/>
        <c:lblAlgn val="ctr"/>
        <c:lblOffset val="100"/>
        <c:noMultiLvlLbl val="0"/>
      </c:catAx>
      <c:valAx>
        <c:axId val="641155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4115871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C13-4A44-BA39-CD69B82493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C13-4A44-BA39-CD69B82493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C13-4A44-BA39-CD69B82493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C13-4A44-BA39-CD69B82493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C13-4A44-BA39-CD69B8249334}"/>
              </c:ext>
            </c:extLst>
          </c:dPt>
          <c:cat>
            <c:strRef>
              <c:f>'TOP 5 CUSTOMERS'!$C$4:$C$8</c:f>
              <c:strCache>
                <c:ptCount val="5"/>
                <c:pt idx="0">
                  <c:v>Tamara Chand</c:v>
                </c:pt>
                <c:pt idx="1">
                  <c:v>Sanjit Engle</c:v>
                </c:pt>
                <c:pt idx="2">
                  <c:v>Karen Daniels</c:v>
                </c:pt>
                <c:pt idx="3">
                  <c:v>Nathan Mautz</c:v>
                </c:pt>
                <c:pt idx="4">
                  <c:v>Keith Dawkins</c:v>
                </c:pt>
              </c:strCache>
            </c:strRef>
          </c:cat>
          <c:val>
            <c:numRef>
              <c:f>'TOP 5 CUSTOMERS'!$D$4:$D$8</c:f>
              <c:numCache>
                <c:formatCode>General</c:formatCode>
                <c:ptCount val="5"/>
                <c:pt idx="0">
                  <c:v>8365.2099999999991</c:v>
                </c:pt>
                <c:pt idx="1">
                  <c:v>3056.98</c:v>
                </c:pt>
                <c:pt idx="2">
                  <c:v>2445.3999999999996</c:v>
                </c:pt>
                <c:pt idx="3">
                  <c:v>2390.8500000000004</c:v>
                </c:pt>
                <c:pt idx="4">
                  <c:v>2297.3599999999997</c:v>
                </c:pt>
              </c:numCache>
            </c:numRef>
          </c:val>
          <c:extLst>
            <c:ext xmlns:c16="http://schemas.microsoft.com/office/drawing/2014/chart" uri="{C3380CC4-5D6E-409C-BE32-E72D297353CC}">
              <c16:uniqueId val="{0000000A-CC13-4A44-BA39-CD69B824933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DASHBOARD1.xlsm]Sheet7!PivotTable15</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Sheet7!$G$9</c:f>
              <c:strCache>
                <c:ptCount val="1"/>
                <c:pt idx="0">
                  <c:v>Total</c:v>
                </c:pt>
              </c:strCache>
            </c:strRef>
          </c:tx>
          <c:spPr>
            <a:solidFill>
              <a:schemeClr val="accent1"/>
            </a:solidFill>
            <a:ln>
              <a:noFill/>
            </a:ln>
            <a:effectLst/>
          </c:spPr>
          <c:invertIfNegative val="0"/>
          <c:cat>
            <c:strRef>
              <c:f>Sheet7!$F$10:$F$13</c:f>
              <c:strCache>
                <c:ptCount val="4"/>
                <c:pt idx="0">
                  <c:v>2014</c:v>
                </c:pt>
                <c:pt idx="1">
                  <c:v>2015</c:v>
                </c:pt>
                <c:pt idx="2">
                  <c:v>2016</c:v>
                </c:pt>
                <c:pt idx="3">
                  <c:v>2017</c:v>
                </c:pt>
              </c:strCache>
            </c:strRef>
          </c:cat>
          <c:val>
            <c:numRef>
              <c:f>Sheet7!$G$10:$G$13</c:f>
              <c:numCache>
                <c:formatCode>General</c:formatCode>
                <c:ptCount val="4"/>
                <c:pt idx="0">
                  <c:v>649</c:v>
                </c:pt>
                <c:pt idx="1">
                  <c:v>398</c:v>
                </c:pt>
                <c:pt idx="2">
                  <c:v>329</c:v>
                </c:pt>
                <c:pt idx="3">
                  <c:v>232</c:v>
                </c:pt>
              </c:numCache>
            </c:numRef>
          </c:val>
          <c:extLst>
            <c:ext xmlns:c16="http://schemas.microsoft.com/office/drawing/2014/chart" uri="{C3380CC4-5D6E-409C-BE32-E72D297353CC}">
              <c16:uniqueId val="{00000000-F28E-4789-B43E-2074C33F1FA9}"/>
            </c:ext>
          </c:extLst>
        </c:ser>
        <c:dLbls>
          <c:showLegendKey val="0"/>
          <c:showVal val="0"/>
          <c:showCatName val="0"/>
          <c:showSerName val="0"/>
          <c:showPercent val="0"/>
          <c:showBubbleSize val="0"/>
        </c:dLbls>
        <c:gapWidth val="182"/>
        <c:axId val="444585648"/>
        <c:axId val="357796336"/>
      </c:barChart>
      <c:catAx>
        <c:axId val="444585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57796336"/>
        <c:crosses val="autoZero"/>
        <c:auto val="1"/>
        <c:lblAlgn val="ctr"/>
        <c:lblOffset val="100"/>
        <c:noMultiLvlLbl val="0"/>
      </c:catAx>
      <c:valAx>
        <c:axId val="357796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585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11854537-E2C7-44D5-AD42-4B0203128BC1}">
          <cx:dataId val="0"/>
          <cx:layoutPr>
            <cx:geography cultureLanguage="en-US" cultureRegion="US" attribution="Powered by Bing">
              <cx:geoCache provider="{E9337A44-BEBE-4D9F-B70C-5C5E7DAFC167}">
                <cx:binary>7H1pb9w4lO1fCfL5yU2KFEkNpgdoqVZvsRNn/SKUl0jUvm+//h15SWx1JfFgPHgw8KqDTmwVi5c8
vPu9rP+86v/jKr7ZlW/6JE6r/7jq/34b1HX+H3/9VV0FN8muOkj0VZlV2ff64CpL/sq+f9dXN39d
l7tOp/5fJqH8r6tgV9Y3/dv/+k98mn+THWdXu1pn6XlzUw7vb6omrqvfPNv76M3uOtHpQld1qa9q
+vfbo5u0bq6i4e0b/EPXw8WQ3/z99sm73r75a/5Z/5r3TQzS6uYaY5k8sEzJTC7U2zdxlvr3vzeU
dWAqKQnnwr598YdJT3cJBj6HlFtCdtfX5U1VYS23fz8e+YRwPPj69s1V1qT1tGE+9u7vtx9TXd9c
v/lQ7+qb6u0bXWXu3RvcbKL+44fb5f71dMv/6z9nv8AGzH7zCJX5bv3p0b9A+SfeXe6S3cP2vAAm
5oEUgpuC2OT2xWbQiAPFCWMmMe+gsR/mvoPmGQTtR+bHwBkw/xy/SmDcLE1vrmp91dQPG/Q/B4fT
A0ta1GLMugOHPgVHAjymTEVN62HSO1SeSc1+ZJ4MnqHjXrxKdE50VU1/8lw/bNT/HB2G3TeJksq6
5wywxhOpZh8IS5iEm+YdeuJh7juQnknUfpCeDJ6BdAJJ9RplW6nHLH1J2cYPTJuZ4A9+h5B8ChCl
9ACyz7IB0y1CYK87XXcv2/5M0H5w/nkYOAPmn2+vEpjTrKyDN+6uzGL9ovhYBxazmbQY2YuPtA+o
spgS4g4eMmOg59O1H6b5+Blap+6rRMvN4qzcXWcPZ/kFBJ06sG1lWZBke9UQJQCSS8UEjIfHDPQc
UvZD83PkDBT33asE5Z8y2qXVrnrYnxcAhR8ooEIYvVc/M5vaNg84s6llWeoOtJmJ8ByK9mPzc+QM
m3/ev0ps3F2sv2dlql9S9cgD0+JC2PTerJ5ZbpTCOKDSlJTTO9n3cDLuDbhn0bQfn8frmSHk/vMq
EVrcxLtuV9487NELcI99QGC6CZM9GG9PTQNpHcBLFZxRMNn0mnHPcyjaj87PkTNsFstXic0K2kZf
vyDrmOrAsi2LmmxuT0OiKcm4qdidRJtpm2dQsh+SHwNniKxepyu6vslK/0WFmXkgONxMbtO9+l+x
A845k5zcq5oZMM8gaD8wPwbOgFm/TjG2jWE/Z/oFjQBODqjJKYdtdiemZkaAggXNlWDWDx/1QYTe
qZnnULQfmp8jZ9hsXyfTbK93wQuazJwfMGUTCXD2AkMpR3AAvo8iM83yR0J+gccd/XMwFq9Sp2zT
a717UU/TPoAlZkv7nk3suWoRCEBTRYR9H2ibBaCfQdAvYHlYyRyY09cJTNa9oKbn5gGRXFiS8x8K
/XEAzWYHExyCkvvnM/9/+wdqfgHJ7ag5Hq9Toxy9tFOpYGJxadpIxty+6FOz2FYQawSM8mA2I6L2
2OH/Mz37MXkYN0Pl6MOr5JLjrNHVCwswcmArWF9C3OuTmQCzKaIBVCHWeS/hZgLsWSTtx+bR0Bk8
x6+TaU52On1BV5JbBwyePrce8cRjKSbsA5MKyiHq7kyBGTR/JGc/LPfDZpCcvE4n8l0Uw/x60bwm
QpKKIaF8r9DJXJIhF00mR1LKO1TAUI8l2XMo2g/Mz5EzbN4dvUppdrIrh3iXXj/szwsEXxBPngoB
rJkQk+JAEoqUjX3PKTM/8jmU7Mfk58gZJieLV4pJVe2ugqa6qeuXdCfNA8Qk4cjL+wjLjGkk8mXE
QjWAmun9k90z6fkVPE+GzzF6pWpGXwXa36UvxzdwKhWwsaXa71SijAbAwcuZfJ3pNbOXT55B0S8A
+jFyjs32VfLPZ11dZWmlXxYcwRAnZqikuXs9NZ0RikHpEwKb9v7o5bNI2o/Oo6EzeD6/TnhONIpp
qqzevSDvCFhpNkVK7D5GORNtNj+gNuwBlAs8TPpQpfEMWvbj8mgZM1xOXqf7/6688bOX5Bl2YCO9
jwDlfd3fzCCgJjlA/pJSBrSeWGd/JGQ/Ig8LmMHx7nUmLqcaoKwp9cPevIhlxoRExpjfR/rBDI99
mSmpLCXy/NZ9WuxfGubPFO1H5udaZticvM6E/+lN92azS/Iq0C+Zt+TsQCgLQYCHikCYyI8BgoVm
SaQ1Eei8C+DMpNmzydqP0mz4DKrTzas0Bk6ytH7RaDOXB7CRLWojI3b7moFECZL/HBlOweaxgD+T
sh+YH2uYQXJy8SohOb25LHdV9JL6H4yBagsG5vjBGI8Zx7YPEF9D5PPBPpilZZ5D0X5ofo6cYXP6
OmI1v68kvdPKd5rnyTv/u70BNuIxzJLEgkqZAYOAM2OI5dwBN1M5s6r9X9OzH53Z8CdLeB0tAac3
7e4l6y+YfcAswRHP3J9TplQgdYmyTKnuTOmZbfZnevYj8TBuziWfXqkE694c3pTVzfBy1tmU7WfQ
7Bbbb51J5JRRjY4WoXsPdKZdJu39Z5p+hc7PsXOEDl8tQic3vb56wbQ/4wfchJKh/F7L/EvziwOK
sLNN1L+4pnvzZ2p+jc3D2Dk2J68Sm083ZQJT6AVZhyPVbJn4b4YIWmiEMIUtAMrta6b3n0HJflB+
DJwh8um1WmTdm69ZGb0gJCacf9vkU2/ZPisZJZhonoE98NC9MVP8kzT7E0X7ofk5cobN6ddXyS3v
Av2CMgxahqNsHNGy+xqAGccotD0R+J/KfFAzD2fiLmD2J2r2Y3I3aobHu9fpUJ7dpGk1xO3uRUvK
gYuyUVF+H78k84ymlAeKKTWVbtxJMtQCPo6ZPZeq/fg8HT3D6eyfV8k37wM09r7ZVi+b3UTTpjAV
Iv33ITJ7VpM5hWgoTOep8ez2Bf56jNNzqdqP09PRM5zeb18lTusS6ec3F8gHxA9b9atQ5/9i6/WH
rPnf6YJDEJwg5W3Se6t+Lm8nvkdpNboV787LTA8+n679J2Y+fnZmPriv8sxcQAbjJoCbmz+dmKft
/L+9vsBCKzwCRGgM+SFgH0cq1JRiYmj7+UXs9Vkk7cfo0dAZPBevM5N0cdO/aDMcRbsOUxxMcmdL
wrt6DA2ie4ggTWWN97cYzHTjH8n5FSy3q5hD8uVVcszHehe8ILNgx1FJglTEfQHWLJN023stUbBo
ipk8+xMd+6G4GzVD4uPr9LU+afTvvKjtON28gsIqMimSvb6WOhBgDsUfOnznXvAzKNqPy8+1zLD5
9Dptxs87ZPRSv37RNLiEx0UR/Fb3tYjzewpu0+BowXpIy85iR8+jaT8+j8fOEPr8/wihX9twP7Tz
Ylfvlre3Ej26Qef3T2+Xj7uSZkPvTe+99uSdVb69/vstikShMX5cdjR9xhOb/cmVKfNhN7uq/vut
AbtfoiWIClTYCTZd2vL2TXdz94jhJhHkPgj6gTiVtrDfvkmnSxf+fjv1SFhT8x16UUEE/vH2TTVZ
ong01YTj7grFLEtSE/XfPy6EOsviAZUaP3bk/uc3aZOcZTqtK4zmiA7nd++blohJJEM8hpjQohJC
2yR4frV7j9OOt9P/Y5kDwmSZbje4uYkuzEDHy2BMbdeq6y+DiC4VaUMnz8Z6mTa97UahqJy+H6JD
RaPcJbW6UK2KDo24jk76Jj5uFa8caYhTsyiZExMjdWTY2u7Q8N5RTTquOEvIovBz5gSqsFe5bWjX
Fo3tSts8z72WLEjgpU7IVbSkhewdn2JOwyetG9IUc5KCLMKo+tLG9kVj6cwp8sx0hRVeCiMnizjB
2yM6tm7WynKbt+UXqoLcHa2WOeFoGcvEk5+MjrwPGb1sS0wvrPxLnKFf3K+Z02dSu1Bx5zRQlWOm
WI/I+3pJyuKLoKHt1KVMnc7A8rCJptsnKVm0htyWpdr6aV0vvQpb09re0q8T5oxh9N2MjN4RAluZ
qbJakAIfGrfYAh75H7EEbANR2wSlHwuvxLtaAhranBvLwDMrpwnMbBPyMl9lsR8vRCHwNOLnnWrq
5TQy5J5ytN2EzmiK1PEHbEEes3pp1XQ897P43EboYhlXmDL2R+vI4gXI75i5bAoQxHIRLcjof4wq
u3c82aiFnaXfh7TINgUrTdfyhmjRRYPpO3bsX3mxQbEP9gUKEuolS+PcrUgYukESAuBaKScjremW
oV1deMqLjgtbeG5uxOMqH8m46RR2j1WYtLPkVlHj4vaQ6GJQi4EX1SKXOAd0YOdJq7RbEvuiU7R1
zQj/S4h13moQ5YcR3zKjtFc0bKpF5if9obRrc9nm0ymq8V4UTp7qikaLIqvMpWyD0BWe6LFNOFhN
nORuYlmnOM/feztiDlotlBN3+pJxCexH/BR6Vu+01EgXXa0qV7YZxiTYpYrmamHKfDwhRWW7ZVV+
ucU78VXqtDGOVd1hvX6AIyPtEtAXReA0QsWHhPrfweQ41QLvVQFOp5I4KtnEC35RDx/jAD8KFV4y
CkLAecpp80ifNtguVIteDCOQ7wrwiZSdd9ipZDwJJLjDltUXGeEDhQTCqsFhUuDG281IczBFZ+Ct
eZRcJllnLj0ii8PYrKwl93Bo46jyDofUpu+TKsxdM+9CpyuH1mV1nq/GxDSXZZSRRVJybClpQYMf
VEeqMvq1L0x6zApPu0U9mstIgimHjh3rLkydtMlwylI87Ls0OlEmGJURCALVBvEyGvx4ScAnJG71
eRtYp7fsxcJx3BDamMuex2rRZKp3sibMHJIAbh7Y0aEfkHTdExYtWzqxYaQy9xZbI8HyDS89Fq03
iRAcgTQvbJd12JvbUz7KaFxleWmvK59HyyGJ7ZVgQbzoDBzn2wMwnXCw+LnmY7pmA8SY3YK/+WiP
m1uY66Zj4AMcoz4y62UbUm+Xa8vYWAGWOhqYK22osfFsBull6Us94B8djb77EehD1SjkigFuTlht
u2ZKvUNSNumx1KQ/tXprrbrw0vD14BiyS4+9yIyWsQRHNCMxNr4FPs1Gix4PMrBXUuCQpQlLj43K
xuwpxJcME3STQTjQMXV0z9d2EFcOMXp8GO1al1dMuLImbFGWVuUUZlVuO1GphUxbteh1QjYks9jS
iH0IRZ9CuHWAzpCRvfYa8zxA6eV6pOmwzmsIk5y3rWsVWLbXgoSuoeAimWebREGCJTJmd7LJtHtz
ecu0rRata/jGBT47OLNKHInS4ufmEA5r4RnKsepsUjsdDlPR56tKaOCXxWQRFCQ97gXvTxsZfbe5
ha0ZwAG3e42ez2gRJfjIhgJXnopoyfu6WuBaQohAbhWOjA3vzKRjshBZEa+VV3wvJH6dNOESTJ87
voY84UasV7QsrxQxrGVqUN/NCvkpyXi2jIzgzOiaU5nVocM65R8OuvdDx4irmC5EM5ClGXUZcdLe
EM1ijMdvkRUnrYOELhdL9H5VhjOOZXhphlm/oHloW64m5oXlR/GiUl0engx+1RzqjgBCRjzfczyf
8mYZkiJ0gkzXZ4HPhec7gsa+XJVV34buENVk2Q92WS1HHuTUFUVhHOZeszPqLLuu7PaKa5I1js/6
6LsqmDEKSIlxrFyI/25Tp2W2spOot3OnNArm5mEJng95ayx8qKKFSZV3YnfZaKxilnbVaWQGSm5T
m1fJph7G2vgy+Lx1g8Zv42MvsFntlGVMhVsMUaFPrVaYw9I3U894nzYwHwIp4NX9MMX2WDawkOZ2
zRQcYEJIgtANg9312K6JbcMceVY2G6mHYV2OwXcdQbmwVF00ZcZwrMB1XOOk/35e+LH/npejWdIU
ikwdFU/ntQduDnadNxva3Qo78CDT0XXaGZHT59H3388GD+3fs0lBxdRyTpAleDrb2PkG12PabOIB
B2SyBOzIM5a+UZG7dd2b3fcbemc6XmX5UGo/uL9O9MeP/3WRJfhze9Plz19Ot5H+/AndBnfXmP72
XbjiYUobVfM3TdT8+CwQc0/dZHk/+eFfXsAv7Py7W1F/8fB5TgC1LTheP07ev5yAn/ci/fQA7sbc
ewBoAUDQX6DLHDFE2OvTfWb3HgDKzwEd0jsml6h4tmwY5/ceABOojBK2ifZBYiLAKIH8vQfA2AGh
uCINbsCDc/Cwwicwwu25//mxB4AM3tMzhOAZ/jACbwIJQFAKIh5zSqELk+dmw7dWrJTbWEZ7WqZ1
ux69oD+M/cLajEYWDm7WdcO1lVXy2Ip44TsIy3Xvs6whTlPlxi6WMTmJLG6fjqnHLkQYakilXKQL
v+LyNIjb6v0Qtvoiqax4HTWt3ia+oN+y3FPLOJThoTLFsh6q4rKtwnDTG6rUjg67vnSqJh+vSB4Z
rvZgZrgetO2HstLRoZ3G6ZEnWbxuGDitr9OTzDLhUMResjDCJDikbdVtU50kiZsYgi1Mw5eHSdHk
sePF/bssV/E6j5V9PFQ+jCUpevO8Nxr7VOqInNBBk5OBDUbrtBkrVqg2jNc0M/0v1Nb2KTWiM9qL
5sQz6cVIhmxBhdc4acFtwyFFzr6zYQicLhmEC/s1hUmclPWZPVDu0FCyJeNWXzllrJu1FZP8uusw
CStZ5BS6jNcwm6KPBQ9F4fQxD9d50ocbu6rrRce7ZEHkQN2ams3nTGnvXd0E3Xmd6fHKHrrhS1o2
7NyP1LBhQ1ieChb257i6UrvENPWq8KzmiPSiuExY0y/aFOojb+N2LWmEZfh9D+ckjTdt2plOEfHm
2rCZo0trcJmdH5mpv+We0S8bHRMnIlm6qCzvJInyZGsoYxtHMlr4RTZ+5m1ZrIuitb77Nmy3Kqz1
US14t0ZPjbc1kyA5o6MczZVthNAEQwUBxsawOcr5EH7yB21/lYVIlqEW+aGXi+5D3nbFhe1xfTIS
QU66ivSt05RMf/ZqXh2HDYk/8Izn6wQ+tu10RUY2Vh/L0Ilixs7HQeoT3+fjapAyjh0jV/J9qnPa
OmldKNyWzNpj0WlyZpc4K3AK4buEI4+vmr7PTz0h4s3QN+xI1Hm8TnKhvzZK6i9FHtDT1M+t80TF
46YPhv6UGC07Mjsr25RN5r+reVZdhCOz4TVW8TYxmm2eep3n2Kml4DLn5lcY3+KkgEW61TTON2EY
88RJoipedTyw3sV5d2QGHcdxLMqNAfuxCXwEeRtFBmfoI7o0c0/uCtbdWEWfbP0hb51kSKxtVnh8
JRWclkGm5ifGoyuY57kP64ubX6VKL7KWjZ+qKh/WI0nJeRYI+JJ94BmHFhRKAHNVkdOgpRaFFyGK
XeWV4ZmEJRs7KPiwr7SngnXaTg7oqOOPSpPEbeGfLUkbJUehDxA7xvRWNLFYKB4nHySr6kvcqdKW
Th3RCwTgtr7ZicOsK9ZpqoQ7CpnAcI3D6JxRGr+3vHgjhq4+FN6YbnmUZIsqbyKngbD8CktRb6WV
eKtBs2Ihqxq+bNqH7/OK8JuxLzKXRWHgjsEQOWFuRV8kLOGPcJuM89xMMheASuKUQWQuCkHzM6Ps
V10siqOibFXo2vbKqsNk7VUdOUFSPl4X8Xnree0Xw+uyRSQYPQ+JzzYp7IPKjTvSnqakLa9YPYAS
ThYd6eU6o12/bGPawLvHTb9fajkUOZT3GGunk0O2TMfBfzdWWbQ2+nrUzjBY0i3bXtiuMrrM8b1h
iUhKVTlj1kyuut1+9MeBh04c2fkiLv0CYq7SsRM3yXiUGX1xMqQeWVJqfAnNqFSO749sqWNbOpAA
xLXLVLhwWT9HqiPbmFRkmZGwcMwwyi5jEYxHXhbY51aixLaqrD5xRt+oz3VtRAspU9dK82onQtmv
Q2KpM1KJpHbzhJHTVmXEVV4yxo6pYrFMWGZ/sqE1TmGaBp9LxfVxMrbf7LEWG2jE0R3Cqj2FS6Zx
lLrwuApF6taDYR8nDS/P6tArTkLSFZ8MT8enVZTky4xW/oramb8YzSBfWlXBPkddYm5EjVWWnspW
QR+aN6P0m5POsvMdZ8WkXJqRfwmSWH+sTdrGjtCRvWKh7a+bMYiW2eB3rkG94IxSDSEOF8Np/aL/
QBpsfRpY42IY6nxZ9aY6wj1aVrjo4yx4x2TY4aDRzrWNydHISTOuB58161T39Tayx/xj3HhrDYMf
rq83nkUt48u8bUnuDDUZQ7cxUu5Yfr8SRdae0tY3D23qR9+6wkTIBKYnIhJQtxosflR5Zr6RVPWZ
ExWl/TUSQi+StCNfYq/0NpBMwdarzcVgCutsbELjKueSHOa1MlaJL6t3VKfx1uKGtxLcr87joVMf
/U55K4pI24eg1QTTSc9wh8EQKxbI8rQcisu0GocrMjYQ/01Zjwho9dxf96yjixGGuWNWxpGVErOt
nbTUfeE0WWclhkPThmhINE3O0ZpXQveHoY9AHgwRJ2yKeHBTZtfnhV/EmywAS8NullHkjFXZIdzh
qeK7XebRto0D0+F9ZxxrM1kOKk3O2jaNNrXVfLVKy3cgaxFwUU3XXEa1+GrpYEe85ruMx68q69+n
cP1cY+zgorMi2ZapHJZloS9MxCYP80DKC0RczE9wPdMrZov+c+lhYJsKA0ddD3UZHeY+VtEc5kVV
tPU6Fn0xihOYWqkvEGGKiLXUZlbzJQKswXGPYPCi6fpGnRV1MYgvlfC+NwgIqE3cdgDOGAIzXxkt
gjReRtbNAKtnnQR5dqLzwsi+5hCgsL3sdkF7L1oViJokh8qIykXVheYCRl50RP0hPUT3mPxqDVbx
jUjPD8+8PoiPZGDR8qIJxsBbx2MUj6nbV92YVY5fW+G1CvrK+GgVXm8tadAisJQZOsq2hdRskRoE
PhQigqtWVJ8r6XdO2SMQSQYgWfv8c2+Y3QaeuXSHpG5O8c5+ZSNQ4TZxcKhLftzYpvIRd8gsJ/Kh
ZQzZGhvYIh/TEfGfQJjyEBrE+BAY2j/uZUxdP6XDaRv4xWkJNA/HunPqQHc7HtnDYWkLw6m40axp
2g+ILk3mFhvNxkEddXmk9TbyVpEUw6LNvHqjYsbdqFB6XeHqCHfw+HkyBtUiLAx/O3K/3jae5x2W
iakPa+Ifw5mOXSJpfhx4ol4Mviy+NUzEruqtYa2LVq/CurKXCEp7y1LH2bLzeI7gVBBBkXl55VqA
edOQ3HTq2EzWFvHId954MKPzKNe9dtCWSq8R/RPqc0WaVFZXDZdFZH30Cg6Lw9VFrJPYuXVN/r8T
t7cV5adDZk5pj1/7cLN2kNm4ez9OiAMbuRJcXIWgAnqKf/pxuD3hIdGKpAwKRRCLuHfjkP5huCT5
PvXz04ejuAwDRSOo7aHwGGxcCfvfyeIwFAs9CgNMM6Jp1haUmVLACJvSRY9duJiGZUq7yLpR1Ksb
GyYgR6zdJXmrx0+W1eTRjhuI763SYqgGvqjN3gp618g8cumnJU8NNzP7SB7agTU0i8g20mLT2Ulc
ncRWkhuDk0W9lV9aUR322cKABRwy15eS0xvZZ0PzPg7AtDulrNy7YgkrxKkvNPwfJ6G6Aik8R2jv
XUBJ3cEhjK0yyp1JHSTHFNYPSPaThA5HJqKX4XejajOMeQTpHkcX6dQne4TwiAkdLPhUTontmrm5
kia6CUSgbmCqpWGxqRMe803M26qUm7Hya925o85xa3BMPG16q99PPyX6ns6PFlrcBcCh+oAUiHmK
0RgyVSFKoK9DGrEIyYGMWQw2tW0aRbgq+84v60UZQJoGjsGNMU/POs4GJJgoH0XHDmsRpFXkZBkS
MvQUlYgFnv2eyKfBK2j9qeNK4QhN5dfTsXxKYx9owwxKZlwLo2yJufBhMcliFSteM0Qxy1oIRDCJ
V6Pk8Ae7/RmbaV5u4wYylI2YEHzzefNmyGRmMHXtIwpfCaS/8rj6EnAPXqbThbrR71IPX6hTO0GQ
objkTizeFXntmR6J1sfQYHqJ9OfkC3KER8BDT5ftW602SB+wa0PGyJq4VkeEtQMjGfU2G7WMT7VB
M3rComJoPkQVIWPgoGIgxqb8fiP+TQkarATuL8KNXlN54CyeF8jAi8OBlNdcdGC51UDFSKOVVXZN
xZdaeVx8gyNpmoVTCdThfMvI0Jb2stUZybs/oPI0uIjTYJkoP0BgavpCC/RQzE4DAqQkHKLUu/Ls
MbXKdVbkCTwPw0sqe1gPquxxRH6/fjqTZJjTJiinmxgVbh/8yRkU9hjCPq+Ny0CXMjE2fY34duAk
fRbgm3uaLuQjd3VSDWbu9LbJsBGWJkHzAW44lCvi82X6wUZMoUwXhZWV5vuk1Wl1+XsynwaXOSJl
DF9bRNDNiy9qAbfMZEnTeaokxdhf9mVd4hCQJiLAh/QdswynL1lrfMhNZHjANHWXTX/p3G/+gM+/
NgtNebhJkcErUhyBojkZCtkaxMtEdpnGlgEZHkJ6jZ3TDqQerCOGHEa0q/wGt9QnoZVCopZ5UlJr
o4zQaBFhQo7xVvIPAUaleozbI95HeZb8QazQ+bFGEStuGDCR1jCnXs/pm6Ae6yf4BGlupyO7hK8i
DIRy6iqPm7NirHWeul0xFCDOkEmLZ9lQJNmwUNE4GB+6PPe2lV3Goe8mIwJsR0lQpLXnpIizejWi
lcSI34vE9mHL427pHiLRNMKBpodktGN8aqS9rij+wKYUIeAnEsMUuCIckVuCAh7c6Dq1rz5eEE5m
WrRpm3+TVmaFlovIu4Wj6HmNbZcuwlkGRLs33EnPuOF41tyKk5x6Co/6rmaiWCF7+Gce4nMpjg5z
VH1ZNsVt2hPvzk5n1EdV4gVZ/i0vwUXFklWR4icmDdhwxKpmwHbYXhuPn5KgHwaJ6oKyKwIXAr8T
7/1i9IxNmfBw/FQaTSVOlRaTgdDzFhlSBG6tCZ6sYjaO0NBKq32fl2E0fhpjEXWRQ+J4Uloauw+A
stQO8EuGhMP4SSV9D+yYFQ74qxqJX6tFblWsWgnZTNhFva9hYBS309vKN4bOga8W4iMyGA+gXBvp
ZBvUuZVEu74SaZGvED6i7QfOUKVyXJaRVzpxnJQmvDvfS/qNDyfR/5qq1OOfWoJUfrKUyoed0RZp
BhPl97JhLjWx+xL3y6F7mUuBps3Z0WDegEIaO4+/jTSpSt/pTSLzyumyMIu3rCk6CIrfzziXRkgS
cIKU22SVQnfPZ6xKUgVdwrqvbGymw9g1fBJ/ZiUjKG/RFpb45oXwjgqnM5u68k8kBAvO6e/JmL5+
6glTMHynmCmhK9CMinoiNlv5yNqmMGyRfEp4mqCQps6QTLjJiqCANAqiKqWIxchMn7WV8iFx8sDK
/KWvarPNHHxTXBe3Tm36xVHsKfGhZ2WsBqfqqGjfI1ZBUFdgjX12hEOEWGRIuKdzh3uCTsweEJzD
rA1gXWy9MKonzm/R7fwOtagyHxwWlaxv179f8VyuoUEdeT7Uspq3X4MCn+CpGIiEF6RdUcmPbZMS
GLFWWZowYttxOrccRhbfBAj24dj2kc3wl1/fWraGyKcjzRqktb0PXi+mI20WekzKjc5NNonIYqwI
XRWoEqr0erSGCFzndclkU9MB5R6fSkkLsNHvl2TOJJuCBaSgNiHVgCASQzNRXbA0GbMwNT+qOmDg
rTr3JwJqgzUT697yMRr4BtCG/NDE4pCVk0gp8/9L2bf2yIlrXf8iJAzm4q9AVfU9ne50nyRfrHQy
gzEXX8Bg8+ufRTpHmsmRZt43Gk0pneoCG3t777XXWmVw0ESCII0nKJPxI2V62D0MTBb0qtuGYx5M
2FT+wI3HuzqRHkMEipHP5z4qbHrWpV3TGbSRSWO4/zK03yoADI0RfJEAwVYBuw753t+f1gJwvBic
Ci9pux6RarEGSwtd+U59X+KyTyagb8rsr0UyHefjGCmCB+LzcWjDaR9zsrRnlkZue0GWajEdWwEK
2XSTrjuiydRFDEuMboM+optD2LzqwKBBWFuQkeCC3cJj/A01FsFUjC3FVCxLIaKlzgYnsSUESyT+
9j4/Ryg83DL+KdP+bY+CVgBGPDLtrETZGf9Pqku2neYhN9GndSwUosN7eovuvV/7GpWlaKd/Cwu/
HUfHJSmMa5IYxxL0T78XXrFUyFq1Lz7NjmCFLAHuht0FZz/mh0pNVQZOSaTQBsuHNGDCB6BPSFkQ
9DBLm/XD8liAksLlGe2dEsEAG3J9spAC4AQYI2z8xU84qH49ttZsE6bSD+WEvYJddDyOtvfHg4hk
R/DCgmTrU6xGhTvJ+h5nU58vR536z7NNWfr3mIjBH4cAggS835EF/V7ZIB2cARL58EmIkA+8Wlyf
gqICPod8yMFQsOFkhM11WbEkYVKAJgEc9CYeXOqzSiPbiW5tO0b0no9oFtRmU779HqPndrVxR/Om
LyY1/KBy2O3TqPIR3yi6k2H7QFcS+70p5cQyXRvkj7M7b1tWortrBAdYnI/xCMJWbAlrpskyUku/
OMsr5Uuzg10yrZb6uvX9is2w7nYLQ+WjTFJ5Zglx9DkflkDbOvYEGOtFs00QjvyNA09bBForQ13s
w7bvKGuxFPW1B9jtKjNrmZ9XVrRpAzzY75+2XCXdq6NDy5uUAouv0R9lKlR5C5StYV2y9XWbDe0V
WLYLqHzxhoYEm+L4QjYikjP4DqWIT7pXI30J2dr20QtTsfef/OLT5T6alyl6wolRuB+ZzXP7shdr
OykQWxUR80fm96G/8A7oxnlXtBxVxXqVJqIu7D6b8o2Mspx+AJ5Vq0efZwnmD+aWbYvrfthmIq8W
PpkMFDVgvkN+4WPU5w+MFFHfX9ZcJ/Mg/hDllC6YZU/S0tL7PVUrlvRO7KzFRxgMLnl8miaqdXHt
GO/EcDdlvjftSa7tsq13W8bbrjtzOm4ue+JTkprrXFLRlmeslRwtY73uMY71YS67jVWghuRmaQS3
uwzXWztHorts4DTlqu7ZRhFgV9257LOKXJ7N11gcW8TrLUXaQh6cRtYFrivgaZ9/GJKiwMvy/sOo
6wb8G/TCFJcDhEzN2+4MS9YbmVvdJlfER1EBMFhmvSsufpIEWGYG/hDOxTiLOgynTTMcKt88D+gD
gxsnWNZ+CJvedPEoeSS34Vz0aZTo694FVq4fcplmHasMYwcmUdglE/1r0XIe7beUDjNmKgoGIfse
UduI7DZKuS2GO9IZdFIfpdxkyU+bRCBoT6qD6YatEbKOWwprNMTJKW5F6EwDooG0ZTMtYHxNnxPQ
lHC9UQ6Mvbi2NKa2KL0xs0npOpwgNcnF8SG4f6QslTHsyOmpmDH6Gi3hKc3PUmzHjKVgSeNFzWKJ
nqexOEI+XZe2LGq2LQoLYJ+Qb1wWZke8T78PVSzZjukzssAfnCUzx9UGQVBkTqQ7Hg/RVCTZf8jg
j3meKJPAkiIXWTyKaOpLQf8wBgWNOduuQ6ZVg0wbClN3pchchCdInXGvi5xcN2G+IrGri0BzjPj7
UhbHLXd40np/zrGycIUU/2Te0P0/Flhuo+PJZyHCzwY2HlOzrgRvxRFbmg33sMKVE2P8NR5r09S8
AXAT+FnmtcqfwRsBba+mGwMAVOlCEMzFr9XD95nhIwsZHYPjoJfhxTisGlv/ynFZtmfH39I569F/
6Wz0/Guqo/e3/3eS398HpCDp74tEj7gBMkVifetBLujspZvSgEGbZMcXOVdtkrZd/IwCvFWsyt4f
lNrXBUsNlbez7fVEWOBZRXqxhvwDG53CLK3JOOAtiQbGZmvAHCBDgiIRjqS3HbMEPxyKNjZv7H0G
lcYOQlx7H5NIOtRotVZTvpGr4MqjOo/fH+378sh5P2B+ctrhN05ZMRyD93kQWKctscdlBBU5fhiU
iQvxskcddcsNRpoe0/u+kHY0mHCXGOTxKaSzM34PepUUq2texHHr7xOKHtmOv6ghVbQ4RWhv9fJ6
RzfL60t7gEjxaevQ3FvvmGwP5GMGieWtW4vEvJG8nbB85gwZKwZvQcbNP8zAso8PTNbjha5tiZdh
io/tMO7Zcf+Ty1uxvTjQ3dvuPLUlPleYlKC53s+hIMtt+r5WOjmzpbj8mnImV4vb8V3a40NwAihc
XOquxzm/EnTn4hdkbrJcG3TUlglUmLnluHgmBb4rrlkGDWxzAGAAyAaPSbjrQrXHdnY4X/GzPrhc
luceyaIPNymbB6+uQOqIwS4aGD24nXxGZ/yaMOLwfrGYGS9IGrPhAaQj/D+MG3C7LN4IoCIDLH94
WPuFAxTYrMTViWjV+ppP3KMK4GE/1j5azzlAYp+aBBGmtGJw4EyNOGLHk48mzubrjOGo8l/i3EvE
m3ZQqu+vfsHJchmElWcnBtS73wOdwda40lJgOi7pzz1jFBgreOx86/n+mopSbcsLOCRiy6+W96F7
1s6YolT7vceI+nYDaTzfY4Iot1hQLaeGeH2sGuBVxxJ/x0/Lud8wAyBxH+Ndui7Bi8UCx/tNB/Qx
ArtjB64MrXQ/MZAvupCP96kmFu/IAzlq2DVzM9bVO8iyk2yw/OwmY3ly3XIDSUe1v0NvHGU5UEOT
HV3CCyc9St9xRO0ECsEAYCK7HXuwGdBKpFsHEB7sqAWhMs15wJk3B0QaeUZle0ye69IDKkjATwUW
L4epxa/DNR2j/LIhPQMtZuOztd0DS+UBUoKajvBT9DzNl48UMFbgJ88l2rrnfNPZMDeALkhOqwIg
UP6VtilBSY7DkOHh7xHdMap8Go9jY8z4sdxsYgkW3/tMykUBiU67uEvXm20HzaX42O9ui54tkmmg
Cjv47flXxFusr2jTO2ZA0vgYA9cT+Drg79sDpRpAMT6wAAYFgP6asyAMeaN+yIeHPDc68DNN1LxE
f24dkZ6fcKKlQ1bNA/DvqC4HUthXIJJbv3yKWyPbtuZZSIV/2grkNuYHW7vVJF/AOgc0cbGg+o2s
Bh137l936hKqKofTAZSthRCFnLIoMuaIwyofJUvqFT9Ee7gC4R35Z/NrJO/P0mgJgLiGkUk4hvUz
3AzDesQ/FtojmiD7PzZvN4/HO6af6D2XyfGzjMQR3hGgjsELT4FOjCdU7kdvoxu4xlZukS3yh30J
RJ8kNuqxK9l4/MuvJYucEpGIwY4T//QOwR/hNGpr64NNi4okNi4fnUCPXFVbPAGwp2HnLLneDHiR
AmnZfsCBM/pEeAHhAtHC7DHWN43Rf3gAbnnced+h0/j114Uyy3CkGSyV6Pm9Yps6uRcgMU3a0Y/9
e8Dq34FGA8tDrIZoMAcIOdvcUtqM7WgUr4TJXfTsukxjzJCnSCylLmmPNE5Qj2sU63Dclvu54SLV
4xypQBQ8NrlOjjZjM23+WJMFB8GhqzIxT+N4EnLAbgQ5/+hJAAc+gl5f5keKRWcSyVuRpKAD/Avw
9VtBDywH8QErOEFwA5H2d1hZLOghAK9OnoVSOe66aFuP3bAphFkT0WMHDSuAF1GtnTnu/V+qu7/X
dsfl8Q0gIAwcX1yI6/+Gs1rnVbTNBaCq99AogQHjLlAHYCf986V+A9Cxm2IIBXEtQFb4f36U9X9R
6W0lyAscqeR/10jce6VqozmlH2Adf6xulovjobpO4gkraike2a/g+M/38ncIIYthSoH/jm9oRjsc
6zz5+73wNU0A38r2GU6oCGNdRo58fJ6hNDztCqnzv83z/14Q+n0AB6DxJwAXD4P7vw6+FzYmwxjz
J+MnHBQt1DvLdRFA7wCs+XNn//MAyQHb/UUTiRECuz0I0XB0wddQ/Q5k+kFS6PiG/OlXxNjEfoD2
IU9Dlp09ncv1LDXf7Ue3gVrbjA5Uxa80tQgN0bxTnEf/ckd/X+mYc5RSx1f9gPCdwaTx97ZYYHEE
ZmBqnob3TbUhr8Me967niOtduXZ4BIJCcZI0LMXhgNQiEseNSJ0at9erQWV/zsC+y+LKI7QEiEK0
wduxPzh5AA0J9WS9vfez9HuY/edB/P4Y8eDowTNHxwQ+APga1t8eYy7Mkniwy8XcH5Fp/5kI6Tmb
3McQlY7iOwb/36GuDA0Q8O5jPMjjz/Ft4n+/XgGuLh5w7B5+HXu+FdDMxAqRVVUgj7f/X9BaBjoQ
vkwOyCICN7bq/4SDdONAotdOPrwfS0iSj6dR9AP2xTSb48D45wEe8eUvyxQLAu2nw5kbfBR66IX/
PsAt7L6ze9ZfFVNk+6wuxrFIv+YWG+bftuD/XgqPrkQHD14oKDJ/D3UjT8bg2ry9ek9F1gzoCNZR
Yka8/POoflEx/jIwYIW4FANB5mdjHlbxfx9YHKMvA9biDNlOEov5lGT+YCM4fFW5U3/O+4Qeeq3m
Ftgqq0a+o1qslqxdyHiL0xoyCmi0eg3k5y6hwB7ix5FnbauuAnKDTD1w3/XEh5onaDl9mY0ZUQZZ
mdDJnMbB7clSxyrO57EpbQao7S71RKU5WPs/+3l9jmIk/cCnkRh/37diZaDMuDXvCDARCarGFQqN
ohubIZIaj+JXglJE+DVR9e9pBTL0EodF/jOMvZca/RYjdG9iTBC6URoeacC2JhESWgVd6vAwJQ5v
QIqVu+IhnYcjmYveI6BGcxS7PdYlAWG4n5eR7NU0WzZ1Ta6LQbrqv5CHwbEpql+JzM8MCp21DfO7
m/I4xAuzAllCbdHnEPSVCpeEFOzIFGJ0K7q2HsBdRz0FPH+Qw0uKtJelD3lYGNXXMo+jAwyYVwuc
FTTsow5jW5jBxxa9GwG7AoEp0GWopFhKxesIvPgtHisDm7MseWSG6WI7tQab23zKAlt39Qn9hqOj
hRwQsqsHtcxoInzqNNDmFvRjCjrBWVhDiKxHgqTzz4DScy5vstxvyVeS+bCUD4DNuP44MSb75CSn
OYpRCSNw+KWGJh+99NOkAp5ts/lkt+HQSALtq5GakaysAw18u+shvZh3yDXk1qGaZqVFX7QT8Xyh
8bBsb3k89kE0nCLhnqqxmEb7eQLyEjmoZfKj5fYrFhn0w9v8rhwRt+V5EkOeOGTRP/MsAN9Hnhim
5Th03pfG8DMbnIqhR8lmGRgxulptnI8EkaxVBW4j6fuk2vpoZZ8QxFX5rCcWDeexy9qsEm27PWeh
A0U5dBuox3RNrzowJq9H69crIBnqqbBQ1niWCShfliEGZrzaTxyL+oq2kP1U2H3iTVo9fG7jTjVg
8cZTxYWloF4TQErJlN2WOv6qemzHadP5oaHQTQGaN55uHNkz+OH0JFXnPuxygEQRZ/dyKkOcDlix
+fhdaPecEKpvLY3a23GdoV+fAUGD+9JercqxRrCt/FhoYdDX192Pbja8GYRuq0Cnqck4Mzflnozn
wCd0gSedUXx0Gaaayqk4b/jI6xL12Jv1yl2SIPgPw3qokTwZ9iowmZ2FjNWzhpJrh1Aewu4qSlX7
svm9/DZEU4ZS3o3QoifdKU6W+Aa2UKIDVTZK7yhgurNdZjhUyYJ/BHjYga+0pOwHQasH9QzR5GlN
pOjOOkzRiczj8jSvFIADQkEzQ1Jyk84W0oRs3MqaF4yL8nO3Jixcg4Hgvs8JleSknF5Q5nSjCNUK
w8Y/yiUroHXikb0ZGegIDSWL/OjXtEedNKrbbF6IqSHNUN9iOWuwa2l8O+fkWKE8O3qo7brdeKSz
93HRr9dAv6Obrk9F0pSIfj/ItqUTZKolESibdfRl02b7w0SRr5OO7N/mWaoEjAIN+iAkpFi5YoC4
Cowp6xq9b72/yV0LwVhMdPcQSIFAjJKqXrd0SG/gfzLoG+uNPSfaJbfQx/oKSO9rtoFdDlruAyXY
PuvslgbQIvjGrR/XosmCSk+0WKYHLaj9ErRHThajvd1CLt+DA9HXRddCxRu5lH5DZ1pVaTJMFwWg
oEricfnoydR/nEVY+rpflvbFiGA+W69HyJ288zUnVstK4v7QcS2BuWHjebHX1JfbI0tmMdTTvspv
ctT7YU8xvuJroMH21yv5yNBEuNaJBQHaxvyGdhP9Npe5v5PA+1e0HajDRflScRcZVKQOnOMyUl01
kJ59sxGSmqZEfiarTM7mMd/y/oxAn+c16/biaiFKPIKnA27HJuxLoiZ9WZ0nF6nX/JtN+cuGOvll
N+NeXoymoZJmbP8ImJCLWArnTkgDwzPk7RmvLDXo2PbtUsViXa9z1uuLQR5KKogD2AubFvaWep1+
kparN7DT9z8cFnizQuB/T0EsuMQ4KRrjzfKM/DKqsm1a7yI79193yMIu6UA4mFmAkx9EiCnOMo+I
FMuuBB6U9flVgcZMredJXvrM2Rdwu1Lc/5rckHhKzzJP5y/A5cwjm4S9ImFgz+No99t2lubkC4Rc
lMFj9zDReLmxjm6PELzbT7Ys6fe0XxEcEhPWBxpGbB5gWh9Iurhbb4vtutt8qoDblNOF5yOFpDwH
wxKwB7veI8vvOMLbxz0pxUsJ6OSL2cvlEw789gqbrbjfSbSAw5R354HxDD4HA0nrZWRDU+5hSrHe
7XSGTkY99oDgH1uvtKnBDInPdpPmi14cbVFc7/udZdTdgqjUAx0Y1ScQ5NmImD36U1r05RVBzw9u
IDv9UK5tCmTeRj8inoCDdhcyundwVxk9ct2mcIC0y7s+S9cCxgJw9h2WamCa322Rbh+BsgwPEQ3T
67DYb/idFkBvR17nERmMdIV88EyCfplp0t0wpZOvLuJuqwcBvROoPu6lS9bVXERy8OmZIMUt5cqW
ZxaPE7sZRakb9HHpXq3odzcl28cCjisLgwIt5dODitDvvw2RKTDXebwtFr4gKxo9xFsCkSY144fU
0+hjMTGo/HNvhToJpu2TbLt1PKHlG8TtCFlC10R2AhU/cE6iS7HO8/4EBYh14nKkHnHDjFeD6jFr
amv7mx41uR1qUiBzqbPR8fUeaImc69SR9tNW7Ar61njI70DX46TZCFJEiBSzfHmFbGQvLeKI1UuW
I3FqJ9CKrtYlL26yxMeT/LSngScr1HcmZu4mQbCLr0uKjgD0YWGyjVjnzD2zqO3hppG0A7OQ1fN2
6OuIMv/cpWDNVImgw0cVSLRfthxVJfQHJonvNib9VCcWOP59MSCcNiDI7Y0CsnUjkwXeNaTob5Yo
+Fl+GCDQYXuK6Z9iP0IRkoz9wdLSSTZ+WBYqS4gZcpkPCQD2WWE/lGhv1o4EKGgogVjjDtYhMq/G
CTBvvS/eTFU6BjR+Cif7q6mjmTq1aBTe9x1g0kb6zl+lLfTwDeTwogAkJi257lsIdCoNs5JQJRu6
3/mSLA9RxnxRj5LD/KagfQooDpjdK9GR/bEe6qnU6pBclOIkPbWrSBx8Z3IvIlWjNw8q2lYVIn8K
EVUFEjNXhm6oEUkXvEHFEVQV34FbEFmeUj5/zlpDPDv1Y0EKcdKJV1l2T6I1dy/o5Y78SpqSfmvX
9eu+i/alFfpry3QmK1QJ4/MGascJzjX2EuPsiBEjcovuV7HfDiEZHqA1dedVWFZro3ddFWBp6moc
s/HZThA3WpsHaBI7ivC6LuP3peX7uVAQm5rWc9iv4FipCfQ3ptlx1tBHNov0uQB/yDbdCqgHywHr
pQIdbvtBlO4/ajPN5WkuivZuVpN6dmZe2pPz7cqvARq3RRWNnl2PSkL7N5nh3EPg+zz1MTmxRajb
nmfRfdJ7epto9CxVO6N3zVAVNUnCYWrsCnfZfZIMFSzVB0iL2Wrmkya5gsau3JZrbQ+ZKpSPvjZ9
K2uaz6uuGBkhDFPgQ7rrOcfgTgEY9/PObfcDzkWDuUi01xqLPblVe+jtAw55nP1dDoeLTiK9wC3w
Jxw63dnBI6t2kxavkI6TrwDe/BmcHXZRMRvPhS7kYyRjW69jLj7H0/gySBDBWtRt5yLh8gv8bBZV
ZalSX2CVYW9cksL6hVsvy7oDNgrxcIJBQ7Nzpp1fa9S66QeJquRm3Uj3vRdp8bWHvcbnnqTbHfxk
wE/QRl2nQIxfgb1DeoeQ5nWVwn3jPuc8RdqK2HisQfodWlTUwmEaj0PbJ/ObWsuoOw15hz4osGSV
X0/Z1Kl6hhhuQatpV8AKi02SOh0QRqo86mR2P+g5eRNCLH2VDLiHSg6FKOsen1sD/cKaEEFn12Pu
kqJZBHicFqlW396MWi3/0SjaRN3rNI2/4tzdbMWicluvoqXPm0XL6KozWfJy0AbOZF97V3Uh0h+y
zMs3t5YapwMKz7NyHGQoxbP0Dp07e6sDOCWVbZHR3HmI8d9gduO7egbKuFbdOvjvyxKwV7AnUaY5
DRDzx4qm1VqhIbeeJrmmN8Co4V6ydX5HLg/W6B/41r6Vn8dCLLc0oHyrImQjSzNwA6OVyIyg/Mb7
mr0u8zB8KfTqYduTzg0sxUz84LaCPKO5VjKQgpDCVfmyieGyIae6QfCbtpM3QkhkcgyZJ0gckXpI
xUai2vGDiBdgIqVPVkP2fhBSsIhqKkYhab+e2zVHJ2Xsa9kjR7Ono4qFJC+YLkFKDROj/fM0u6n/
kEDJOzcoKniPiAYbtV3Xlrh2CJcoTuREP+QuhS9HT0yXfhvAGo2meo1KL/kZ/bLewzBBqBz+Nii2
PdUVZKfj7OoC520WGoH2VTlUDmRuGpppDXzsb0PJkzSuZ1hCEf04rACHYFkGljdzZ+u06T63bQ8F
WbNhq6CLAjFOOtlqhfg5X84tUrXp2gkXjX/OBmYx2UmA/jROp8yg1fbM4wStl4sGT2qZGhtoFMtH
6XSP50AjsKXgMOYcWgArWO4Y/h9jxIoY8zjLKTRMC599hlovEc/vWG2kj37DMrADGU0I9/oWLrtH
5x50gaMNgn24Fz9ayuFEcAGtesd+MwT2RV+c3kQkqqkEzhWhsOVyy3FCIBwvr04ATyjvFuSTkNhL
FgdaOxjlmP6yo7mFp4UTTyq4Z8Fxbh2bbFhcmG5Th+HtVadAsphrcF7SkT+nS6a7HBJNI7r0JnbO
BAUaUrcgxUHp0Jqz1qVEPIZ3TgP7nvY+AZcLmbtmiJgB8tR5KemlW4oxBA0QdgWQ2tVgVLlho6d2
8hSeenoD4YYBOphUebcj8ytPPBpyjibYypl2FaGG0VMR9pRe0PYbX3XphpcI5JqlShRMPivqsHdO
IJuMP+KpR5IF8ruwkCnnMxPNakFTOXzNDHqPO7yHfpLsb1jXro/AStcrwMDdnYp5WvcJDCskCWE8
6XQEV2tl6APraHiWcP8prg0yuKJKJx1o5aetny52iUFi9KWGABcM6v4HTNx4j9BKR17lOEdds6R7
eJq7CNL2FgZaJySgKBC51Fl2sTldxoaPpX+Ldu6Drki7GfJU9l2fNRu+F/S7hVEbfD7kispg2iNo
hmMriTghm7DzlRNZv/5oI38ALkiok6nee9GeIdNaOVTMjpTg5iSGTTWPqVInGuL5isyq+DKsAyWw
beNJq2rgiV2GArUI8wOk7LFrkjhzy2cwH8CaqKwGya4GpcPACcKRBLQiYFsPLQrvsaIGafi9R7/N
V1vaF6eiz4ebqJ1haQHeNbQVoNbpEcyNJMCdrJwyho5UtAiYKUD9vxe+jaoU1LorowcDiTfwsrcd
fAWsDc4+uihWGOeuzzAe8I8BD7uhjJfsJEGt+CMCdwnYodTtXYQwPH9FbbmJj7D3skfSlSbdFTKY
/MbCaaZ7Q4hMwyVdqXxSW8rvwZJsf7SWYObLbfdgq3EHYGTfO1/pLt5eoGt1j5sdBIYAFRuaw8Wo
EE2LEVqFPmNPBOhh0cC/Y7smwCy6ZgM15j9bSiEjzPqZXk0U9n9ms9mz4a06L8kUf87tTCpWgIYo
7LCDoD/voYLiKDxAUpl0TeJm2KlVA8wDKtatbL1ucwty2jztYIO2fINj5MaGgxmBYrjWUGgnZzSI
0GaNU+gKm3ZNV4TeCHIH6JB1AXZh2h6i73YK833qtLtroewvmzhrdQHN7qA/bb5YQDpeIPquQAYo
vlIrIE0ekX9/MHBKmKoZltNThZQ6dFXecwY2CkyrRIMDXYJ4BbTkcR8BAFR7rnV+6lfw65o0HrvT
bjx+p83ApgNrZNTNmuo/t1lMp4TPvt6WLHwpEC3WWxjVWDg1mLV8mjO7OFwuywzqgQ4g0Jio+3Tg
yW0pYKMClhAPY2UJZ7dRJJK3MMD4xkd6fgRVT9aggCXfIIpxE9oMBQt1l83S1sVGu9C4LUgo8225
cBiFdOWA+GvT4VaSJGTnJd8y+CgI7R8AXMH/EDyOMVSDHsmXjoHwUI3gYTwoEEziU7FlATUBSyBq
MDzOxtNIpPjUZ95uNc5NZHVIzxuRWlMe85Z/2NINKHSaKP5QDmP62YBk0VarG76k86g+W5iRVfDd
BfQIQiV4Uu2KJT/YLy3MOVvkVj6qI2Qe99ZB3TMDdvk6tS66thKburFdX8DxZlE3S2Yg9bBFfwdY
oLiKeFy+AjDuCiyDNn/TCUwgPI3np9WG5LrHVxAntVxhdIFsLR7BnJmA8BRoYF7NqZjyZmcREqex
Y/4yZck6PEEs2zUW2FZjsdRpbdLMnZC+kNspKAFq4EY+Cx78Z8YXUunZxVBOwo4ONjD8T7CK44Zm
dHkpke5fCOXkTYGA/hkupyGrIo+JA+P/MyQ35b1Hj/+i1wW7rnTfwE9eHrWLA6/KRcUE+2B/ZG3U
I6MhdLzgPLATyow5bcoC3BT89t1mEvsfCayjKT0KFQNj2B0eLkS9RuVAn6VI6VhTgPrXWk8EnTAQ
Lfs0/R4cwH976jXgIPuGA6of1wYtcIiYPqOgVaN+snRWNPuwSGEQ5WcYoICaZA3kz+AI+CBHg1YD
+o3qAw1g0oTLlkCqkTSpiv0irmN3uINeg8cdlhfe+S37nk1U9VdSleNCa05tvEQwhMzoZhG8epBZ
0NICPUIy0uUwd1wM2ZE2wukGlqB9bmN/7YIHiFnlic/OlE5b+TWfYMG6VEb3gx8QxzIRZw3yPNAU
mijkbQs+CwXFCmzkw0Tv7AOk0Ng0YLHD3yOsQqs/YhOFYm7QzwRP7zTrLfQCDcuu7UEW0i0/OORY
gwZdkFa2e2w+rmm5oITpUp9b+6rKja+yQR+2RN0HxVD3f+yd2XLcxrZtf+X+ABRI9Pl4UT2r2Bcp
US8ISpTQJvr+688AJXuL9N7y8XnedoRCtsQCCshm5VpzjjUmV0lSNB24moHWyGKjl2bXVF+6dO7F
5PMpZTythsIiJPPnMmJl2AcLUmRBvkzLN7GcUIc4E4Vj71YfOy2cDduHuJPyZ0jh4VYdtbbhvHxM
QChlzmqEF+f227+pzr31h1D7wz8tscpS40Slh+7hbW0u1zlzJGMpv+oJJpKfRW/DSW2qT7WpQsSe
A5AMtdKVVRuu79YZPiQ/o4zSrFozH92H5LXO9fv7eltc5rZcyvS4VcE7UDukVPT2tmJ7wpkUxu5L
WpRLnUX90H2oVGYMRK2gWvY3dcq3Jfnliri4eRqLdZiK7ytY+RdJBjlDr9WxS3xTP67Y/xDVmHZe
U5lv3Mjq0MD1OmiMVRQn1Cp/vIr/whz+Bstt2uCyfxkdf0Hy/Uo3/xfL4eeP/aQ5LP0scQPZDlZr
2lrZFq/3J5VPGNaHX4gNfyC55QddhyMhdX6IlWBpTk4l+RXJbX9Al4NeHL0eVjyMHv8E5vB2JBP9
0JWOghlyF6FDzH1f1Z+Lueq0pnMgH2dqXoEM6m6ZQ62DabRqPv/yYG5+1NR/pf8t0+JflfbXi4Gg
4IimoyBFR2W8nTahPVqkF1rrFgV7+cRqbJwnjgOPadzWDquqXj6FTIJn2Sf1/v9w6WUV8RASOTzU
t5eONWrwbSGs21kiqMwRuGFjn5AQbtzOEWeUXcLwG702zFUTIGD+m+m7fPzbb+4aeMFojkBfF1O8
v7xhxmEuk8y8zfBqxCyy7C4rve3m8iKGawp0aMmk//4r/8Vch06NIWQzQlwEY3+RTuWw3rqwlMat
beTGOUdJcjCUM+NmQA7xWLa2d7LIBscIJLu6oVTTtS/OYr/LNIfnUMER2pVumIz7Bm1/sJnn2Xp2
PIMcbmD35Nb7MpjEOp7xE/pNKVQEkSo3zb+xNb1d+pZRgxIEJKWNGguq0Hvbozd4Zje6kXErOo2x
0mXWYcw6cAVeM4pzFk/FkUND8/L7p/dOA/fjqpLp4dJG668yMEfT3WS0axBrohfnXJsxkbl59F1P
xup2EvN4Z1uluLJdGVHLjbp49/vr/3ViuiYrPcIlXTJu3s+VXkqOAVSKbx3NGe/iZcJMshtvwr4S
fyP3e+8vX76riT+PvWWR3WDJfDs5CLpa3E2duLWIQu+0MsrTbR+LAP8Dgu2XMbWoaerOMjsX6TmK
CSaLRn39Jkkj7W9e97/74mxwrJbgDhaGydubMUj8yAqA0W3XVkwSyw2y4mS0Sif3l6fy/zBJXJY9
5iX/urbxTlYJFE2PNbM3bmsSK+ucajI1V4pnx87Vcf/WCcz3vimOVRUzymU2iyvVSypkUyK0wRfJ
XBw1px+xsttjuEEyQqYo7eVGtM54E0V9NfCpCbPM9vJxgHmjd9mPvfk/EkVew6B3y4tr8P50wVYh
GbFvn1mClY36hBS3QUCUuZ3dut6/jpuxVeVTXSttlcF3fsonHqDilLsJ4S+QUp1ktS8nRYgfQ1nN
dvMwZ/VaYBx9od433v1+TP+bVdAlrkVeisAUtdy729RGA91SYIlbG2RBjBKAxyzKunwSeiDOVYYo
/vcXfG8SJ6liM6rZc5HNLErSd1dUbWgkejo1twMHhaPdKvs5kOPyCyJ6v9PN8aY2HYqQQRyQe6X7
RESzhWGS93GH5oO01NS+YJ1jpOusAMDTy6cY8eQJkE9xfH1EDbuG44Psk6eGIvVxEqZ30rDAHAyX
LzRPXXH8/bfiG7zbTtis4bW4SxNg7LXI5N6+79lLpVvFU3hbMEoo8k5zvU5cLbmuzGxq93kf9cMq
cfsE25hN4m9FPTOItjIKY6iNfDZUMqLqlZEY/QZ1grvtF8LiPnKaTpCSCqeFZm8H8xrRjkRLEQ3a
Q6mpsF3rblHU/hBOkb0iXAVrhheXmZE0Q7dhC3BK8kZZQeKlzG9Ru0dHr1HJyVBecdUngVutvaLW
O780Mu0TtrD0elHlf9XTRqwz4gBqUdNMZnsa++hlsovJuWinKF/HLfv3BeJoOhVUZlLeVHoEOmSM
aPWwsPf0tU3logId6GrlY5cjmlqbgeveS1lFOna2MHVwOPQk25Qd1jMKZjlhyWsN7ws8ELQTuWra
dD+Pc4sko+us+kAlP9YOATCfkxF2EdTMHmI+6OX7aegFmXPMRPWtNpjwdRO7ze0VkKQ0WqkoLEtQ
pSrDKCWtKMAYO8jHMOrYdulUcHSnjinnFJPcVNSuMV1mpty4op25OyqHz420CBNyj9WGEJCFuC/Z
BZp44sc4K2aovhaYisfRi6ypoGpz8kDgduzMIhIe7UcQTLnlhRkC1bl0zKI6aSME+G04FSqiWBqP
3sEK4wg3kGy/ennqAPo0In2nx0mNqFeFV7Vh1duajHNRFXhQwBB9Eng9L4zeG9fIKEkNkVJZ2XHV
7GimEmzJfBSflWzweOJA8iunjF4YKOO3EBRd61P3zNd6x+tZRUFLmjcs7bUSFFcZWEo3USfk4+j5
kwYBzCvaF6vSOVfacVieNRt/37Gnx0BqXeQ5vr+z24MthGwbZeCcEOso2IQYSC3UmqmPOR/2S4o/
YjAwJKcWSKVoqT7h9gH2AjHjE4VCx+R204Sa+VRNyttq+hL8zPZ4hyOHJ40vvzjqIcdTVnvNeq68
AXVtkw0gHlQYZA8j+msq8eRhrkjHmx05KUxpvsQ1sYsnRiVNZ9D90BCg4jPQrZVPYPJ5s46Yealx
UmgrXcf9OeBmLpcGL7x6RCRPdWyFt53rze1qnhzrObAH/GyxTrzaZh6rkRpszKyzfBwoLrw0c2TB
uXVYeOhTcXItJTeqjtCTVcxQb6WUycdPlc3NceIojoR1wWPnkKtMJ0RbaZ4a50q3l79UZPLUtj3r
M8tZEPiZJVW4FqLl/4QQMRrsDQQ+UBn4H7hCinTr2Twcjt98pRbbHoTpSCRXWKZYYtCSeaewUvIk
XTCYnOLZ1GONFfV1jSSG806oUpgTCYThoPCal0ouj1LWljg3TcdvX+9WdR3NDszKGm8Kwk6DgkQ8
3VDS5LcYFK36OldpvQ/DHjvxzBvpLSLDyRjEuRczlDojme468r6PZpYY5yQw2J7bsRzW0xI9TgbP
XmDjiX2mJFfCY9m8xAWDIVl+RzaPvHEIH/mgU5969nDYbuQSHpUZu20lw+opoShrItFsprvXQGFO
q3y6GJPMeTZG4vukyXi1FTcDwzV5sTCp8CxQXENL1vQrPWJKO1Dyrpo6S4sTw4h3Zyx3mxcVG09T
1PuGBjF3eqIThMNmAwJCY6Qn8uvs5lNqQD8O4I49O81MraQvnIkCV0PBjEJKQgRVFMM0nirkLGr1
GuB0S6iSzkn78uPwYy57MryCBD2xPVmg9LSUErNLZc26JCXrnSJlW8/AAeCFs+1wg4gdkpmGDvmQ
bEjlBl8yLeLi+esUEoGNy70f6yUMYuchhTfc4uZqXjLZ8I7AsRPc8Z8yFGzAuWWzthXLUSWNVLwT
kyAwgPVwcHjTV3ljuge+TnE0e825i6duoldJlHG3fRfX+2Fgx4XyRFyeZ+JKDxN2JmDifHLSE65a
XjJ1lyV9DKK9gjRNlIb1kaLnYrnYePxzMoJFfdpaKc+spdDzOOJ2OCepV2WbFkHgDhoSYySLMvs5
UgPPFA0f3/91EQD4Pd5NEMA8etvE8uRMtnmguMuEc5bLq6H1VmTmCMdaUT4loiiOMuStEu5TqQlM
3mps0CUiYyPnOQyEoGiqg0cNuvfNiH7lmdw681XPsEEZ8aw56xAvOxyihjt5HYnWmIjmiPN+GRvE
6BtRZyw+lBbD5kaOgTEcvGJ5QUllsTSRLq/2cLrkY9zOIxZ8jqM08oBPgUgIy3mJpCZU95Oe2M9m
koizoXmcAWTCMQRtojgPZs1DxqUjoKIHicx8GOrlkxOWTPRKDCM5ZL4hOxExMoIdsslFHe9eD7wz
QrGnWZhM0ZAjaszSrfsDR9pzh/v2XNCtzNy0S5Q2k+MkK7mMztdtcyINOqzLTDMPJjCG3p/tUp5y
A5Vf0hlqXXcdJ5nlqVF1H+WapHkGGWK5ncjhWwDqsp7LrmW+5lEoT1maM63myQzWrjmb246eKnSD
aUKWozhlchkWXb38qKlp6BIx5MHup8F4F8WBY6Kbd6s9eudMbTAXZvYdRYq8XuWDlc7UCnT72UJf
H1N+CORjPuocW1GIHNKq0IqNlN6QXaje4aczem9V9yipBoZIkPKg52VzwWW1rH0juJZdEQoWeUKR
cDmSWyg76IPFmHh9AD/WouXg3icG68KysEKVZ8d5HbsBeA1kPm0JZ4ZOJV9qtqHb1/GJ1yHYJSQC
dj3tBPCVdh5DBD9LvafVTX8RhRMc7x8DQg3K+07LLArfCqnNXoP6QTOc0n4OHXIpr6PCId89+6mB
2QeeFxO5ysVVYi/ZhrTR0KWQOEdu0tpkylfTTK8F9GckIWo7iamZL19IGxSjjxYAkOTI0Te7iUCo
Ri1niCtk2/WeISfOduQUw5p2NMwsF5LNnUHC1qTTEoOG5k2s9mYsrm3XmG85qTOodY0OBqt2YNF+
XQGttE3VughI/q9aSBBs323CUzLdgWmzbECAekJs6isqJSwKxWIr31YaLnKa1C13m3Qt08ysJq4b
ltN4pyardnx0KfJR0hjnMbRDvnc39R6j27AoOyRWPSKmJxbCvy88ZG1t1+fRtWgQhB9yltErtAfc
he21XCGMC0a7LjCBnQFOE4RQlpGP+lDGO7Rzy/d15XCD3dW977xRXRum/TVCpI3oKmn2doamzEWF
fhzQUn0PTarIeBYALDkcqVe0mmACj2yPCUxlBMLxMK9aGlQCYkgmByb1xHOOcWn5hU1Bd6d1ibnV
c2/qfWo1yM570P8xNq5LE/+lWLFrqgMn+xE0fZlPq6ws88ugMIvvEmR5uqV+wmJIkIlerTFabzOO
Der2aln8L5IgJBEpo4iYqrMKTjAZwHCq8GRhyBR1qyoD4HMfJgavh15Y/FpRsaHyB6/rhgwgDDdz
YMGpl8W/6olxcPmPdxXUoTt0x69WEoQ5sG2OrwflNGOVHUzJVJXg/gK0ANxeMLskm4yC+MAKBu6U
Vkt8HrZIVix66KXfCmJMdhdZUjRf9nCMp8EjIj5G0OvBMES7WV5kGVV0v25Z0wpndIMj+bR670Ia
P8UytA5DKcVVONryUVBQeTFm2gZBV7FopQA+dZs7BvtnnbC5dSpktUIAbJzp9petXtdN/CUsjpIN
czNVOXMiW+LNMpAe5UkPV1BQkr4akPs8UaECUtCy7tUVU4jqNEFqoNFNsbC3TriszDMCkGrF2S7a
G1Qhv1m9ozdHu+yYcS0iI99OK3nSfkQYFTkSjZ1ZpblnHVx31t0DB7ax3TecbyChd0A8WzhAmWUY
HmeV1n7W01mc4QuTsrMR4a3I8/BI3ERj2wgCbDQ75bCxOOAtzviEqI5Wrnko7ZH5MIfLcvAaMtu6
+u6ExgjPNlf6NkR26W3wBBlbrhydI9wFD2PkzKfImuKHsgvTNeoMyerMaQfbRGZ01IpAEmEawmNw
U2tOgXxkljlqztoc90Zoa1+70rRfEtnN3zKiyu9FNjaE20MW+sRVBpmLRgdf0hS7jOTKJ4vbrddY
CFAQVBXM301VjNWFbY7xVezSByNMnPijKtvwHtk3ZdhOZdM6bWwduCkiBWmWwUNEq7OvBbj2eg3M
Pm6IlHMZ3sxY7nCI6OEglvZpNF6rZe88vaYV/lvh+ZsKz5JL+SUB85cCz//Pnr88K+yZ/6ru/PiR
n8Udz/pA6pBCjIPPVFClJe31s7jjeR8sVxjkaegmRBb+F1a3aVPhcUkPk3O1aBsmSXv/rPCY+gfD
sEzJ0YiCEYmef1TheW+mXA5Y+DYFlMTF4vg+uZuI0rAa09L2UtPo2cGKPu87aTXnX57Jv6ntvE3b
0miJy7hLiyiupoM1fpdDngVeItwa2h5HMuEVwo41AjjvWg1gVv9RNeX1WhIoLnQ9kmAOKc+36S/e
BRiW3gz2kyjkNdOuv6R2jLtn1seb0lG0z/j9l6NC8ybjtlzSXUDaNhlWT4DcXArVv9RfR+ZpJVwa
XMRTTf+7gG3vhOMoxM+Bh8JGTkKCR8cubWx12tCh5WXhp6cgKuF8V9lht7L73hr8biQYKpflXBYj
QQFt8/QvOc5avAmN3KFmkrthJj5WLDErsCz5BTIWdZul0FAzrW4fyCvnFzBI6d0Q4EMJpja+skKI
u2szzKPdVCEyicMG0lvbqFsD0Mc3HHzzY5Ra9aNbhpd6N8Wbwc3yFV2p9P1smOmlZWHGXUWJ2d0a
Tae+z+ZcXM/mkDwYJIT8XA+yrV1FOfIf1a+6Ih9o1BiATp0rY+f1OhZnWIu0chhLP2vN5kguq7hC
pAb7BMHHs56F2j5zFgF6rQ37akLp4FujDGhUpRnF14YzxcmZ1YiXaY46n+AelRTtWrZ6Y9RPcarJ
IV2PUe02yNymARzMk7QNe2pOUV4mWzd3UeMNAeN8RV4QdbxuqvxLV5NxIXb2PiYyNe4kmoZoNeiN
fEk8uHA+/Bia6ypjKlLqGTEbLSEaKRKskF/SKPPoj5hb2bWeIVZeYf8sTi7sueOEJvXRm2aon0Fc
I2lfnGXJjBfMQlR9HZviLhpjncZhxFQRmJRNI/T6CQZivy1Gvd16vUOCbASg91IrFe2iPPo61Um5
DmFQHEPpYbgUsx2pTcPDiTiiXlaUZz/CstZuTdjJJ32Gd+JTAEvR4/e6tk7jJNB9rQDs4cT2gfY/
FtqIvNmYU5ye9CTsXjh9tV9SMSXZZg5nJ99obSwveAQN2Dbna9VmqwER9xXndE61bvbCwWtAW2Ud
A43eRmTEHiSxO4OURlRa6aFRwQWAVGrIoStZ9PUJYodUQXtMtNpCJ9yG+P51L3kGMRDwl93PZtCZ
a0TIE1Yqp7oLhsw4OVFzY4/DIHzPcy2GNrNnRAkFAN3COyv6b6Nyta1da+0l1Mz5S0sPgBVv1v5S
Yry7RjoGV2Bu27vKbrUVRtY7GDLxprPnT1pXm1fGHBkbssrNlebO82aQNPXKc9mtQiH77aSs23xQ
H10zKIx9jPugt+gy0kfT15wWPYYf9B1CGoeKY8LZ1isN2h4jHV2noUrtDVbaKV1NWUW0wTluGg+Z
1AHLryJ8ObofaEhnHtNmIFWMg71rBqIsrajWnAaa5GxBhwrbjDLS6PXD2Z3aaCMFLU9wHKK2XWkB
/ADfJgPCqcTL893QY/b+NGoWHD6gFAbafG8g+R1n2uRtm6SJKwvqVwuUKR3m8K5P7YXYV8Z9eOVU
OJb8QtX5cBOi7fdMv3SqJjrKgEQn+b5gsJ+MEsMX4AKaZUaboYZ6/phA/bG3aNtt98UdkbX7UQtS
7iKdoIzX96nCnI7UTDbpk2aX6b3sydzUes4yXCjX3vd6mz26waQtGBwjmPyhc8wLe+zpVTrM/dD5
thbJnc1h/ALPd3US42jvDUUJFjnohK5QzZLEQ1RwCG7IlBG7BU5wP03d8NWhrafnc5Yst5h8yKRl
WKT9zkIg/loqJkjLL5B/yU2rOrrQqCpAS4xNgZKeZRHtur0rtsJpCjpZxSjTS9mu8kan+S/WXZR+
QSA/Yw1Tq6rV8vu5gaXp27nWIbfsB3U7mlb5zUIrdOJG4nCbGhbZnkmqeQ1ULIs2NQzaA7ZOeZ3Z
sfOcKcSdoPl6iLaNq6gekLdfpQDL8hXVJf7M1lr1Hbtd9mjq7XiT0QQdsuasivtQRYTADWGEYPFI
afIKwH/93ygwb+N2+pso0IM//EtQ8JcocP0tex6e62+/hoE/fuZnGOgS0NFWguCHYIt4zkFR8DMM
5I9cCvm4/l6VNgbBxR+NN+UHjGsGYSBEfRcZMdXuP6JAYkdLEHEQAxrQmQhS/0HjTRD47yMYUPgE
qNSIiVal/h5QkiZ0IycPTp4KdN+nNmnzEgGlyewbGVur0a1Vuy2r6SYrjHlxYdLOXHclMYhebumk
mbPsmbP4FMQdMu2cihHUdX34NrbOIqOk1bkXQAUlEXOTe9pCXcs+Wxq1DZMkIkw9SQLH1EFfjBK3
Gg8x3gd0Q79P6NFyGuk8d5VRQ+Pw3tGx3a2aAI0mevMLR+gpzbjxVsGrwhO+eHcI1eojJu7EdxS5
C220k93AzRm+Cd324M5xcCgIlu44PFkX0Fc+J26lfYpR35zDKnd8C8PIji5R4QbgNMsg0cA1KnBS
BWNz23vhi62lfEkE+j7E11vLmNKtlGm0JqFLhhFez04P0+8lzrwBMilejVyf4QeUMQLMqi231czV
I2QFDsx9P3bbS1jPpt8ZtPcW3pk95RKFde5HY34/VLM4jbRfpqFe3pNkG5Zf1KmY1Iky6qdAISGe
RTuy4oafqXeSDC96f2kumU7p58peGokWxf2YaDOnfBqTl2YUrVOv7LbIeftVHNMzz5Xn0Qw2gYvh
Ern0cgsAQWw+GvequXNnV782U03btn3KUtPI7JFWO9ajGE1c1TlNynFUmfgFWBnRvFZ+xCG8mcsb
uBgz6lHtooVC91xYoj6zhvZLspPcjFlmGwAGmIcGex94s+d7dltdo3ytP1mpd3aauMAmT8Qrmglf
eoDXgdSL2MvK8fDgeg/ZXGqgy8zhAeNOeGGBUXZpDr4EtzLovmo6cD+yh7p52xKIXam4ivDUGhGl
xCKq5k0W5femJsjQ1XkdrY3CvGuyVm4bLyBmNiMHNZMj/CTu43WUaT2Ov7GSu7oyafsWlgJnOhoj
PwHM4bdEbsWVIcbuGFIwh3Fca/aDC97vaClH/2zxxdcNIflKxQmeA5tnWWyFV8OHMMdJPw4U4Wjz
kujs6nbSTt+hPMzazqvxoX6fpDtcZkaNwjnMaRKf0Q2t9slt0twwEff/Xej/Nws9WuLlrP0n2+kv
K/3Vt+H/7Z9VSUudt8v9z5/8Y73XP/x54F9W9D/WeuODTTYZ1BO7g7sstH8u9pb9AXirsCXKDWD8
b0SdxgeH8AmhCrkCugL9s8X+/ZEfpi4fhCzE07kL/T3RyEIxFla4h/dpbkcrc0YhYTjh4y8P5X9x
4H+9iGRLA39ITf19h6m26DUIux7JhBRn3eg2+G6Ipeg4Z7Wb31/qrRbPtpZLWTwWF/wepLT3krBC
BSP6DZMmtz2QkxhDypHkb+BjVVZsOHG7V6LWduNsW3S6o6Xp7y//l8fpoVVFIuYKtuN/I97MZs8e
HKPaJ/lwNpT70cMM9PtLvFVG8eHLJWxpuAh+UU6835zrWps6NFDV3hbDebTNx0YKGhAZwvX1ufr2
+4uh6XsXC3A5y0BUSFzq0ir0fTbDDCvLGWXT7K3BrC5In4pyVUhNQS4I1EXWWw/kvCtcaGHVQrI0
iwSmTiZnfCppregAWQQxFQTOT36UeOmhG0iuUkfoZbUas4ysSNPIJAeFIUoguxGgVVibByNR5hcj
GXYhsJ3vuYVjmcy4bjxOjSwx38hOrVMtN68ierStzSg11+xf4+OUBPUpdkLOTvSkYw3HvajODu7I
j/HkQk9XtXmLD8y+RoST3jm2lvi9VSu/C9vwisIKS7iSwbrw2PKwJ4J47eb5kHrhJQ1K+62p1HfL
ze6K2PrqzN4tQCO1GgCzX5T6+Dlc8jbAQp2NZvOZykzmdVrO1S6tbJwhuVjjgBq+1ZGEY5VE1+VE
QBTLot5Yhuo2QzE4V+MIH0dqTnBhhOajS5vXC8g8LXohl5x2338zHY39GXD1ehJJckWcFp5bh/o7
PNgV7njIUwWG5hGnx55ux8EmoYXYZd7Yqy6iYhF403C0Q91JObNBoV6FwxTKQ+sl3biNSX2fK5dC
SOTZYmV4sXsq9STRj3kpArHNx7p2Hqzc1T5GaY+OohB8jjeOxrkQaX/kXNTtkY00FOPqVvFW7egY
qKq+LDKajuL/T7cKFBrCiSq5qQpO53QxFeirOwMdaaY/4rvx1lNf0QQwio3uqYv1SmC4nsRJm93w
HC/7NG514f9nMEo55/WNqptTgDzkBxzF6sx0D3lQXBKkOHuVMxZeCSldm+OmUuYTHTLtyU/jLgQH
RV7famJ5C2A72WlmWV++4lI60vAkvaZListvkCmFA8fNjx3qN7QY4Uj7JzcFCJxzE7vNFld+oaCE
uzgPRfg56dLowI99HPslUAmqNfqS23JKH6jJh77WU7+1VN4fqa7ToANdCf60cLilobPYIRLX94Je
dACLWutgl011nLDQwkiAiHWtJvYNRjSJOrR5oX5rBtX0jNNcR2ug5aee+tSxpV/9zhxx6DoZOPl1
oqgGpUHlriu94mphCq8Al75mkrEZg21QRghUNC948tIWO6tH+hHG/XAcaZO7cgtwLI7Uol3Tk8BR
Kf10yfOQuQsgFimKKVQQs+FiNiICWIpQ2yBx5GNRFKDR0higshs9m4H5UYp52oRtq9/FBEF7ozc/
k0s94REL79NCpzs9MFXfjGdiyAIVVUBj09nSWlrQ9Om6ggW1cuaExgpVeZtUnHnzan6JQ6/xiEJT
ThNB2B8CLUSBqOm349RtyRGF+4RCpV/IctjNKR8bQq98qIXmKpanQQPKXRfbjnjwuemzpeUT9spm
3FZlaJ5t8gAIIdM6P+Ru39x0Wmk+s257h1gNMIgEPCYUisYmijreEFrw+SrIUqSDZlBOD4XwshML
0nwQI45O/OFPdTE08NUQKNDsuKAmGkDh0qNTCA4oYgPwVa9jRA5Dao2ZEvlVo7xD1hsPqUK/SCE9
X4VefWHVnraeZy1YB6nmXYZB+i2Ao7Oa4We4nWE9wy0svySd2V+XFqgd386YeywJznU8JeOJJHd2
cJRBgRRJHRKTefhULJQqoiGurMtkomDrMIF8jWbm3yVVz49iqPRz4M7WrTkn+OIzGkuITOH1BH7L
2SGL2g1pyIZ54owvILC1a6RPmAKafJXWbvJoR3a+x71eZKuqzrqVsEZrlVisHhnCGhpgu9Yp4yzF
0a6c+2vVeNqevjrOqqrcr64wwUUtNc81lJHk4CWee87IfWKYjOH0GNZEFmeK98aSMBSOjPZdjLKm
GDt7b7e2fQ0sMd1HWhh+9uyNIpzfZRPAsaaPxgfByrWG6Yf8r50ynCChWFEGWJhibWrcWxVu/UGp
j+2UWp/H3omunNqZPzbwOoB7DrEPdbG+6kTZblOVMPImN9lbKaAM8t3ams3ze542pBFpWESZNWgO
7I/DoaeXj79wg1znCEoSzAuF7qb7bzbnRxXub7I5NFxdgp7/HORfPsNOf85ffk3n/PyhP+L7JZ/j
uqRfUKtThPulrOfKDwRNyDdsW3eXyO3PEN+UH5bYH8W55dj0Ploqi3/kc9wP5K9NQR7IBRNLsuef
5HPeB4xSJ6wnuqdxJz1bsYi9rUfR/yupEfKSKQmFPZOjtvJTOIbTgxKwZkJM4atfHs+/CfeXD/yX
xYACGMke4nzdpqeiSaOhd/W9NpOkfGdn2o9jUoMb7PuVA3Fx9/urvI/0uQpxtoFJANubMIx3ev3W
RsZGdDHup7aifYyB1yYtajIYrlVuoBKTKW9qFBlVot01uLcefn95WnT95WsKR1+6wmI65Tu/P9V0
3eTFPX6YfQGgHiAQMOYtnjV931vYpUb61aLnHBcxEoIh3NcB8Ce/LmMNMwUh0n1BhIU+gHjsshmW
bG0ogEJ6cAm3dAHh7wIVQ2hkZhrC4RH4Ve7bQTPR1MCbpu8Vi8ydSUS9nkdOViCVIcFQKLlQjl2R
eavoMtArouYyFJj0yShV5HAMTno6Pc7OVB/Lq3pIyZXj875pzS64GJymfKa6RjmqKfrpe9Twjfo8
6x+zLp92DbyvE1QzNFZB7Ak8wUZOG3K9+ExnhPJJAN/UV8OIlrGpxmVxdYI72buKpitNiVRpsQ4p
CimYL4geLMvcGTCiwHe6jbEhD4fDr0DR4tJR9dqu5vxUWPTX5NAG+ql04/q2ACqDS98d2lXSuh50
iWi+nBFN7ANdLRL+uL5IO6O6bVQbXMydO+5QiGSHqp25HbPtHxNd9Y9VMjv3vB1jQ4YeuKqBaqxz
xurrVAzMB1cwhoZ8eojaoHgiw8ibqcpc3zuDZA4NdXBhtjmCTaHF+wo24/ehYxvXa36EBrnNR6dA
GxqMCHaqsEWemM3Nxx+ZywIlj1J4yuFVVBTYEXlS8Ha6GSZ9lpX4udHqwCg0NkVlpHelw2kIDJyz
Soyi/moF/GeYUu1eoWgCVgR1pKGnTld9BbMzPXhsSjsn7rID1M7yanLRI41dgji0AbSTbwAHZ4cS
d7zfwgAAf6ohzxJBeodUhO3Gi6orztQ27ULC/htNYZYWsS3hOlJcFg1RfI7Hqn8MqLpewiHho8xo
2pWKkooY+cYSgeZVkC6TXavsa7iTPa4PvotjJWhFJWWRPkVC7vdR3n8TKTvrFBvWdYgbexP0Eo4M
YJe10uAArLOy47mmYfnsZtJecZZJknVLFTxfF1EAlksPqq907J0v8yGaHgz0fzsANimFGU4YWpq3
LwCPxTm24mEdhdm8FRrPtgl5j0m3POpliGb52H+jZp5u53QygEfMvAkL0ejOEoz/epHXZ6EbXGTU
qwa8rxdL5HMdet/1TlL4jDWAX9TClHGIGvuzbsDpNCCYPIYGY9M38G/uDL3w1nSB+kyPr/5ba7nl
VZnYDMrR6HEk8KIcWCzboLLK61KZ1rVsB/u6m3A55XFTPnW2U3zWWqIVBPTokYyg+GwqezomGCfu
R48qI/VoDzd+PhTPoecSR8U0ofBlLdP165fzIiZBUzT/w955bceNbFv2V/oHUAMIIGAeO5GenpSh
9IJBSSV4IODN1/cMUnWuRFVJXff5vB0zxMyEidix91pzGfcQbqp+OxPRcDX5S/dedUZ+v9SIlzcj
JoXQ6jltQpkvQ3cy02NfC49YMLDUB4nu4LMi3IfbVOYDCVo4aB6tFJNYZi6oDLGBNte9K7BAvMdz
ZOXuh5HZf/85hXz5IbVQ3IPXsteK7MF+NaqdjfxuuIJpF8nzFNuDc2/nSLQR7S9vLX8hodUdcFhZ
UDy2DUe1Pc8hiPieNDoIYAwBOJlX10MdCCTYWXBGfX7bk1ZxBy7x3pADXGVV7v3Ek3drK1k7vdm+
bmX8gFnpuoRDgz+Jlyhm5HsqRf62k461G4po2A3O8in1OY874/AlT0R5MqoYDoWTnJLVxethDeqy
LsdpV0jEWR2xcl8QdzU45Tr4KU20LxCXn4mjCbbW0npkKsl4G6sY9cXqLFdGoEam0mt0JrLnbOSq
YSbbQMNQQdSc6MZQ3xkUvQ2HOWgfOSGkZVF8jdXa+0gXK+8wdNSxgVPdL5WX7hh/BhcZRqIrNNPT
3k14YZustC7SJZp3A2m1p5VkolBYo3kycaockRcsoeptf1dPUACU7fNaVlZ2SHAChYC96T4TaXYc
YusB6WWwpznUXVoVcSs7wbX/DHlickPZBFCrypV7uImLfjwKlXq0/cGh1LRhhk5AohXmcIqnwAIs
F3CSlZystkvUfbbraTggd2XPYwP3gRayzSVi7mFgM+/Hl21trD7voJ4NybxJcjo1gT9TljPDgHM0
X1QwBjd+kecfANHUHlhOdzmA60mn0CO4cEsSPTl5o2NTIdrNHdWZv3cGWpQnxfpqbhcWEQR4uYKY
o3ivrpyiUxfTGq27GonUScyqo7WU8FZ1O+BlzabSIQVLb8mzctv57TrZWdhmyFz8rjpOxRarQX22
qPmfkMvIk1jK9Q3gkToOrS440nQMTiA+l1sgxut2jIbmnJfKCV1RlDzuOYMamKC7zrGdO69zOGfi
XhkIp5pKDVBHSQxrFP3jupnImQFJY2ePnhuniK+Xae9EiGwHgGb7JsFVN8RIgTjjhl1qApQFAGJv
nHHcxkYcvCs4uhyKlCfetevk5I+k6QRT5FzVQe2gu56M+7Kf/WuSqZYzgeojgnoZJM6ucdvyT3p9
1wmq18tg7oUbOngp4g3QdzxaTpJfqW61TioBihymCdO3Yo3sD5B5oXZ5EnwlNoGiu0iWOMfhYGXm
n6osy2LreJU7b7X35LSiymCQYbQHwLDyw1QMabpd0a1cOmCUP9NXc80rq3OwIm4sPIjyQzCaBE8m
xGltQPt2GYM+2hleIsdPNd4JQpYmXReo5o75YbF1Ccmudz7qgwuDLiTEMI5iHo9fmZwISW8vgwak
TNjOHXgOYlvS41z5URdm6JVvFmDzxxUx0SehfKMLgYPm+t6YYMIokbLMZh8qrPWYya66xO6G5qtS
/RcfkK6i3SbQNWNiZMNRrMJfKzShW7UY0T2GP/0O5JQJHqPUCMPGQEGUpCgKEiVv1jQ17o1aYQ0b
UzvZ4zvlwB7TvQUvv+Cpp1WrPkECW9UuATN6jWYfk9xAVfhSfAEKtN4AWMOJlHmZj+Mz4fdByiQA
lMRtWhSpch/IdqQs0wUjeKjRybcZXN0TIcvVZQFs6AixaNoS0cRi3GboLBBWQztPZMfmjoHFuGeC
O7xLyai7IVQu31bSVdeoiPS3CJpH2wAoyRm30YvyWi5f+4yaJA3wKp6CprFuWQarL7Zy63FrxCBB
O8rEsxtrDXjZ8nWWTi2HBPj2uyQ1uXcWCvsKrEu7HGK0cBdYc/n9wzhtQXguh5pi64PqYkhNiy5/
wSF+8Pq5OImOn6AZsW/I/16++gsq53mNarCQxDla6dQtm0VCHtxgEShOuQiau18fIqy/O0OgABCc
l0hqZgX68WzWCtI89XTwGBuiOUcEtely2KvCBovbHfh1ynu78bcjN+Zjh6+ClKOKiz308ncHGutH
p7A+tr18E/gJyBZRJfz4XQZE96XKmv7okHChu2iDvPEwvdKNm6LzArmOFGCubI89B8dqTRR0J+3j
2tcf44gUU7rxzbmzx+UCxn7ziC3WuRlTMb+dqLj3v7lwP0sULGgkRL+4IAmw0b76sr6Hh5XUiu5o
pMBNx65yHxbFi0bqW3JjDDx1bEU8YNbIE5/3jOtN9qkz1p36KWOGD+eXIujXX+r5yPnjwddmnqcD
xn0O7j8dfGMwjwKuYXfERNlg4iTAZtsxSLjEvDQeWiRVW5bmdYdcn40HH37zmAHGPHiJfk2dMb/P
Jqc524XLqAxz2ReVFt6djz8KVG7D5NxoNZq1l8ZL7+cfqQDybx5ETBY+zQsO1bbrvU7XlgNN7mLB
CzHjmA4XDwsHfuNg2dfLzOqUVtM2AEP7dRTLeISwHO/xxjz5mXo/VbG9S0FXM/OYYhirZX010mj7
MGorR7ra+QUoCPujcPJkvkJDQU+7TRL/REB6vjUdZBDpzAsNVjU7xkEqb+iYQkAFDXg/F5hBKSBX
Bg/2cuEkVPNtM4Ca1iuMcAbjHlu1+2BIb/la+jGjclE5DjjDTntHHJe6d6qL0zCwgCWYgDlI+yvn
EkikRPOBJKw2bVyyEj/X6nO1NndV0eg1JdBle05BH5RMMxwzdR8cO1c7WuHqOofHcZkNDTUo1PwQ
BeD4Ll6NOCFrVRQfW3vI8aIXqzdeNtEUc5HSlJ4+1pV5J+M8MdHT2lFhHG2b9ivMUdEbnUNrcajE
O1KpLbRrWlLguWsRn3ItN4hW/T/oNMBoa3aIy0MUlJY/bhDtiYvAdLovHpZCxW5MTd+aSUYsSaTt
buBk6t3MIpxsiplSniw81J9Q0UKO0+aR0zdLrO9071F+uqGAvRZ20qhBVQVqvXrWs5HTqj4tjCyI
acUVM4xUVyaiwWO09hwoYNMN7/q0oFPP+XGd8b2gb7RB0y0pfHt97YJ8wg8OFmYM2XSMe1JtsMGw
cdzl9pgeojxh0UPuUZx66ddPWODqJ2eB7YtQQwAFR8O2t3u/veUk6l+iXMaJOXHod4uqe080Yfd+
JuLvBM+t/tjrs12VBIV2u0E3cNYCLOxSTMPeWuPy1HYZp5bKs4lxTr270m6Hd6Y1IPysRP0kwSAf
TIcTlrI4PW/bamUHAAjUvRcZDaWmKdR176Ueb7DDakLAMsIlkFs+/93pvZBWPu9IZw7MEoly8Lc9
c9nPdQVMCOkenW5OhxuZooSpEvZEwhToyomJLYc5K1uohtHt5eLRACpF8zgtnn9pYe/8SBxzcBlb
qj0zyqwu3ZgL17KBHipTyLD2q/EdE1yO99OSHnzdAQJjoq7LnP4QqUV0CMgf/8qAOl53qb9i83HL
23H2FFQ95CWgfeMbq4KBXk4oXRgLy7AydOGsv/WMtxvZLc1yHbiq74E9FSdLv6pM3FcKmhyTJc2S
j7KZh/3cMgXdZOYkdsOY0hnRh9d0NjnAJ7PT3JlVy52pIcJ9ed6LVRVjp6LXs1zkts+jStFLX8d2
uVS6KVEX3nKxxu5yBYfOv3x+DMVMC4bHuzGP82AsV05Mx8PulubuueNT2Tw+ZBoVWOjpnDQlp+CC
XOJj4VBQkVfmXw6RK1Hf0h4wYoPL4DScbGk4cul1I29N/WWfKxpCU5J8bQlPuCIElloDey3FyDTT
C/Njulcm6uJ74ixm5uAJo66AxCCk7/h4m2GkOVeRwLKJJ7M4zSu/yEQiQRNn5RWsA0znIiIij9aO
SZbhoG2eGY9gReNu2lUlb0w8l/JG5K58oOAxodG6Y/e+z1o6gquTN4+geWmUoYhrPsfEU+w6s1/e
VgaveUQs68nQzRWbxBmgB7WIzs+dGsNnP/cpNfCeril/qRQ0e5qVJc62+Pjn/s3zJjnn9G6rGmyA
YRp/wnbQ5TKZUQj/SoqlpjPz/cujmdK6VA6tIcbC0T3ZeNWlqoGTk3rqX/p91zzWFj005pv01AZd
K0/QBm5Gh5NWGJs9i7sBogCsQP1xjil2WhMP2eSxztZTwiVMZNN+JnuDG5Lng7XrOD7tOpfyvM94
p/Xz3LR6Ge6iursoOgJFwyD1qHkZ7sLx6AkUgclivUl015u6RO8CHNA+4qsEPrkO3Zehieon4uLj
G29QtI0I6g7RtXMAYCViTsPPiXT367m89fGJop5GSIB3hS4SnEcGmRbIAL03WAgQz4MfJzceSz59
J5qooyGdGy82gP1iA/GxclCGNKiz30yYYsKgdOif1VTCDsfh8Nl/rMgZ2aQDNxLJaHFaCrO6XO2h
upSCIrbU9yChPPzAoBKnR7vicS0ni9XMicd3y0SZrHL6c2ZdiDdGiackYh17rDtffUjcIjrTv3DD
55YgOdLOyRcqOmMPmchQoPzsWE0Uzosu38dkWu5xqlGcgA/clLzYB4TYdEHrgpdiMcf6YyEMGtQT
PWM7jTgq9BTOtosjVdBc3rHZ8/A8L7Ozx9Wgc7RctLUTv+dUv0CUEKU+T3QzXSi8dbctTZu3Cr/g
kahnWhYjY7gbD8rmASJHh6HSZtdyR8UZz+ZZM4hinCf6ZYIksPQEIaA5T6qgiaiXSsA/Ytfmdn6z
+gL1Kd4Hul442G2C0Tl20TLhnWzpTle9t1whLLTe2I03/OnhrTngrSXAnALPRsvKIUQVtfrUlRi2
wbSvxQljM4cYRNk3wqs+jqPkqq0ennNCWnhVxpxrQHgVp6Fxah6pSjIHh88COxlPaUDdAqPiejJM
FtmpoZxA5EcFuYzLdhy44Yufr1gaaKk//9fnF3MpM7YYAyLbZwmS/F6xqZyqFSH4LIxlDzQ+PdRT
zQudUlXGAEfJ5pI82Y7yVmCeMl2vFJC3R5sIx/3c5V8HZ63dXdJxgH1uFHud+ugITqaTVrUvoNrJ
pxbrcKCRwC+eTuS3TcfBdz6sbZxsVz2J6WmoYKjw+DAm6f4Z8H394rH6r/3wN6NKK3CYH/7zpPL/
tgD0qqfvB5Uv/+TbnNIyYUUyKbehLb3ICv+jRbQsrIn4EoFg0QZjgslJ9C/huYf9kH/1l0hRzzD/
GlRaf3BqYLLocXZlQub/mzkljdofJ2pgX7HOWWyOwuT7OK/jTcvG67o5dyessooQPxfIdl8WFTJg
tzYvajX6ogyzxut5AnOi7EvzPVF0MGtzbPAdejunR3emoaj09tusVRPCFCAFyn9gh1N4msIhq1Jw
TAqbc7VHKMxECn/Pgv5jmgwQ61KIcjwhSC87NArw8KteXVXFQjU9jinnxgBY1aWENHvGzUc/NUup
SRYnit5kdqPI3nMfDaZnh6kePWRL8CRg5arLrIQXVGYzdgwpWe0TN8XFkSb4ZeiZMOnACA5eBY0d
6wRdFnRxbgHHadUAGZPuZM40phuvUuDM7U4kPWL8FpAJmxpFfHFgklEc5hER9FYGdYpsI2686wCN
cUbbAxYJsWjIeVy19IeewcawMQqql6R08qOK2mmfra23goWv+MMg0yNEO2M03ggZVR/YAqz7yWVu
g0sbUFjSdViU4BcQmMLkad2wD0MVk8342LfO8i5akSqEbdyo+TTX7BoA+SU/lDCFQTxGRdZcTtIq
Dp1wUb6hG9txxG049Fjt5VTXls7mI2rRJA4SyVs+yZOLAeYdepNZE2CwB6SZ0/R7EBucA0Ye9a1h
EzF71yBG4yhVlQe7LyI2UjkT+cSwkNjtLDMwVpLQtvEhANXgpaAqkzhTsn1F4ChpM/t7MU3Tbuqz
OgQYPMYMYnsAZOCnlKSFW0xfvSg1n1YGt/tc8jYimEphwVXO8lRaTN/3QVvKw1DP6sFCQX6Ru33x
WDOK2kTmaMGFMOL+WIxJbG5F690gf8EHLpJoR6AU7VLwylrrZs3WSMO5aPbLGM+7xGuDm1k2pJ9F
7QCOwInPSRDN3qa2y/zBLWypNjIZcOFlRn0iAlmceihXW+QF0UfeBoLdqswKPkXlaOEj7ZDtH+K+
EW+iIh1OU1t6eyJdONAEVdQ9QIH/bE70GMbFX7eR33Im4Q1IT7WnbHaBeB6DMKY7c1m6hXPOE+l/
0G7Ww9glyIcl3V90jiOH6o7JhL3touYNxWd73fjm+qnoS9pXTby8w+tRcoDEERYaBmKijTLgoY/K
6G6Weq6uQVBBte/rLEs3YkyjUJL3s7U4xr91EZtuJiNAcUW/5X2P4xEifx8V97mjRNhRxR5INzr0
tc9z6EUOvjEnN+8katFwIX812NeVI3CQyMiKLpTO0Rhkr27QNaH2d83iTwRdCzyeDrsLlcFmBM6B
yaP/DAPS2YL4mEI4Y84xK4IgrB3xNE/Le1m0HJnyOJi3DD69lsrXRhdYoOqifzu4t1OHHI+PzaU7
LO1/d8X/LwEPr7fuZf7ztvigacj/Z/uU1/0Pe+O3f/htcwxcTFT0Tb5hl13tfv8m1Cdq+w+sKSg9
ZOBAmJV0G/+iL8s/MHJpFYiNsZ/W6X/2Rkf8AZBWaIRwgFBEg3z/hSkLA8HrzZE/ASkNPrQVCBPi
6Y/t2cDsKtIxGoPsD2u8Q7BdgvRpMXUWa77zFMkehBKJe5qH48GvHQJZxiU4gQhPtnFeT28WTkcX
Nq9kaDW9f8xTE6A7Y/Uq5LTGPulWyS7v43tMTmjSMOWAvYfp5VTvpiG/nWDRMBaK/dDIBU4nNwOC
0TkcdUst3uPlYnzuFOKhr2htKiW8cLXj8tqZxg6ecMCRzOud7cIx5otJbObi22/Jwflqq77Bojnc
LcHS32cIYg/NJB3C3bKhvGdQPZxr5aNu9RIUj3NT5geGyOk2Y3Z/uUyudyo5He8ywvzQO/Ly9lB4
yEeqV3BXXM7r1jWAf0zOQi4kwdvlxqPDSdKKWS3H1WxNzu465FE28tJs/WNRiHtloqW3+8C6KnOS
FCIC67I5YA7n0wzPE0SkDaH3+95UZcgDwxypslry0/JpgywxRDjbhtys8mKFDbb3pOGdyyyjYVdH
6MxRAOxnEc8VIyUcBKxqmgVLCgnzkGY7Lcm7AGTd26mU7ml2vPFDZZFimnRNsDUXm8QKRViEuStq
tAhBqCXNJrTDyF4fqtbmVLxLp9o3PoNwsdjQ62Iw1v3gEryxGaq6W0NT1sRfGQ7I3E0vs+W+sSv/
OogD08B91djzhoNoMx1K0cGI8eR88MqKSNbUcrybuaz6ewOuSA+6yyiTHr0SLX9M0Km89PLWZKBH
QuHOyFeNWByDEtwnkQ3XBllVythiAp/j9VCrdm3RhGdFCpKNcwJyOLnhDxETAjuJPmx19qKqd9sP
NCzkfbuqibAyVuPUyHKMAHWbTXcRNKZD1dS+F9/YTM7GaU8yrTmsB2dVeOroponFfQvUvzMfDDgx
fsz0NKOnHIq4HGb4CxS9c8oXoFIw5ysCfxbV7DEUVuhOC9N6X/tqvpvmZi03lIANIS+pRXGQG/G8
TamIdUo0/oVduowG2ASJTFas5C1terckgttCw7apguaLXGOdjdiI6L4qErCWrCSN2mQ5mXKRrPLy
2sgWYYWlWsybdZzccV8Y3hSx2Sc1U4y+Au5A7NCxrgpjl66eHYeTPywPbZR4yKGNdn6fp0XAfL0B
VdkkjtgWcRnf6OzYG5f5+q6nHx+6iVVNB76AebWanRa4Nia94WIFVlGpW7drKzhUNPA2XmOR5OQQ
0sKAMLBaHBlZdEqImz35ygNnLLue+IS4n+XWMqx+3ZhW5XHL15wEbWn3C7MXLXo2u/5+GL3qtvFV
fPDwnCfWKG/IX4upP9R8wQGdwIgG8/uH51X+v8fE3xwThWXpedg/b4hX6eckjZ+q7w+K3/7Rt83Q
Z/OyRECPA545MlR9HPy2GQbmHw4SvYCBoeS46Gjz8l+bof8HjmE0kS4zJCSMGj797aToWNq1ZiIL
BTEP+IWN8l/shs+b3XeTNkzOmunCyBnfmuOYr0+KzWygsyk6Vmf6jcADx7gEjNZK2jysAJWL4DGB
VnqZ5ZC336ZzBQheLYmidxoAn/PSsRIWAhDC4+eNxDVPNQa+w8kuYgHil9BoyrgNyZbIN7+70rcv
3/H7YAM9mPzhmzt8YZ9LC/lGSuaXP27jfjdMRcTqd/FMObQ0x1NO9C6X0TPp/yw4BH79gbbPvXr1
kTi5LSjatFldTcH58SONtGDpJcz+wnWDy7oH/hzCFLDcQ+ag5EB72BjN0WpNZAVTg848HJzRc46B
O0CvkzERPafIQ7a6WUePq1K5EUus6N351q9SpF91BWw+0W3VQrAQHJyoqi+yTkM6Y0J+xo2VR627
aVpSn0M5E1C4jyfOmC8w9GJlvi2sVT5hM687WJPa6xUQIIkB3MPXvZ0o0kmQdw1YmaxQgBhKdvkB
KAJN/0VDzlrL5iEgtluSMY0UkHhAkHtrD92z9ZHe4wEGgb1jxgJAGSoO8DdCbdGVJbF4YzFFgCPo
dfy2rkUr8MyCjFHkk7UgUh83sBTqgxgnsG9uLZrkZk5KvlGwgOxcVkg2b1uUyCs4WKIE3xCkDlVT
1FSS12s+wSNxvcVVj4KebXLuW+CxWJJhMRrsruM9SUn0Ze1CzO+Vb83GR1vobMeUTggA576e61Or
UOWGI6HJaxi5DF4JwtLEPzXkfDuR6VSbeW2Y9ZGKmCV6Rga9kCBHLQlBKpVSEFXyKZs0yXfBdjMO
Lf+c0UNbbpvUvUtcVKqh2TVcpBcYsev0ffeYIEZVR1hJIES5jvB15XMKBHx72hQz7uz1YVlrbuso
pLAu4pVQtPMzd87TFycAiMn900D1gOQiAiCK3qAyZKu+SuJpvTPI5iVV/X/CemHnW/0OQBQvIdYR
vmXrepO3rUdR7JBQxrBmG0tLiP4uvHeVAxrIrJdXiw7wNUbPup5GVdzadh4/CYLHjgRQOKSukkn4
VMX5+F7ZxDQwF+SRTSaEDeM0godMMnwcYQlXczmL2ZWMbXHGvTPcpuvvXmCqcvR4bEbSvdIQhKrb
3oDgkPa+g+BYFWE5NDYZYwss0NXeZjyR4vNUztw7CiFn+rqAl1Uf+I9l9lXNE7kNJaxPEpABiJKB
K5862uRDCPzPeoMcnNuDdYuWGP4v7i2zVxCgqwdtmyvDy+Vl5JgfckKlo31nGqp7fKb/oqDnRcA4
x+qYCiXcQ64RhhLRoyIaiwovHjNGq8+IY8eWjU76o8tiV5o6jqmLT3nhc1q8bcCI54zrgqWY8dcg
2/qiSnLRviGwzzDeGYO3Npe9aI32dsHLhA5ysVl+1xJK/tvUIRD9nvQpNAYou8CPjzBY1tFhgVgJ
RSPlELlxGs7mxHQoCGIuhELUc4wKH3m9w6qSnFWDIwDLIA9yPhvcuBo5XLt1R/1S0Hvir2BQYg19
ToxJBwOxtD4CuY9z4Q/iJouYATGzs/L6s2dP1nXi+hrCWGh+KPFlBJh4UdxmH1urZW6/kdhCv5CU
2ufvW1YIzGWQtGV7U1MSY66bYyMCxg6xip5cbvGXEFhk567xuOe9DinIegTq7/0havI/pUe8J3iC
BTrCjpAKIW5K9p+1ofnP6P0UwaQtERvVrmmeEmHTy+QYuIKgSWMT9fXKGAgn23WFbf1RjkMU1qv1
4NEimkKrrIe36OcNznBdggNU6QjxODlhwCI0NIoon8t0JIXCthaJ/bqUR4PErwmVfdYY6fuYWKhu
7yjpQu+o1RJVLDL1idaI+a6TNFXs0vxoVCNxhhUznHypsFcn0+wfrVzEn4ou8v6cY5zWnIWqm57E
8mEC9MXJpp3v3NqLP0p7rHZgPBwywjv73m+i6qNFtu1eVGYchd5aErHZey0QYDBJnsqBYIg1L65S
FRdvRdZ5Gw7B/X7VhCmo4HNYkY25G8tJ3YzFWl5K9Lo7/MXFHcu6+giOMXkYneJ28sw5O7RN5+yb
pZk3ZlZXhzGtU9AVbsFJy+nifUuJfRmwgW2LvFnPhREAK7fRQnIWqvQ82Etx39r1GzYd9VjJUiXb
bO2qvZ+a9fsEgwuXlmg+uotyqEJiyedr5aK51AHx2zjyuq9p67VbYL7OUaxZvAdoJa5l3HnONjFl
taDAoxzYdq0YLxpiCA9+AfwshPdfn7yE00osiZiJanXAzztsW37jI3NNXNNIyclwRjI+7pbSG66b
3okeApW4B6Dz+V6S4h4aED/8/bK47rWR9M0FC/ZyNKtqOU2GFZzWPp92S9eSDIYKJWyGJWNs3blv
xnRcv5hmkV2Ailkv4GIE3zhC/6g+0p2LH0siD/2b7RH3hCSK9v+P9QkRfrafYXI8z5o2nIMwC81J
s+GfmTDoQeuLiLf8+Ou66JVLSfg4tqTECKvdQ57z2r7jYMwlzlgG54ZJ3geMAiwMqhfUGL/+HDpA
P/06FH4u5bLA5WW+qr5GEGZDF8TR2cl1heGZLWu2FoPIWfNf//2HeTSJuJyWjbPs1aW0eIeBdbnB
+Zk5X+uhPU3ZIjTSIdj9+qN+LmSZ+6AnoRaHE+Tpntj3mMMmDjxlzKZ7tt3Fuq70MFiSiYqUCCBz
5yGf+tefRw8NjAHxQy4Oqld+L8uveW2LUp7XOYnevWxBFZbeNJRVRzXyknjx68/Ul+vHJ5MfB55D
28y4ea+L9aWMnT5oe7hAbkV15SGAgOceROzA1SzYAx363jahFGSmQIvO2D5+/QV+fkiZbUmus+lh
FpSvQ2loUjfmXCAmG16Y9cyTZwse2f/iU4CJBK5Lj/En8R+BrhNAss49xygWgJOjEfCgBPzm2fy7
38KB0pcSvSYv3qtn0+1t0cBKcs9oqwEXpwgr0H38Lx4Tem62Cf2Qhu1P+UY5YAGm8LU8iwgVS9om
vHMv6W3P2P1ekev9myPdz+sXazqrCT+LmSUf++ObUKVjtEyF60BHjtxHC8XHeTVHSpGhqIMd7Gv0
Yy8pC7++bT+vLH4gAhvDl2kH4qc3IkAzZq5KCkxvvN1RzTrZu6Ab8F3/LiDub34iDwetbFrtHkd+
fcT8jmnqYWjho0qBLEMLAUqozGvX445yeGByfYKb9VPz73+fJtMQOSghm71muYyIxewEE/q5cMn7
qErHPhWmnxw46HBTf/1Zr3KxwKahf6bp5jgOfF3/5zct8VvfZD05E1SBkiOzSkmPyzOLezWuJA3j
o6twCZAEMk/UdRO1Vnc9Nhgn9g7aTQ4XtXxCv9Z9sdBPUHWuNPpu/dwFgPnrr/rzwoua0/YEGjEB
Je51DFmVyol0GlxTgggR1CgR2p9sNtgvR2zyYpMFlPW//kjr53c3IIaLutKG06OT5n68/3FBv4SU
HB5xeG3tboZ6qjY9Vgqyv0j6CRMV6ec9S63rZiiaD+hfVousejLimk5g22/igTRBqiQEIsg6k3+9
OQS4HOgG8TJw716bgU3QlOvo89aXq0/RbcrsoxUb9rkrQKAiqDF/18b56d1jqqPfBlo5PKJ4sn68
IE3a6aJ/Wc+jAyW9QzqbEZoDVZ2dndP4ry//330YND6IUC4UpZ+eTX8VcEKJujnPMbj5rMJ0hwRY
syRAgKS/+bCfbjW/zPdp05m23vHkq1e9zA1LdZG5nN1IcrAEmcSTxYvIKfHXv0q8Mj8I5uy2q4sH
clPZ0l9XRoWdpLOrvIkKogXs+pK2YAB/z99GBoE2Fyob6YQ4MerBZEoY8RbKs5m06CiPuSbAIYH2
C3xh4rAUdhaK1lXH2T1HrwV0vUgeKHT3Y2pyDseTiJfbvsLh9DvI9M/3h+TMQNIwDaSNGvXV28HU
gJZ42XVnoZH8U0WMGxJaIphNUrt+fdF+evmhU/MMOB4RoeR0vq6C8F6IfgRufG5RR6DVew4u0OE+
TLnqC6eaf9s/1LvXdzWQw7bm+c88MyQ+6ID08/Ld0l+tpW01rXTObjM7f7quGM+tQzbJc0PE9Tq6
Os1ayLc1EKDfrHTi9SMCcoo8T9dlDgaSnEpI20C++3CniPoUYl52trCawkk1M3JfcNRjTrEFZvPI
/4SLIHe2Y91ZHVMs4mMqu40BfPQLguLnJCdzKOkirrnu1zStpw8WA9qNzbM8ry2ZjWEzs9Jbr18M
ZD71lMpjYMQ50Ofct+s7mXXrO/JP2O4MNoPD0reWOr+kPCFrnG/lNNMa66Kcvl9O4yjapM0Ye1sf
r1d+JU0jb0nkyMs7ErYzJpI9ADIndW/rxTIYhnkVKWRjjwHU9PAlXtKWNquw8+QAM8tpFSGRcERD
r1ArzodFD5KQ7J4R1Fshals5oIW3YEeTuN6kEuoSPge8wPBXqpp3hsi3Fb+BVVhfptYnLCozEN+H
AbwhmqG48JLbcZn5z57RrPXJrWlRHnAPR8nRHXNORRB0+H9XHa/wXHyOOfKnfVDouqZRLjLSigCo
r3TLcV7mVtxycF/aOQCJ6BvzvQIamtzaZU04Zx43Y3/X2R03RCiPt7u2SpXf16vJftEOvdXsCUcg
fcMkHDN23Tq/95RFsGhn8ivwW8r1T9utSJhqG0u3oqaC24yunH/IT5dPEn/U+qDQxRFWJTLncnxJ
s1IYP/cpAS7zHhEUH08fhM5VvyY0wv1yIZoHTDx/cXCTyPqEtbM6NXM2GA9znfLRTb6yawVIfWjh
JAWD9JtqGmV/bzHC7CA85zReYZgijyeqEJ+foXMdx7ElZHyLXtYIV1WhT3d1oAnjQJ6gCgwOyUne
BGTLGSNrOiUoyiP2VWtMr+u2oKcFmLNbD3PBGXYj0oAuYzyYc/vGqiSpWn4qecAqpnLi2khb9obn
OoCePU8fanlaDWTe0DfD+YV/JqIRQu7hirzmK+EW0S1eGCJBnltwshj4MnYCG8LJhHxKowRZUgeF
Wh1fXitXsLaYWtJKtF3mP0HU0Rk7ksQXBEtJCoYTE3Qoeoe+ZetKnqLGdzmZkX/FdRWd7pnbWTd8
WlJIC/s5pQ//MpqBRUtuna0LidihtvNrop1LK9OdWChMQCw0Bh/fCh345+3PcweajAm9K+8SkdNA
fpBJlP0ewxwpJCUEg/VQKoNJQ7E4XFgH6om9BywXp3dd1fBFLJPeyV4VoruvVquZPw6zZxs4cD2Z
5/d+HczDlZwLSBlIJJxwgHmx/EluII9s5jfCuVssRaRWslAbA2u1Jo9RNyqCJKk3Ce0KnhWHaU7O
G9zb3nsKc8QVG8noGohskSJzyogxWUt680Yhs3PRdnTrl4KmJKLzavVpSWROdC5Nc6bVRoe892mQ
rcOYTS87/n/npL+Zk0JRZHb5z2PS8KlIvzIlSX9QDb38q78UtchmabQ4EsEs4zy8iP+Zk1KYMyil
WKOyoeOCSOl/5qTiDyQkGExMR4sCn7M+/lLUwgS1+YMcXF/0tv8q0MN6VWKZHOktgVOS19ukhaHl
w9/vnzSf4dQNtCKridTQcYoo22s70xhxbxoJjJbLOZvHKt+ZZt7/P/bOZDtu5NqiP/RQK9ADU2Tf
MNmLkiZYlCihbwNAAPj6t8GqeqaoetKyxx54YFtSZqKJuHHvOft86pCGPGaWHJtA+mXz9Obq3fxZ
M7wdfb6f2i7fxoKT47ouZQQ7+/Jt3+7mqCsyH2PuxVgivqJsZunu3cqhqz50lR8Myuo/ubwasB4L
j52nSZc5VTjTI10xyihf/K4T1/wb9D8NLNaPs615OuWAHX7TJ00ff1eiviuGX78xx97lnM1ZD13y
u2+My4t7O3UXc0TIt3bGOX8c8FiZWywCFf6BiUTVdeLi35xdZ0JcmQlzV1AbsJsNBJPGo5SkXGnk
l8ouAcXcgWijk9TaWbSJKvaMrPePhfTZQ2js+R9k3JwyAMgjE0DNuaKBMRS/KatcvvSbio4ftRzl
yFl1aafRoHpX0bmTFsFqyeUFQRkIvghbcmCh6iK0dpnkqrH17+tQzz/++va/q5KFq7su3QNaFa/9
CnP5Wm/uPgKbyMKGXV5es2r1LO4JaWxXiRfGH379Se9K1tdPQobAidVDLAd268dPqpHjzg2K2otX
C6JYFVvpLoSaRPpnHW8EJ9R5ZYrJq1apaavidw/Ne6UevxI8hG2AaaChhjL+x4+n2Z3EUUngittk
9jOgN/s5y5fvgNtdbhz4zcjPuPU7xRSVEiqr3G/AMeRB+ZN1Hh0TGRV5KlVGLnNZPJotwWXwOKfp
W60N9Vpoc+EiPKusdm+bVMK/a4X8fKM44LNsmPR5aGtZrGlvb5Rweru07VC70vuweE7aDh6lrgF9
tAJzmsroyNkm+xJ5fn1meBVvncoaST3UB/d7R2pGBRsmwkZXpcO3pDXdl8GuY/f461tMw5dv8fYp
dtF/EJdE0421lbfz3dHAIbJMtHFnXiEFX0LM1iCGqJRexb0dORzAGxpxO8DC7IM4jt1Vq5coztt6
ly8a4SxviruaymQM2MGjJ5UWIKpk1wVoAetHZ9Eah0S8YeNbBMhJZyJGDlNZXtSiUG4WrXIU6ciW
tVcJszHExd5G7n1npNFNNJUI6fLehYmD/Ll7FUI7iyZaT9B5rVsLqmwglJee80U/jTDeOjKL1M/z
q7xaoU/AHLiorrVXAbZatNi6QpU9p+PXWjbdfS80JNtqieQOZdNT4xjGQxPrKtthz0PoPcdZ+MV/
lX8nZaN97hdNeF1L45BVZX3QGz9/oRAhhrtedOTJq6R8WNTlMMjRSXMddrhA/euGwfXGYpy31V+l
6Tkmkmg1oAZFebOo1wtpomOv/WuCUpG263rV7dlqDLUqF+2717n5x7EQ8clo/foecRgaeWiRxlY6
xfzsOVW7kczosFMD2t1q4yiejUVtL6NFeD+/ivDLV0H+uGjzzUWlP70K9ttFu0+MULEv+aMkdS/S
fkT9yPzTV8m/GyoyQF6NANbiCTBf7QEtRoHIWiwDCpXwOnk1EqQ8SR0u48VgMJrueHaYa+fhba+a
rkAAmORT2b7EYWwY8yeooKML899vWcqrr6Be0s5EY9n1fS0uXdYV2Xj0k2beDX7fhYeiTRgxp0Ze
3b/W0CkQgEXL71PwY2f2R25X4cF3CDGDrkhCUs3GQXArVi0BsOF1TLCLW+0zzhaUiWPud2dH0lKP
AhXiTVarnr1w62hxGl4PvDpOtEJwRzKSbmay2JY5atEgb9i8wg1sbAaCoY/IizBajjSrCogVOTR+
z9Be5S5TfxlSFWztcklY9GabFbM0iMclsHzJcB0A8MsbiQS02FRR4n3XkPglYi0qo9slltd7Fxup
e3gsTbdz7XRVjhKUDK5oVreYJAUG0JtQDvQE/VaWyXbKnYJ5pATRght+oqvljvaU79qkSbQVt9V4
0upi6SmaDpIS/iO06zwVmuSSl+UTsgS/OJit3+VIdDvnbu6xJm7xQyBLoXmE0TVwY3wzu7Ad6vKe
zdg8ptFsZNu+5htsqi5nmIwAZwallU61uiq8iUdb41Vp16Gu98fWtO2cUa4Z9WuXSTjelFfRUDmn
JsF/GR3DtccX4GwJjKU56FgF9jjMib8wMqbZa0bO4Xruw8ymZ9XW/k0aqtRamQkGaigq6aydYPha
W70OIT+5MRM2Dugxh/I40TmCZwTE4yXgzyHJJMuIxycywWirBAxTNybaZyB0aAAYVGeeAf2F+Cfg
QIOlgUDKldFfnNqfCKDwm+6KKTVbEuPnbIGFLa3kbZggD/0049uNj6Sco7qQyp6Tk95F3Z+nQmaW
dDc8nYd325ecmHDfzrRSil7nSJ2bTSZXxO9uEj1pPuVKUVnQGR3upe2oL3Ubm3vwfagfvIyGTwBS
h3/HzivaCfjB9cs81qCPSH/kSPkaIvmn6KvjRD1uBqNIk307GsQSlyiojOtEQ5NTimZ5ONOUREg3
lzQSx8ni4EguGLUjCia+WIUSWD+xg5Hx6hGIvClYJds1KkfUVZ0kAP4mbXvOfYZX+kgFrVT1V93Y
LcXnEgxsZ3DyYWUVfHRVATFg5F6gdBOvPSWSbRkIsD7xvWriWC275Ff0jc2lAuazhIVmA69OnUdZ
clviKCbMtKcqiPj/WFONjjhX5LZTi+y9jkElxqQp9VeFFtdIPkTfQJdcKKEbhNmcrfnvnLP5RSwg
o68vdTJkxQ+hYTL3HZKE3IyY9M3Fpe48q3LR6owtQm+zGzkcR5S5KWa6MkvvIcOpnSwFXfsllJzp
gUNzA8yGcazgO/enkCClAYqc2ygK3MncQWxQUMbdZkJhntk3Yy9FtW+IDsmeFKYzuS9Crfg+IQRj
DUkazsGcA4gcTYwpllsS9/wnbLoFFPA6QvlvscxNrYrvkqqTJ7/IUnttG60RsewxcwMWaPgfWsjr
0SY3Sl4TcMamf7DwLDTfSMUkNN3TeaQ2tOB4RlJb44oy4hs2bDKqOeltD6GK83g3sNOa2JbdtkHe
4w/+gzZRph9nn3beSyfLCfABPdfhkCiDf2os9HiGphE50aHmtiicD76znath6K5Gjv336SCbwHPl
3iqAEuxn5XBzMqHTsKkJZa+u4FlZZ60TWARIiy2GUzSpOgZzwVH/gUpEvggiuzHluokcSJGXYJ99
NXgNu8DU3OdRoycf9Wo2PSRSVGDTY92ZqLBiFOottjAES0ctrNUX/GSEkeQuqPADSTv67YjRaN61
fSMT1OKLTTAxutS8GRGS2ZeCoRR5t/UgnCtLj61xNVHdyI2Ka+6aQtWJ7A4ZO2sH/KsNxHQYfENO
0NRu9hqe/swaaTBN4STkKqyl0zy9toHSeOFCs9P5H3jWC3lT+tio4GbXfrr1ihiNzNh/MrxeeToZ
cYP7aBslDSJlR511ZSH0Gu5AT6FYmyKe6E2dmNxNDg4o0hKzo3XptnVs3hijyJFLjZXP7xpHLbrK
Wo3eWsHcAnpyWfTdVZ6HfH8YiNFWxh5xPGpEVTURWN2uEcGg5oGn6f5JAPpvJ+U3nRQK8F8zlA+V
en6rNv/rL/zVRUFSrtscDq2/HFR/K82dP9jXHR0qLac44wfblfkHLZdlFo3KhbGfxRn2b6W5+MN0
XNh+AgsX04t/z3dlmctp5+05wzdNm3IJBQhHSpdt8MfTEID9boCy6B1FU4wnLZX1WmVGdjeadvYC
oH8+qLCziBnK6RCgiwuzi2kW7SccPxKNpSu1Gz1ysUfF9TTcWGaHdHE2QuvU8Oh+jbskjQ4LnTdc
4ToxtVUzztG2J/FpE465+2GyO3XbtzUMCIyY4Bri1MtfhmGyz0PTex/iscLaM+ctCMeOk/y0pulP
PLlJN9m3ksNgD/kmjc2mD5zSt5OArAPnBR8cFkfhHqI8ny8p/IOnLmmsuyzUetLohjr83pkzqFNt
uMpImifXvEzST4D8mmeSlYYnUmNo6U4y/q6ZJqkHfmTDF25H9wZLLZT0cTLlTWpH4xUjOZ1QjNaa
vruFBp6zTAmtcociugyaQUAVNALGjNLjxKIq0zobcZqlK5HORIaMqo+f5zoq9zkW4I09hPEnio9o
XIGs9HbMSExUgfhQ79HOxde93R/sCqn7PiF7eYcc2TtyTh92AkeuuZ6Lwrkv4mhOdnMZ524wgXYf
g4qUd9giGSDBNbpR/2XSBUASsIeuWMX50J8cREArPNjNkeIthXumOyB7EGqu8mb0T+08YLxJJygq
wq+9izVVfrINB7e/g3/c7EnJpnLXhPxC0LrXgSQp8grciFPfN7nqjvQKtSVkgYvj53kXaHWZX+su
7frAgxJzjcV8ySSw3eFj3osJYjAFzknHMhwHi1x3DMLI9Y/Mj8NuHRUq3eSyJJyDeMZVMgICCkwH
yKilRprTREV3x454lThw4jG68br6O9PzidyObm6StcbI6zsYypzTPipjPG3W3H3FW+Zo+zD08g8E
OqSHwSybzexPKZHbpTM8M3DxbhzVDmsqC3vra2bLCQwK2lavcKjTv9bV9UwnIf3QiCwch9tZAybE
5oKcs9u5TDzuIB3FN4WB/S1/4e4aysKf3lLLAh8qY02SZNpOVXLhIFSEl2hxxCFEoZVvdcMnRe7O
wVucc5HHZ3AixiM439PLpDZ4Ndp1uj6U+5Cc+S1CHTzNiydvoEt2nBafniSzgtcb797EDKde3Hzu
4usjyK/idIrXr+Ectk0X/x8OOGOTLJ7AFiwhilH9ZCx+wWpxDo6VdScsf58DVDrPi7sQLDQuq8Vx
CGaa696/GhGHxZNYei1PoAXD6KLZ1eSs5eJfNBcnI+bHDo1HW2ySdHIPRHWoc794H9Xigmzsvu8C
pPfNyeH0fzQWv+QEvgmn3uKidNLFqefL2znmxcywWs5YLoEmwhXwMmQblbVOHUBLVZLKBw1A2iVX
o4txEf9mMtr6PahFVi1v8Xf6i9NTvHo+6RMG6K89Dv44QgesoSYWUX/xikYzL7ZWmfsUG6mz+EmL
xVlKF6UEnCmwm44y9/bt7GBXWNyoWoovFRlCvBaLV9VdXKvGq3/VSI07h9EXHE3crdPic0W7gxbd
9u0xiCzJcMbPxIYJHTbQwp6fzNyyPqJqTtdxBgxprOP46Pad+4AKtD/VCkQ7i5RkTXEr1o4gocH1
VczkuPDmR/O1yHh7kzJKmYexNoKe9vbVzACtxzJ4Vrrmj5tIRuM2hH+y6kpB7A9S/1WUZM3lFYXj
0rM+Za3xDN5pAr+aMOIKizmwOW3RIRlExmtYxrcqj7MNODdMAqR+crUNvK4tiB3f/5pgU+Gag0Rr
uAnduKKhUp4TMJ3XqfTUyyBsbcPBnOlWhwlUAKNYp5bbb1vpFR+xQno3cQeYAUJ42X1MPXtr2L12
sbOxvNbBRTBgisQD0qL8u+SU9Ik+jnXvknB4C8k82kx6I7Z5bfVXw9x5h1RYElBOpmUbdLQ5i26c
9PeJZVZHD5HTs0nRvIdlqKDdN+WVh3BkP2q2fi2lna3Grul5q9R0H+kFYvmCntSlG2hcCD8cztLO
w72I6Q0MqSRdxPJYMnMIZL5M90moJTda1kN5zwbPXUWs+WszBf5Mgk48H0Vex1sOC8UlMfLwMS5n
FXOCtuVnmOJI3WdtSM7GkMm9JCUWkIc+fim6PsOUXM8P5oB4oA5Tl+CNPGEsR4bkY8Ow/jzHoYLW
WIG3gHWd8rw18R1mff0eVr1B8U/w8kQ7iLBi8nef6qaWN4SmYX8i5yoKWJiaPTv6+BxnDQEhMdjk
oHcIFFTYcFbCsJhf8lQemQPedv0k0+uoNfWu+ygaxydAeHJgsYuPdOjzcl8RtJk8WbaBE3bVISNm
J8rISL6eq3jg9Gz2xabXF5wyLgKqZTHOL143OBtcK+WqbdGbB4stawjadiE0x1O/U6J4UOPY7MBq
RBseUuycMGDXfVnmtyZ0kDV86WMPDW3dOO1f2qL/1se/rY8JnnnT4P4pSPDw8hxXPxbIr3/j/8aM
OuAeunYIzhYV2DJL/JtNoLt/GCYCGRqxr7bK/zNjwvphYCQ4syO5BUZKA/3vEln/A6WS7yyaGhZM
Ogf/jhmTovpdibz8C8w5EafRLGXg8W5Klulh0zOFdy52bGkHYLBjcyrdhSfMdG6yMSjTLsnM8jgC
383vgQTa/hdE+d/iarbvLTczoatU5gPTFGzMrpacKOvGLuDESauE+oL12p+lX4F5mcEEaLlB7wAD
mWoeBThcLaAbl5vFKfMTuRuGnFg01yBkLVBN7m0TGZeHIpzMlQuXbVVMS51X5BZ9ahZIWmsG2eF+
f5uRRdouzMKQgKG6PsueZubkDM3R8Fv1Ql/ss1V03ovlS0Fzq3J3ooZ32BaZWFl24RwAtT2bbUqq
x+jFE0mrBgiYeSKjRNSVteVGaZcy1cJx7brDNsZl24arFlHC0OJ36fVi2NrkjfYoPVR6rcWx8cSA
8Wz1Zr3WgaSC8o7F3STL6q7rG6RKnXgiKdp/HO1xuh5hpNKf8Z/G0XM2g5iI0B6KWyvF3YngybiQ
H98ees8MKa6T5FygdDpABU2ufC1/xhfFoASJysaunexEieHv8kobvsjMDQ8T6owtBXJOzwXgzZx6
+jcSiun/e7Kt9r6RfIOx2sIQT8aPtg5oEuEg7gbQS/Shi9z7bBg9uwihd1yb6qlIiqeGgLcr4EzM
QWI1fAo7zd6YJlhuK0uYb6Goo2WLAXHhYA62TuaXX9y782gtMJ24PixP5GMzSGfr6XQu4enm2d41
0EAFset2fPvBXUO7H8jgGjApgGzjOEFIvR7dWZme3UyTnK9DBY01nq3mHJsG3eREjDafYkJhZDS2
s9K8ndi6zORekZ9xxvcznWPUQldsoims/VDdMBhptyXoqq+dZ4GrQlkJaCrT6u/kJqZwI5Sl7wo3
VWeY/8l+xK9w7si3rYLRUdELcG2NjK/a3sf4/PF89rV70mufWj3pFlNwCanRaX34c1hFUYY1nLCA
Ucj+AzmxvQoaczK2cO2aCfOcm6yNKB7A6YPvzLQCmUlFTX0aimJMg469vVwNTdVufUVTpeFLuY1T
H+U8yceoZd4YDJR436t+hmvh5T7k0Mw5t7b24szA78Hhp4y8QAaSn6wxveS0SkYNDbKtmwr/iUSc
bDFFnuqwTG4YaMTbPLLFl4EssQWe4HwFLj7j4SgGENMDFqUlFjdo9U59ZKJpsumHLskM8DV6JAER
OB01nUgpsLqVRxjaEf2fqtc0GeMNmYHzDWVhhTaNZrjjjCUZIaZxkEbW3gHgt7FQqX5JFKtuCTaO
pyAlCS1w/Qjse21OgV34XoGygJ/EENMjO40x7KpwFSKpdpg4nAwpI8VwAqrhzY8DZARECo2+jW1B
RKI/cUvwWl3FXtneOOzEOrikB0Spzp1v9vu2NOdr1QtAp6N7tHte6yDF6HtIwkLtPUiFN2lhaBtd
6RJ+Ue1N95nM6yuKReMBq2D6ORF6s9acDJ2EahXnmyQODyU8NhKcG+KYK1x+IzCHwtWgUFXqNrKa
9jylNRZvcM8XbNIlQNoSslmRoHCDp7mOTCUOc6O/ME50LrXVlAcDTPahkL0D5UNSnJc1gERu8o64
kXiNwPxBc7EEwmc0u/vZj6dvhYAmMWvutEdLZ926U7N02/R4YEBjxCs9sbMdFrh6nYQs5MKYuxOw
s/GxzAUuPGivK8cbnCu0TRqGRxYiP4I4GWa+98msRLxnAINriTHXprWQZa5BjTuf2ARBSvq+9k3H
s0hzIDZXk2P131P0wrTdk+pONo6+wlQLN6oRz9FcRBsigAjUoG278wapcbQj9eET+TnduS3yO1lV
xLr4Tsmhq61PxhJKPpd2tcXaON8IPfGvZdyS/dD15EJYkdPuCqti3G3CxWZIPKx7N7a+MfAdNsod
v/ZLGnrGmpkHYabiRQinnWPNajBV2uqpHv1kZen1fOd4yl93ZuV86r2Yd4Mj+nq2PZi6STai6etJ
HcwjFRDEYX3OEODTam6Six6W5W4Wlf6scCetyUF5DHuWdENNxt4eHAg3AnPAfZLo47oWs3co/Pxu
FvqB6kHQhzF1Z5MJLMUByUf+2k2GW1Vn0RPJ6MD1+kJShJbxTZrLqQw0quIPIgJT7JuNe4y8uPZY
QUN/z7qprWQnzhJF4N089zcUkx3abJGfei7YyubZewBqUhzDikQJzQEi6+tgi2dcqWQb3mUTQbCj
aivgtGYYrawy8vYowntAo0zxJOXtSnghDIc621WO7A8h8t8AHDNH4Log9hJy2rYvKoTWHemN0FAb
nAlhcY5wJi9xFuoZXm69I5nBOc2DdL/qbp5/aWXNiUi2yFAL+372rEcxWfKSEb5ypkx3Dy3pZTuv
d/tNQ8vlkWZ9f7Sd4jmd0+4Qp260bTKSyId+yvb9nNO9ogUtj4lBdoyVRNYdIpfqZm6A0HvsXEOQ
prd6VBufNFWqs8+uHAemHg5POnkO+3we7HNRo3E2EnuLOKvhnIDIybE+jJqyAuEV+QYnTBhAMc0f
SHOpd33nNde11xHOI2tU7k34zcsilsAojnceiIuAiWe+l1U+n2PLUqcaudHHwScdw5VDBac5px3k
2PN3m2NKjJmZCWXq3kOzs7ednnUrvh99ptS8GlhVN3Wsf4b2RPBkZcXXBJqcc1AVV6PD4TvUrce8
ycpjk5rWBsvmsLiuaF+MWfi57adxhzqk/TxqJV0+H6MShvXh4CryD3NHflY664oP9hQmxDJYiIoN
/cZnEP4T+HDY/q6XzkefEzXsiZx4nROCMQvBEgE8FysnWiX2RLWKhZs/pppT3lNUZaey8djqbT2E
/KcyjkwVIUc7343qSx5Z28Ix6503ivZK0b1Yl6Ot7eLUKrYiNqIzXnqWHRoq+yhMF0isSp2bxgZm
CDRC345ezwghTQEIW+qz1FlrK/Rc9Y5x53xdE3CyymzyfyrIDlvbU+Nz79E3CxiAU6Rk0rFJ+4qa
MnCYRqztah6/lllcf3bg/wrK3OciwrLNF/le9EWzJZfVR1JTai3yFOGtijTT9nBqmSqjLyoQqVtZ
eVWPRrYyM8vZqKFo4pVmRS9h1xpri6MxW5rTdjQiBMLqLL2m7l11RGdsleFA7g5rdlAVMgpjHQBm
R7UZA/2Evq2J7yQt2EE35UTLdKpaV06HaDwpWtzKPaqNPLu1saibgSR9+RSGUqya0kgPglv9GV1C
tAeYH27csmeUGU0yO7ZoilcR7bx1Q66LFTT0OT82sWj9rd67dpDM4taFuQ3xY4rSi646/etYu/n1
PNLXxjWfr8wwM7ZhOUPzvvfGsE9JOB28uPqa9MXgWAEtK794cMcYZ8AxhNOXnQiz8asHNQ1cNWR5
o6ZN0A6plIO0dXRQZejk3WFVqmX+6CcZ0y00XGsNmCJdrmgav6GTiV+UzzekRrA/8nfI5YrQS0zG
UAPmD0fQo4NHgo2EdN8zxbtqav50JckbMXnzzGxqt3yidpX5frPuo8nYJa5dV0FUj+VLGwoaiMno
HVDtzbzBHOYubu88zDHKPBwYzouV48wJZneuT6Htq409++1dWyC3T52iPWoEXt0KUOVrQn0mogVj
1e+tnNAoVgM4wk1l0GahhDGULEiPTbK90+YW/ALbOIlSYnMVOH4SMD4bL4/Hte1MhYnrlc8ToCUe
x2SwnqSe0YKTwBtdgJ0a+jUyWFaCK3enMGWuQHxMdGPD6yglJiIQuT/ej8qP1kNKt2HVkXZ3NdWR
QYaflOvWBPQaSNtzeprYtXftsQsvuEUETbTZqZElfqrjCEDtIfJyJKoLrbr15XCZyjm6p/Unt95y
sUN4xzvN7zh92cT4XLRwUG2A0xq6KJKcAySr5j4MC9Ghw+CP9rNvHzKAV3dd5LcBs9bmQ4va/KNe
k8tRVtGHsHDF2TJAjwVzKQhrMOoaOKovgJcP4kSOeX1PLKxcghbq0r3qx9i6LePm2Z1bEAn1PEZx
oMUCAY0SbPvJHBEPLvLQuc7yKX9KRZ0+eqkKd55BJPRq6nVjx1Goe8zanl7fAq+ooXifZBHVjHWi
cpvCPavWI/rwABsJedUcPah1mqQx1mFsqy8zVR8VvwbCvq3G6aYhKCVG8JEnd23kU4k1c9tgFCTt
QHqaviEQ0j8o+OZEm83p2Y6H5FCYvnvJl2R0d3R4mIT2Jfeq+RFtfmgHzOv4cebEoiHsbHqCLc7Q
VR+UWM2pO19rUzVDOajDXWcM+R06OOIRZp6rdqZhTIMxOoYGpizcpNoqIfx8X6ahDqFGh3nLZaSQ
1e32bJsU10kp7GUFizY+QXFMO2SSFs3HqlNeca1nqTQ3OcNc86rR2QUCTECxt+pjRwq8m5Yzv2hT
KdSN7mvp3onxfSXloE1PJBbX48OstJT9Ves48HY3vZB4Ljd9T1gP+BGzHdWJS9J63raKGvIQTKlX
fRb8D4R2iaZfGy9I9Xah5jYPOfjR30hY36fx4Dq3Bfg526Uqo7vz3lNWN6OC/KCrS6RJe635C3TR
YG42kkaHTCyMPmP/3A2pcTQze6tZ7daO9Y3nhld1P29k1W34qTt/TtcZUO43val/EHK/F4i+fjcH
SLPlLPrL9wLiQh+aUmAav9R1e3FrasVwT9DHv/8hQKAXJTyT159MdXbajRx6B0WHV6Be4Ais5Vti
2/9U6/63JfmbliRebufNDfmpI4m4tGqfX35oSv75d/7uSQpcDMv4Hc8jKmdjkTn/3ZNcOOO4cfEq
WkjneYb/ZX2gkanTdsSXgGwX1wTP1l9dSdOhK6mDUnXgcpiuLvx/pytpvVdhU5h48ERezYuw6t67
8kUR1yLUkNTBBW5SiguczVP/sR18q2yPqShcZiycNz32Ald2pAGcTURLahMVYNhdyqVqsuroiGDS
y8yrUkPW7jD66xDbpDXIoJZeY5/xmIa7DCMWHTWbEpZ5zsz/Gvb7EKWMz+HCpmMwg8vuQU7GZ30g
vBOmj/JcLYg9DVnR4HhscSZaB+RDpKokAEbDcBCfjLINlxzMrq2n+7SZMT9vPCtS7q0Xj33sXydJ
t1Gdj3ImYF6qgSPtSxNwT9/O1DcI/cOMsXGFEPRPjfh/35rfvDU6vTsM0f+/Z2jLW5O8/Kh1+fPv
/PXaeOIP/glhE3PMMYVX41+vjef+gRuDESZvAU+/6fJu/M3g57URi2fR5B9bZCj/0rtgM7JpDvCg
Mvd2IAL8W2TFd6p6y3cWtYvFhrP423lVf1S7RKikZq+u+j392qiDOeajC7bopS9daJ/YNLstyVnp
yfHxY1gTb67V7zcWmwGYx0LC9VmAMoaxfLs3FpGmQbExzGO3U70xbNypcDhrEHdPHlmx/w8+isAB
IUhqW7RCP35Ua6YgEAu721lL2g3cJxWYkjAj7BzNf/CruJRLrprOTX9PkWH2mNUT0VC71/itEU3b
ekGdrbrR7Q+//lXvxEqvF3ABIAAL4KH4ibGCjarPcpsL6CchfqrJQG7aO9/HARpyGUJ5rkxtWVwy
0GpW9aeP8P/lOPEMvlVK/fXhJpornmK04+wvb+9eB5cnNGvUHFpFj15Px3hT6jTWf/0T3xUffIpN
5WGwuluIsnCq/PgpMvJMOTRhv2t9y2l5NkvJWj027rBJ6+K37IV3s63Xj8Ogx6iMcQZevuVHv3kk
7WYwTPryRNVOTodUoP1GkN53j/jDQM+LkxOyF/z6B/58GQmZYHoASIZpmnDeTdPCOEsVGpx+B8YC
nDzaVW4WEW6//pTlMr2Rtb3+LoOZIcI9wX5mLpf5ze+y+lAvM7gIO5OWPQBh7UyheT0xC2OIgNH0
15/2T1fx7ae9u2nYAqMmwmJMC1bpwdIQjIYCqw29vaAipSJos+zLrz/yPTvg9RdSBAANwKLHA/lu
KZvijBar4rXTY8e6tior/xCJHsFZNXt7NGLYsps7l5CDVZOTnud0wjvWtrnvo3Zp7vnDBkS0Clrl
1l/H0dQOtJr9wAi75h4d0pIQRqwvrLjfLEzvWSvL9zaF5ZLGaQOe+umJ82TkGFXHa5QoyNlA0FSG
qGi0h42m0Q9LpA6ozCPlyeTqoZcZrc9iJmqs1736QjYKyWJ15F8juo5+84Lb//BomkwlcV2Zhs1/
3r0MqZ9jibHzjplIvGE0YK9p9Y0YTRyYnU0k6RCQHimUAyOO3iMD3zJtz3hLhmxdjDDlB1HS4yOe
t+FgRhOUjFvi80iah81xinqjvdCR0g5gU6s1pIBurWiQILxq/Q89LocP3eCFKx/DxKq1NHfLrAFA
n9l6GyI3jl3WSlIhcuQ5tEeCMbdPsZU9ojamu2tNQAlMaHiEM9I/1rrryidXqkmApE9WbgaQM8Kz
iCfxBJxy2GEz11YhWINsMu86AJAB3cNs3zlxd82/XG5//bT+/IIwpKcw4K1nD3bddw/rKCO7t9Vy
0yWti6yP8UUKRgHjQz+H5Cn15EL9B5+IhB6ejO0u682PC4DfjgNAv6zbtWF40KW1IXrkq19a59bE
EITU/eOvP+/ndZvDLKsNdT9xrT8Rc2TkDyX3ptulU14HxmCpQ1QpClqjnda//qifH1OQMgYHVA6n
yMfeA4+jnohwhfuW/MPBPlVao6NP7t3fXMB//BR0FZQpqIK5hj9ewILTRdEpLqDm0Dejj+lreww5
3s2vf8x7DzfrAb8GsBG8aCy07H4/fk6GuUfHt4MnbdRpwOqSsfNYYEZGB4CIXbqY1XjwBUz4Y+s9
4Z3YVYzQf7csLTrnHzcM3O2c9GxPt2GOvZ633mwYTYM6LxlcSTs/dzcK49oW91K3tVSXeCuTZPuD
Xo40zkX1La+Ue5d1qSLgXQxXxTybR1xy4W/ugPGP3wk/rYfyxP+5SRJZmqaFsSl3ZdSXB9HaG18w
EJ/LrrmEsgaf6/ZQW7DvINTVpuu+TlBuJcJY+15ZYeLKv+X6OFzAKK/n+X/ZO7PltpVs234RKtA3
rwRIkJQoiertF4RkS+jbBBJIfP0ddO2q2GX7luOc5/O2vcMWRBDIXLnWnGPOXyc8iWGfj92Daiao
EyMkGGAa87FR1Y2mj38CO/3+AwSc2wA2AhGwOAz8fRdOjCGolT9zUzN1z/i9202znT5lrGIhrNsi
SoShM5B2R3asoT5iBnvzc+9RDG5woMeWhAu5UUD22+DcggN+9O31YyWz6Wj5zGDw2CjU6oV20c5V
hLf23R+2BOOnY/aPp5MDy78/wU9P50ywup3CQouVVtDZW4PmODoM4gtNj8Z8YJGfODUXhX6gJ03Q
7GU2+99fkB8K/F+eTBCJtBx8+JA/v+6+Yi1RziTiArIpvdnKd94pq+48W3AWDnQCJeXy4plG9g2/
+TjJNCxaM4tKC127TMXO1EUbDUCXNjMyZSJCzKm7jJX0eCGDKLSL1PhQjWGwVHoPnoWOBYRs5GrB
C8FBw96Qjn6N7LHar2375kn9wVVcKLV/BI0xLPjDPf+1dPMhANMbo0IgWOZnLp5j+h4EHhaEvqhe
miT2JDG12qqj5V0d6w914m+WbXRiNFCo6/nBPwdDM+Bxm4FFJ0aE/xlg1mfXlsXGxif5hytdTlw/
fY1c6YJasOkr6j8X9n2SInxJHJ6kIX0sDSt9QcB96WwoThOOKrEs6a7mH8mNzv7wCP1m93V1rCbY
O9iYfiE4kl5CMkcBJG7yFEIk/27xejTcyWflje8ced0/bFA/as9fPqtDr8uAb+X8AlkLpCaWPOeR
5Rje3E8WdY9KrEg1iAcsuX7gkHsEO7REqeoobtDGhlKkUKSoVv772/Pbh4leHTsLHaZfyHk5aCKa
/ry/s9+OkX7xYthYnGFOM1p1suLzv1/uN5umi8eXrxlt3a9dXTcoypQ+GF+yGpY47YwkXNE//OGM
+Nv7a9DJ4Eni9uIP+s91lclR2hp2J2LOyEirIaZFsimC0E187TALRP4pjsxIU321nRMUTHQDKnzR
2tWKK+MP7+uvh3IwFJwKOZTTzf6FYzmryVkzAbbMQrC3hY2AJW1YT2R7Ih+vDS3sRN3EGZ6CTVtO
+h9eK+N3bzDVEDebuh1UzU8r9JhKnKGNPsQK2vZ75130VvOQjreCBJt6gwrJdcN24geQCh7AXpFu
Xzmg1joEyWQyZmXIsH8+ycxKIaqN42SETuqI7//9yfjNr4mVy72oULCCeT8AnX+rLzLsIMpp3D52
l2TYTWDhtzYWjy21fP6HW/KbS2GCBPSp02X2/Z97P3lhiA4QXB/DwKo/bUt5Z/xAzLQ1V/9ffCxq
UIdW96Wl9suqhqCSGArf7mPHzIczEEF31yovuSqGS1jZvxuNd/9cPf6O1/nNIsaVaItQIiJN/LlT
Ya5JWrQTV8otPY0S0jQe6rQnB1gXSCyX2kYzgQTuv1/0t7eS87XN2M8gHu2yvPztW0tTvYG74fQx
dmQZ1s6CXwhNWzTopvjDpZgr/LpDUGno9PTp6lusWP95Mb+02ykF1hVDedChiSpIfGRo2vMa4bW+
+CkGYUYuNXkV9pactR0nx2nZrhjV63PtO7xcuUWP8ZAIVT2bncSePDSlPyG1qlzQ9kjD3looG6eS
UbbYpVkF11MQGp5tGj4SCmIXjwXpfg6YrhnOjbpytCyIcyzS6xYiS1aQ451BDUObCEreXhxzB0t2
cbcWQHbzlcyNvP5wC5ol5HdwgsmuoDlaSTTk5ZA9iao11CWlPHBihMm1vdX0zoBqiss1FlMpxY1T
N5N/snEPJGdX4NXf8WdtxlA9iHIhXywoUbSU0k5Pvtc4XgT4ri12E0qfBwkJPjkOjdbuUclAX1Lp
YA6EreTPtQB3ij0XbMvBS8k+CP2phfmpyktyCqrXZrguJMfJPHQDxHmxEHNQRhif1UI6BxiJq1rD
f0vfoe7MqKudS3GVk/X65uFWZhqRYGdBbdUODwQVa16M4btQd3PiyYcmt4dxq7Q+8O71tianayL5
cjpQxC673kczt0MdBqiEgcy6hqhqg7gZ2KK2VXJp/+maGZSbHhnBU5H1VbhUdQsR1M6ksSkuytra
n870eXcTLJqXpDOr14rokfuxcYG6EMu611RRba0+uJ0qtWt6sVsyr7lPPJqoNsYYUFV5bNpE3JdB
We/SSR4tqNKh2Ym3AqkWQREmsZbFYu0gKXy3ib3ApqMEv8Pgxa6Y9S1mTDe2AxQNVMzrBo0Rg327
W969EQu0DXB/03jybe1dZy+tS27pgkA1r57ROW9dkkfunKAetoaOrpYpEUhHoIdXiMOykzXzfXBa
yJmPJ8/LajmxoxlIXhGOgC9IDgmJ1eFSlBNFhfDCil0Co5m3nkmJO5AWQJTDqi7Sm/K2pLu0zPZw
LOF5RqteoqkbMVQVBPIADcMjN+PXyvlm7xLfvodRsKBfRebLrHwNlTZOUWKibFkpXe+TtOq+Nr7Q
r5vM8yM19m606OPw6Wp9E2ojNCOfhnXsta1zGCrs3Jes7YOl54h4ledvaVIcTbBeudMZJK6q1xoa
wmuTJ3t0vw/5pF4hUjRb5BU06qbktXa1FC1HWfsHOXnNTmo9xA1He2TQd0k6t/LITVt/qxeI2Srm
chu7CNYo49xwnw+avOvTwb8X08K+aKHSVgjIqgWIBmTQD9HDQvStMd/nogY4U/vy0xbI9VU+4wCN
SpmPqwIY1DeIgzZUmgOoizYPxkcS7jIcozw8L7WpWxgAes4RbKYsEkU6zV867v0NSRM57RGiN/zS
OOgohMCPjO0OgZJ/xX+0yBu53YlDdoO4htCezuKLygZP9EhzE3suoxXC0ReEIzuIxMBfNHANXexp
ZvttQabV7a2yMqeoxtoqN6rFeHqtae5YbErPH9BAKeloF72mLmjS9tA2Bu7UZiybKlrRMj5mdPXv
zKogOrZuyvyAMm7Yopfq0WmZKCVIGCGBhYz4Y5YL/d3VE+pJ+rvd1lsRhnZsst9G4acuuo0U/Bbi
Vut6WYT7YEMV/Qxo7pMxRH4Xh28moBE83eWJOVP9OXQw+DeqFsZXuCNDxBHNuQ0ak+iGoIH+j8Ip
HqlYHn1lF18k6lEexgpox2j2x5XUH5ywpIAB7RIvdOEYgxS4XneQongSMivoXzNwRt/6Diso0TL9
q9eb+b5gAEuAPSSQXQ7s4IVZKmm4XjsD8kyceoymVfBy/Ei9L3Vi4UGWOiFpOtYB/kcZebSQt5xK
gwGBPqPffd0BAtuMeSrxqM4X4oyTGz7OxDkh90e3+yCsGQ1iqs2qyzOozcc0KLIHxtnVBpnhBDOJ
26k9wynhI5KSEmRklq38qm4pn6W5TPMpTQh5z32o7K3erad29P1rOwOfjkw/j209dx/kaDqkQyqv
P6JrQ9M5E/VO685EP9g6uNJ4VbcN9tLdOi3lbm4Xu449j6TFiuwpj8DMzLnlJep5qfh2acL3x5LB
+a2HWu19kOlwttfBeBQ59zsvShWvsDpiP+OmanjBrzQezXPnDN27czlhho27dhKtCpn13Nl87yw1
P1aDR2cMdn/sDDLS0PB276PqhldkVybxR17/rb3wZhm5Z9xWGBvJMaUbEU/BKL4HGDRv7bUnrFBi
JbhdGNKjq3NJXf4Ossf2F3ZgBKAVRmfkrteEmpqY+4MiDbXMxzWbNhm53/40JWLT4+197HAz3eZO
mzx1bpbeuMRNfXVTt4xGYpMwcoICMzbSp4h04BNvU2S6RzXoSZTCR7oaaj480ezLk68VrIspZhAL
s03U6Vp6OwU9pvLMd6jAG91nYmH11WEoL8CdMaCJE2HZw/5fj/yFRMKoT9O5GgmhYVy7WXnPaWM1
4kUpmta+J8V3L7WdMEkUknJcCjzlEyHEzFxM1OF1Jp/tdpy8cG75JStHB3o6Dt2bVWTugxasfYUY
a85ulVs3JHOjmXit+nW58xFiP+vdUhJYxddtDol/7RRGct+DIj4YpaZ2GGcucB+tzW5twV3zi0zd
6ammPvUVsba2AMjBPeIn9xB97EOvZ6jCrZmf2K7gfg19eYKAL75jJ7Y1ePy0xLdkjcIP6GjzhclE
BPSGfosgs89FUx26WgveyS7WGkWZ5ib3dsaRa4N/uFeHWkpcztnEk7Rq/cDSC3FARqxZ2W1VFi2h
m8gM7zSroIkrVcV3jYIzkwdElH4TBmL8JE+VM5PU6wIv09x/am1hPNspxBE5C+PDRU434YdeeiJJ
q/WzNYtuCF2zIcZoKJzpA+LJStYumJe91nXcFpedXMT6XOIvBx1qPK54gO6DkQi+3HPlx4IE8Twm
mLGm3uwwzaruy1Ik/dkY/fQ2Ic8zHoPJh1vmW8gkswsxxef9bogXf+mxuujnAZA6a3xb1s6hVS03
z7e8E2fiZNdNCaJBtAQefdPRmhgIW/7XleCWm6Qmo1NWldzbLgr7nm3z2sIIjpaaCL071xbdDryi
eBo6CcRozT7HtOV/ia7r0OB21rsDCWJndyCZOjAIETaJJnSwX8Uo4BE/4lSMynHgPYTZpu6NGmgx
RchMYFeRPOO+sMNKax/QtJwkWevMIlH7I2QGNAwx7qan/6NPmTwWdQe9V5TurT6DXMqA1cQu5vgY
FLSGMF3rbhvlJA9uYraHYMmnlEUXM7bRMGzsDUc/OPl4lEpVUc67edLTebhuUq85phlRTJT6lIAB
4z9aqG+BA82r9BrU0620vktSz3ucOSxpwEdXS/TbxjU6DM/2FQFp9gv1tg7icWnfg/kyZ2qJqqez
fOiT1mNallGQkrqmXnyo2/eETsw7b+n2bosoPyB1MAUf3mIPWt/o/9VfytpbLwg7bpKJrJuFnhNO
iL3SzlBNluIAWcLayETDNFDb3Q7fhXNVQ2mIyGOuz/yHR1M+0R6nXsO1hRT3fhJcZHISD9kj2HAa
02rDodR+C0BMP8OVq/Z57j0vqKRi2qUZdSClHAFiqoUXMGenHMtdCDfjQO6w8Z7pybyTvqYj+TTW
yM8nK0KGjj+kIyGY2MRgm5I8dUVxYb8UthM3ztLueJ1YgFvg6hsMJkEcEKX+KcvJfFk627gJ6uCS
4Vzbj122FOSuBfbOYe3io4nq+cKTOSvJt+RIcLU7j7oQL9YAVBW4wsfKqAmLdzrmN33BY5A3VZpv
NIxNLGsEgW6I3RPh0hUDHDwgfutohpPnUtDbafFWqKU8pnOzH3FxFxvH1q6ndbHAtflvI8w74vL6
HWyigkLNgdSakLlV207yBPWJMsOWu5IlkEB7f8zvfX1Yo5KIqytBsk6IdXGbOZcENWtwbrGst5gX
5sBgaFGtB6VaecIxxLZTA5vmhXObY5cuBaw7Ihg2gOIu8LABTsGm0gpeI2Zo8hQkY/Fam7Ybkx5A
UvCwALnvCWwBSJhryx2ek/5a0czmVOdJ/PHTUJRHzJr6veMh+y68ZZ/IMZS+KE/ozwhwasAmCrut
GI7O46aZxYh0rcATgjuflMrgNWBmyjnnbSD+M6wzB0Q66JcLsjTzN1KOxisctuHQmt67sbofydD2
X6lYq68V2WYsWkJ7Qniu7Sw5pdvRm+qzcqlYKjUYDL3Bk4fpAkOScmjZS7OW+VGz2hnSv6cLb++V
Bmy5xnbbWw1YCamkymtvad+0mPiI9GsZA8CO4BklCqSui+Zs9n59dnP6yJtcsYAW2Tx+r4Spvzei
yL73ib52oanxA3tUADj0i/ZB2aY/vw5UPHxvOYccGFYVu4RG9kLV+ewoUPS/sFvSO1vBtQNpoSF5
aJPcfKQ+5mRa1pl9TMtFfK+Jp/+O9+ESVaGm+rO0G7oKYh2Tr7oojPcyu8CzWhvcnOiX5CseRg7h
dpJrRGKvifiuOZ1Wk4gnA2+7lk7zAHuGhUFky9zuvHSU7c4OgEtEyAx5PDJzosAhMqt9yNwJ5CAU
9+SrYzj8m6BbQLd7RVBe5NU6j1FjqbGMJBCUFogacqmoQaXlcYhZuGiR2424yldn5NyoN5IcxBlZ
fLqjeOUnr5oPR8+eaT9GmR0oLdbUpQQYmZDiXFzq4LrIdIw27lBTtCKA51vSVra6sFqm5KscZJYh
kCQuBhOAU3+a08RVSdAEozyDbPr6z5vpSC2dNhbjyTxcBaGkoWdA8ACS47axFUDjsHrArSG9IG49
XvXmwUE/1sRVXtDuQVmQc8Asl3LfGXSBbsmjWozd6KzOlRrG9oEg3rLjK2TeGs5Jz+crPYd+yNDp
ZYEKX5YyrhXCj1MgR/kpXXqjm8kEb3tyNSN7LJU04waUwksN0OpcegFUp67z9cc564TaL7Thk1t7
4kPvTanzO1KV81vnTcKX5yrMkMz/WqcK+U54d+n9Zwozh81dlNrI318bAoZyTi/5hl+W1GAhxUcO
6bSKg2mAgDgFdV7AJczNJax03p8NjhZ9JZamto8zSGniftuRig6rfodNB8ZDuyVYtipYXHKwFLxT
HLjZhNm/CDHVIdg3/oSsylyBX99m0sLhcykhK9IsseijDXwyCt3cEqOnH5lJD/u5nqxznfrLNVqm
/Hlds/lphsL0z7b6/2lQ/6BBtRCA0ob9d2v4F+n240dDM0J8fPwdKPHXv/qXCpU4bnZI5Nn2D5np
v4hr+j/wGjAmQITJVP2HpvtfClRgbD5qNNrLUOuxYNDp/Zdw2/4H83e0Fsg7HAbxTFv+B9ne9g9y
89+GY0hAEYggdmW06dLs/TkozlODpWWz0xw0AC5GF1MIwhDdJtqM33ysEShtyLMwZ6JmlQprivwI
/7QVe2ni7fuazM7ESUS9vegpbkRvu49LqZdb5v5NlKYu89h5sLZ16i6vNSiUCz/Fsd6CtDEOZqdX
4RQ4M1VaijMq8b5PTTceKDTS2AEPFLk+ZE0jKbNwXVEFKqljUWR42m7YC6hGMrhoVeOzyxSqfbW7
nqAMoh0O05Jitcvd3SQ8DO6j1OHe5OBuOEDtG9jCjyZ4SoYvwgZIg8Cyfc2MqY9Nqa1HIasgi1LT
dd8T3+tgKNRd1UNaTNNTOygMQ0RlXANQ1u/xiZtRU3lnORnBiYDzHhNqmn6tMkGdY5Vyv3oTB+28
T8BZMxUiY7vZzzmSn8FS57ZrMcA2ZgNKGNDVOknjtvGCY9qUWBWX8k7zwW14OHg2hpr9bZUKttqy
dx4G3aIR19t6qINNug6KRRzILgEahn7laJeZdoRK1hHK0q9hphVrJAq9PfUuMZxbMr+xG83z9Gjk
nb01Ke+u06R2YrszCIjtAYToq1jPnTTFycu1ZEOd+IgMZvmmysndihmwROKV4K4YjeMcdKudiyYs
0rpF3dt54b1PyRJ2jfqq17mIjc4q9lS2ZmyZQfIsQZHtiiIBjJe7pTpNyixObETAj/xuIZ5gGQnA
risZ5Tgj98Idhl3vmuCUUKrSwnFMeAwjMAA1BO/+0MyfKZHHu1VvFtSFtMrgJ1n22VYzCAnc+U8Z
vNwnNk31prkovjE1O/pJa0t5RRXNGBB7PRSuAD1yB+hhQ/QKO+taMvzW3eaWTlJ7qmbjKVu0Dlyc
Zfd7uvXlmVAs7eg3lryFGxZc2WR7U2ITa8+YxNBqD5jVlKsdgwIgngHqQoBI0zIf3XzdFY0JVmJd
BmvH1uDDc++xr+EZrPdq8iE445dLN6Y9QaCghwjkmKanGRU9JFBh1Jes9LW+46C8D5ye2JOp6U+D
a75xqvGS6x6fX3ZFCNGLC5bovm4drFO+oR1EPgEuj0F4F8gcZTA3wbeViOR8myZqvV3lIu4Asfg1
2jQrWa/tBgueP05P+HGtu8Gn8TNtq9J7RAlVbINhMrawk4IjeBYTagxnBcAfmdvddxQyRKfkDBb2
HcyZ4cmkEV/ictTLZsQjB17bOzbMEIQWwRHDg81CyX2vZbfuEnhqtDrbNNG/QFSbx1DvtPSmV17t
veDjMnvMsEThnJFATcl3DgiCrPQ12LDCbTLD1uytPrUPPLlOufGDGpUSSESDrrysKL/0MSjePS1R
2t5vJARgp8VhvWnpPVGV/UhrTwj9tU8z7pTnWnVECjBD5UnRodkcjGzU5QaU6nLXjJ79XYGZLGMT
zF63B83ggYrRciYko5HAlWyckkuuVTq4m3qhQcNIrK1D0BOUjfpMi5C1j5J6LBPkF2aAAT6qwblw
yKTX2t56JCmAPlRTn1njj7AKPWpbqW1Sb/HSLe0c9xbF+bJzoOduyQ5GLzI43OPQpc32WM2+eTW4
Gu2bsh16bIN1MMcFuvkTTU0O2jnDLwZnSeQAIYS7OFlejDUyi5mP+HELXOCuMStI+QG0vcFw2usl
c7KrpOu8XTuPdkZV4nu8VCC68dk2k7EZC9c8+t7AXIR4a97VgvUrdfPtkKKI30FN0R/I1wL4ZYrV
CK3Z0fCbNc2Nl03tvS8992Z0e/nFobWrALYFV8ryyfHpByMqFzuNx2FcwYytU6VvamAq30iafmeP
Gm4o39zd7CW0pmSu+xtT7/UHppgJTOfCf3LsVJxtW0vYHJrqUKWeuKVhq+0uFdhR4rP7tuIZucNn
HwkPFjFLZ7LnOKS/lp6RRwKEyRdJgFFLuW12+8LplysaBusJJQA9wn6hvzir4mtmWsbR6Vtc81Ds
oOAz7Rv1tQhH9O2Q6SXufWYP6x0ajWKbgf8RVdM9ISobUT7LKb6kEsUO9qWedMx5pgKHOTxXtLOI
kIC7Nyymf5VbLPEB1oSoQ0e6mbn+w4L+fGNeZqgpmuG7TqVzKAkn2DJ7SWOI0P6lkyOrjTHbGUvj
ar8ClRvYC52ge5O+OZ4MbzU+5GS2hHwRvABxytiDPbSgVnA9M2jTqMNsvuNE3G2HZqxuSn3un3GG
96eJtsCdw8H4GnFqE65ZU1yX2ZLHoBiR/rWcXB2ogxcQw9fet/NrGivZS9JO+k2SGAiPC+FSCdTw
dya/1UPiqgGrLDRiw5w3/87h9BwjQB/emLeGPQzmiPHdeB4EPWwaDb57qAMRnEs3W6+MomzfZ5H2
m26p9W2pWqLe9fQlGRo3NJpap3jwEGJo6oLMLgd/oxva69IkOnTmtj8tTaCuLE3kdGOGtI8WDbf+
heFcbBZjfNJM0BDRJFJByB0Q60CbcVDLxQ3CHjlOCBCVkBpQ5SOdTJ+AmA3cQyPlp5FFsVo+L/Ug
x4gDrPNmLowNFjsDuk0zg5VgGHAD8Va5KvMe4Fz5KVteWudp9ihc1eXnH0Xr/9X3f6jvIaVexLX/
//r+9JY3/1Hb//Uv/qrtXXyUFjHEqKwQRGK1RPz0V33vYSPzMTwhM2F38P9mMLO9fxCxclH4QTn2
OdqjvfirvLctzJyex+OBhwmVXOD9T8r7nwQjLLxUw2DpIEbjMDN+FmsqSmULoM+6b5Mt6ZiOOkHn
+Nvd+I0Q5tdL+Cgj0SlzIuGg8sNg8TdNSjJPlZaawbqXibUpVx9ZE406l1v673v+v7jK5bf421Ug
tOLJyLiK13wV2td2+Rj/JPT80wf5SVzj5S2ce8klpvXs6WeVk7T5/t8/BcXk5af8x3Hroi23sRzQ
z7Hpmv2klROEWhapJGGZvXH41nquPm9zfTa33sylnaSs7i2dwZpeTcnREvq0W4S1bKHBkry1yDnO
u2F4NrPVIuhqFWwEo3c2Hcg3USYXgDeDm+/aZNAjAgjkzpAJ/VjdnLKNV0/Fo0J8vfEKjwaLy2DR
b7uvtd9Fhe+LLWoYuZ+oXmGoZrSMAsONSlJvTuDS1Kbsp3ZDOdleucNUsIxW3pXur+4XKl06HJmj
spNOz/uqSisVrmSFbDPNkVdjigJxUy4jQ+2pnK7pmaxP+cgfMyQ6dDD7b65Ze8ckr7EnaL1k413r
2DbFNTFZ49PSKPs8J5MRa5NXbVuWwoNdg3etJsPewYQi12DpjJOvl/WWOeNCabzIe8sb+SGlP157
a6G2uJAoJVBeGidsc7wPbIZh2k7ZOSnk/C0Ya3WWqwUsxU3g8iLy5Xr5+jE3bvKadXRwI8hO65M7
M3yNZvbHYSA+Eu6SPX5qvX05thTV+Aybj8bl4o72WUq2AO9ygx0b1ohyaODUI4krrnLcqO6S8RrM
toUa5ILhSSCBQsGG9xEGzuiFU1VoN0Vqf4xCszlijdP3Yl2e7NX8CCCLf1lMWln2pOWvYwkhWifV
ptwMWW/EzWx/rGNLAE2G5GJf9PoCB63jS3CSdXwmyAhmC0fasFi88lgHjnjO6SDSHOy9K6Q72amr
CRWxoOrEk5gvCF0QMynnnChAFwDGxtfjllQeKNwuwTcBNJatv5CjGq4VaewOfdz9xUQRFubqhn1f
4DCt/ZJiqZAPZbtODyM42HCFK8KDgZn7XKWMOkB1lEeftD5MWO20leS/3/pooDkWwUeK6gGhE3Ji
72ZkaFwcCtOtSZQExoEEImdAQmikcY/TLj2rlAKzaCYEWvRNnVuTVFaq7FQnYGlI3hO0mxiWTC25
MeegTcISguG0sQ0OO0WS2LeIPMxIYUEM4e3ZR0bg/XWveQYDtJVJZdC5d4lmIRG7xCN4Rp1ez7YD
wKRfz6OXkQ6EfUzfTxmH1kM/sG0zDoXnW4KTex8XAmSRdLW0TLVJi1uV+Z92URLqk2I/F5qYrwZs
Pe9ZoHO4mnrb2FzcyFtNjAEykeByPxLqiIhm7PeKbIoipOSoULp2+t4QhkJ+FZjXVZraj/pSrtuE
uZnkYo4RUzJRlANSevXNRH5tEic763Wv7yW+XxdZFMliOYwya1Pbhv/NoKd+7OEi3UzWMr8N8CJP
zYTbbYHH80gokio3ArDJdmHGdzWbqbqzZLnu0m7w78gQbd4UlJTzoOiyL0U23iyid6+NxVMn0QfO
VdlZTWz0jgxB4boPHVV+hKYHn9is+TLEDcEFehr9nDFwAp4HOv/NhukYZ9cG6UeU49zcyWTWP5F7
EcWbUR8/9IMsvjurK7AKsAhBZRRYCQwnoi5zdp1Cpzy2nOwi0eUiYlextxNSkKtqdlca+W2fMSCu
4QsDAONnOknmRkXgAX3zmvXIb5s+msSEHFWp+itOriqsnASPXOESvwXksAgO9O+Ai0E8jzw7DQ4O
MNXd6C4t1OBUiwf6tFR2Lof00LfI4aJKGLe6GoaDNpCXs8l6X+0SYNQUwkyP0ZRWQSgTZA/gzleI
Qg3DkKYa+nfgyCPLmCzPFURFqFpwSEdWga+gXlBISs/bjybJcJ7erDsz9Z0rsyGYbUbtTm4Nuog3
UbbG++g1Ao8lNuZPEUzVsxLLfBsQAHv88dfNxnUeGK3AxFrS2tysjjffzkSj3QpfjVvpl63ieME3
z/foUyCntNN/XDIHcmUzxaIdTZcHR7tVjfp7WY7iBeSsiFDD81dtWpDbHO7+qenSIjRFat5fwrW/
FHbWPsu8ri8D+CZ2nJWwo9XQN4V2IYL3ehDqy1Qe3XZ68wNrPPgMRUpmG3Cl/KTU98VcAn9Qg7xh
3M/tazKI3gNxTie3XOTJ0KARbZTRLvtWC0gs9DvDOgymBZFa92V9RNq+lEyDXYR2KB7WPTpffmF9
cdc93Cr3wSAq+XUUcj3ntuCr62rMA07nN7FHmhIoo27isj+0JMtKb8kYJgnArNceu9ydZ4akfPU+
Y93r1rOGw0RM+/fAQHlSVoX7UA+uc5XA9I9ppIrI7FNgdhB4fRppznCwOq18npkix03Tuw9IWrSt
Yw9Eao1jE6fwecPhstmJwBAbjYPT3exC/KGhFYRtICyic93lzhqU/WbUaPObjgfcTezyiKmJTDDd
BqVu681HwR5+MIUuHtEArM88SOmdmyGjGYspeCDzSYaIFRDmDl0T+4Plvo4UpCPjUBO6L2FNKkR0
H9AjYTyKGX8lj0CXH7JJtKfa63AljGNhRL7m/vU9lXA+PpXOL7vY1rzTaUzeoM7UHlNo23cWcK8j
aM9pqzlL/qWZhH8OWrnsNH1yXqxJ2S9yuAy/nU7dsFO5u6zPtEgBAKRFaWd7L0na05pqw30Ljm9r
DsTfaKW13Py466NDC6YVvn9rlvpOb/CuBYMoruAcGrTosjZsphXKKA/ibnFa2FR91mybAF5hrUZr
2/U1qMBBt3mJvUAdJxLWbhP/0jlCVwOJ4PIsr76xngPNpuPFCeVq9fPlxhMN6X6Vh9OZkIV+4zhN
eav3RX1gWuW+BmBK4jHROd/7OZshnV++/rVfT6Vo15PRiyBM58CC26bKjCXQMO4zLX8fSrXcsCgo
Gu5Jc+sN6wqUy0GkoUSnnlFOOA49UYIsViDpO88og+uKsAk6zV5xa9FL3qGvKo/2VDtXxYwsyfBm
bZsM3XLbe4Kt28saUiX6VsPYS1xmGZk02skzMrJgy94kD8GQrmh/EbSc8LA1Rth4TftIy7jZTSw4
1ECNJ66IPxxvoVLIEIyCBFtX4duYye7uE3feWaYBZgX2ofYodJ3UCCSSVMxIDDeVZNnQU8GrCV+q
2Kwip0XiS1htfSebeDQalL0Tj1PNcPdoBbnxrqe2Otl1LyJ7nvV3FfjmRHBGa200W6D8EryYWDbM
47r8P/bOYzlyJduy/9JzlEGLQU9CIoJkkAxqTmApmNDaAQfw9W+BJTozGEZaVk+fldU1u1WZBAE4
XJyz99pyum3QGOxtaY5rV4wNaFgwdGC5+oq+gGf3w4KGMDNd0RrTrWoPfPOKkZVAofmXe4R7oaA6
GvWXnVDIaOCP3iQGSAA8ZHXgt1pibmPVmHaJG9hbSb98viPUfYNOEcGKCJeL9XbZxfmdPqQURt2k
WE9VpGyFVULRNqxRf0Xx58LlLOo7iPvgvLCyXoRBf9NVo0OnG0yhTJQ3tybBkl7ts9Fl2iKjBnXJ
baSrTCXNe2GFbbNx3Uauy4xyfRDEFDrZl1zAImvoJdeqs2aHGO2rCX6pQGmmV3FJMdPOfziF8qOd
rOtBb42NPuDsY99W79zI0RfOFN/LkoSvxlVCn9kKqCb1LG1uU9N5gI+cus9KgVOI3CwSW4k2D1au
nCN+jAajlCuUXWHRq8icivstKgsdIVljJjN2cTVUcLgKAAFpHxZ0njKIByVKhy2Qteg1RIbup4OW
YT3v4NNBmi3vKnAX04J4BuIKcj26iBK7uimKtHpWwrQgOXLMX1ql6n4gv7TvHFSRw4ruRLrr+nGC
HeqlWzOLOl+JUgtFflibN6bbTDcJyNq7Ctjfus87B0T00JCfONn2GhktoUMNyFCU18mmr1OO5GoW
78NEG7uFJurvXjPlFxppLv4EV8RDhVWGhqw2LqLQFJHId7b32stgF+6VRswlYZW6Vd725DYr5ON0
8iaYRhL2RiwSmDPbjUDuvdJz2hugl5SImLGGt7gaAus7rfCauiBJNNemJpLbwkL5TLeiebFRL5EB
o0X6YSRf8SXNiJMFWVc8BcgMAmSfnfGoziukreXU0iM38oei6C6i2DWvorwVT4UwLJ9AConSMewv
8DOlPwSKM4SBGi+3JKHzpneq/GfekvkDrNr8hsmg1PlEKmevpTq2eBEBv1Pmbs3YFyZn3dbs8CwI
88EonHydBhbClbjvo0OpjG+km7nPOrrENUxPdxmG2TTD3ROcZvm4YI83sRRGoGUXnTKgJh4bZrIk
S/wEV8qiwiDJ62W13Y+cKlZlZEwLqbmrsK1onMX5vZLFlAUFIlVm+QWFGxQb3sihWKuegNsYq9TO
ABcCmqi7lcXOeFt6NqbCNC8vxZTpu6YJ2EpBuxqD0FiaaeV2IA5bqdDvwSqpvI0Cit9CEr2idbb7
KJDsk2HVuUCv3qVoMXonQxGXLIrZDVvF5NugGeVDUqf1c9VVg7OtiBfXFjFKinSLqhh4YJqypTEV
UdyasO2KZQvw8jWlTQRetJHJvte7t1C6EnEaWbgDLu0Lg53tj6JSaTgQpoXrNj2QwZdR1jSUbCtS
p15KXtVl2ldkgHh1JQ6odsJDwmZokZhZ0q5d16IXFdrBsm0IluH7/0mACzk8rGneAuIfPMNAQJkt
2+4mVSkymGEWPQ5Na7BwOdqawmxw21ZG+d1QqlczaeUrOp27qdNbc+PYUK+VQmrbpJ6Y2SvFWPKp
ZXckltMniqK6OVoqqqdlYLcQ4zt1M/U9ikpGvK+4pbmNItu51FMbZifkR2cX5R5n00QPv1sjIEeY
2eUCzUe4ccPBueeow3oSevnrDKhcwfp4MgcYvxiF9C0/RV/VQy3uzNj86WRucw0IYfweTgFM+FS6
eESMMbnyvElu4bTzxDA0beswAV+qeDwUI3CenD4y7+MeSnzSxXywjUfQMAGGJDvb3sZSrC1NAzIz
PeeRCTm9HqrJ3tdobxZCCntdZUXwrfQIvswa6fpKbSQHXH0TSkOg4gsdMqU/tFaNCVMWx2JqQ3a4
ym2e52JHTDeaRVS8N06Njc2mcXMAK2780kIoxWUiqe93MU5zCNnX6AijS+z91h1iFg+o+DgRYPaS
FAq5nRguAQ8ka1SpkLXJvrwNgo4yv4QLUBImSO/eyO6IfVWRKM1dC69Xt03W3YcgNxaDo9p7Y9aS
C9m8Rl7h+EkYsWKxEdwzkSo+mMz+kq2cs5cmYWbU9FP2v2XxqxNJHxNKXH036qR6QVfb0RAFIpl+
L1Wc8BcaCtwLYlKTFdUSvD9kmd53ujKMSziPlneIswY+alnUsFqNBm74pi6GiaNZ1HiHYmyy+yJH
tglIzsMl1tL7oIR1T+vqjUZ1t1AntipNbTR7dZI/HItTg4USFA68xSGpBvczwc7c5bGnzVFmvqLr
yZ7v33p2cvsRscCI7IwMNXaFGTpp90erxx1WgnEOjmB9HaX0u8H+5nAEQXNwaTXqLXsom8oZZSKl
c7UfppfJC7PEjW7XWGHosDbXIT2b3lOCXxGe3RsLz9ZtO3i/6sFUHkM+vQddd5poZbUYT2iODsGq
RaWyUICxb8lH7tZ6TOaFjZ914RZUAD4vhH6sguq4My2cjLM1mc7Hn+VceyBetCdr25cm9TuMcsiy
qpIxiXOTLO7t51f7UNlF46I6ngZNBw3vB8aPM1gD+ySn8ccytNCb8484p1+ThVW2+vtLQVyctTk6
6upTppra2rChB40bi9zwHnkySwZu5yskKOkXDs0TB6qJmQ+HCEZyGDbg607NoEgB1RFmaeMXTdFd
ppmYAcMJW04G76IOh3xLsNL4hbv63KMk6hYABa61WTn054uz4kDTFWxt/pjyFNHvsko3lOw4k5pf
3N+Jkfv9/vigaWE4+HnNU99wyuQ/VZXS+PkYwWPPArCySu0mu1SnoplR/qC5qVFBzKboCpXf8MX1
50r8n5V6MD0GNn2PNB96NCeV+jE0SQdOw9Z3c4UCfMEN2rV8+Hy8nGAY3m/SgGU5o/HoFZ2abGHM
iFF4euMLQemWtHF2EaFjBIdMR0c4jcTVAcfCWNWwSf780ufGD8om+G4ezZsPiBnPMgct1I1mLpKM
68qwUEIlcyHYUVTkTkbIDmyMRLD+/LLnPn0D9AGcAG4XlumfI8hoPbt0Yi7rANTYk8LzQIDb5Ic2
o9ZzGL+fX+7cgIVWA9YW9Z2rneI7sCvR0nVHLtcK677W6y2H/2FdE/f4xSxzCmf557v0SLjkBM5E
o56g5Dwkav98l/bUyR/t+9gcg+7nIBibSptpV5SU1a3tTuq3KJiLSQSt/BeDFk2gja3GAO/44aNx
DDHJUG18Az/SLY4pqvk47b64yrmHyiuc21czXuKUsWgOgdmZOVPP+yzQJ3OehDcOwPHRvH/+/s59
haYKcshEFkiLcf5Vfmv8pUNXYBOSTKikS610iQXMLV///65xMqnFliCJu2eMaIgfJjJHTMTrn1/i
7OBg/Gm8HIaH82FweImLVlA0Pj4vBkKn6nu9LGiU9TJ+jhRmmBop0hxQ168qI1R3pLV/NaN9/PSM
mXKNVsZUPUoXJzOaaVWdoZQeEanabIssBcJrmHqXeBsQAlVesfr8pj++O67nwCxmHwUq6PTbqzlW
uWNl1H5ewPc27fHWiTTni63Ex7GIQtdFSU9pF0LlO5zktwHihZogniGrfaIFOzwwpMWUVU+sBL2M
z2/nzJVmnS4eDbhcwEVOhgl5Hvi2R7f0mdpw2yvtBSyL+6pJHj+/zpnXpDkIfzXeFTPXewDcb3dE
qExqeI1T+lOsrpvsm+JmWI+KJSLS/edX0j+usYAdfrvUvDz9dilqVHaQI8VDnelRuC/McJFLR4jF
4PUEsvTF9DBa7Mcs+h/Nqjap7qtNHbxAxlXWYtLFOqH7u9Vbymg56QI5jaMp3VtuUu2FMRBPJ6Pp
KsDCfCT5yCCnk24R5ypBvrxIxN7ps+Egy44K9tjZ2ZIyG3pSBJJf3Ogc2XeymM8GClCPfAAzquZk
bsacosD+6XimbSSevLxQD8RHHMHZx9/yqXP2GFjon2bBSzMQYu6kIzWTgZA5m0BYi86sVlcp4rgH
3A7FEi7hErvusZLuFdCkiaQWnPttKqk3xmQkB01iIFKVJWGQPZG3SqJ0ywEopk9vW66EcPUl10nQ
SirOZWqiZUhIxFkOzNcr3MnLyQkxlHGHHk9LVzg34sD47gSy+GLROjPWIEBpKDhYs9jyz5uE3wYA
rMia3cfIc0mI/O3B6u5464Mfkn1AYlpgyC/Idh83PGAi4aXAuEL2QtD4nxeEa9f35AmRYucKc0e9
NV9DARBYUiuxDRA5XUaUXu/NGGDD54P9zOfLbk61CfRwnY9njiYceyXq7MKnzDU+92R/IkCrtHsg
Mcnb55c6c5MIPJiNqHXw39OtI31RzptjV6AcbOiK9BpNPDpB7QqrWbPDNAPDr6XBPi6kTtH+84uf
uU/2VYZNL5yTATqTP58wwT0dZaei8FvQAlsoB/fhECL1SMbmr7cBuAb4nmDacrz6kJpADagF/JRk
vu66OKEBA+juQEpzZhh/PUzZbiCYQhjF6UM9pfRWc25Y2Hcw37ROriabwquRXEtp2RsKTz//9gGa
YL819jcw35BznAxR9HmYbrOa27JyAw/xCPlRjvR02sxIv+LsfPwAuRhbG7YGIEn10+WrRhuCYSzn
zhTzPjKUp3pyfyaDcR9K+4s9yPwt/3mg4VIcS21ujTn/FE1FBnk8FgpCDKOCvkKt1MP8tHCyfsLp
1O8pU361Gz1/RdgIyNjmj+50eTErxy3nK9Zav0+Rl5Yj+uc5343YkAzVuv4Fiuzj2DfnJA/jfdfB
Feen/dt0ZrWcOwTOBF/puj0xSr5ppgS6q19c5uPGZr4MR0OI2Ow+TuFPMAfgyfGj/V7RlXvFAXVR
4YJefz4OP84iXAUTEBDQGa56GvQ6KDpA30RL/cagokWlZ5kl3S+nsG+TWtBQd6elgXn084uegpw5
xXBVJg7Hsoiosk8/NZS3wuPYl2IsGKmCY4VhravS6Wrw6NJP8GUW7ehl+gLuOL4cZ/LwM7aqsxVD
He4y+sgbouXvIdzUR69LgXRUFZuDeVuAvcG6QBZnP3i6tP1QtNYXv/3ZFwPYjBGnuZ55+mKQJEQZ
nY3MpzpdILD2kr0yUOf8/BmdHWXoKikpEVj/YcuZmzXLSFhmPvJ/OCFl76sp4AVHfLVrOfPBAvli
b8s8ZHOGPRnNToa+uy6YiIYKGTbe6d1gq8Pm87s5NwNhhaQMB7eOYsf8TH/7ZibshEPYKSniIVDR
vcMyNVgdiOk2+94n5t/vojkzIhNlySAJAIvbn5fDpG33CK5Szo7Bz/nZNbF9mzfB0+d3de7jgSMP
ZJInOAP5/rzM0JKfO5V8PFmMajwdNVpsgYVXA1V7E1ruD4kBYUe1sP1iqTo356GIBfHI4vvx0EPp
VI0M+Dp+GOrXolC+TUm4qZLHKpnumK6/uNq5Ac+xB8IjxlwY/SdPM+MeHRs9v1+F5Dbm2BBvpQ6B
9vOH+Y4DPF06eIjwkE1sgsiX/nyaXgfpxqLkjvFJqo8xBNyNguIYT5vRw/ppHfmQaG4JjUn01/VY
pAcrc4xt5KLpnMYKomhIlrtGkMAaQwp6jA561xe7Ee3sk3c4YfNlGgRanLzyhjg8S+Y5q81g0iYQ
9TdNzGF+htvuYsd96gaqE/j5aGIURvyYyr6F1VW+Rig6JrsS+0pC4aCKhI9oVIiliriPzx/kmW+N
njZbUMcxKC6eLogZhKIkHthuy2L6WU2a2KgVYsogQ78yfvv8Wmceh/auMcYQR4H4dBujayPJFa5g
ax9oP1UKDvis1G+g+Arf8QrMN5YtvthhnPnoNNyqNjsaVqwPZf2+ycYBjw+3l1jPURwqSx3VDn2M
ZsJkOdYPdSPrFWqM3v/7e9U0qphUpNggns6UpuIhN3Tb0uesdqhtoujI2rulGh8SIhE+ji5mus+v
eO5NsmWjDIA90mMq+/OL4FuRojUhhyiELSxHrUeVUBjiVtYe3Cmbg/Tn1zuz5nCD7KEMFjY2iydf
YB40ZhST3esPfUjnwmzkSq3LemWgiP1vLuXBvXJJiqDOf7IgVI4ZC6I9oBZ6ZXFjASJaNI6wL+JO
076Yvs6NUdBPDE8MZ3M9+M+n2COJKyYqA36bd/ddVL5ZFgFvLe8vDutbnPDirw9HTGCYLnSLbA2K
KyevTRvotWE6K/yJTOKF6shjQ75oRR3giwudmZgpqasWTnC2ITo5QX+sqtUkUYAFHAEJ5H4Kh2Hr
TvX9F0PC4GeczMp/XONkTJCzlyYmEeM+gn5tYcYxyeJWax31zsZunEny1UOVbD7ZVKvWTsKHUjYO
YiF6tZ1LaLDUOtSQBZyU0hxQwAGiX0t3BEdjiGaPrzi61b1wWBZjH7wElVpsMdvRlk7dEcpQGOwi
y6VJoQ7DjaU1aHUT2vfHycsRWxVam27KvG22KvkxHgeoIbxOyCuGbhZjikrj5joanGirNS0MTguJ
Zm9E+VVPpK3vpt59XKbtkiecbnJqRc0iQijoI07MF6WcqjVcKguxcCoviVCNlzIm4fbzx3tubLKK
4+ukc0if4mRs2nVbCyAphY9M+Fs9iG9uVIEJg6GSl7M9vvwvPjv23Gz2KN/TEDq5nhWNRW2QbO2L
OpprTgeppzspii82rx9Lfia1Uhpb7E0o050mUZhDGhnN4BU+IvLbqoqBM0v3R50+0IS+QpCy7Cz9
NSR36vOnaZy/LlVaniiH69MNmVfldV7BGfDzcpyeo4FsErcxlVuMLmq2RjPDGacGLLsWaV+vsgKR
oNIVTOQ1AcYWKn8rkcrOUDtlowkTtA/CUAZctaXfSQfbS75bGLUXckAKmDpTuCKc1Kb24kyrUAvu
9NRsl+5kkUInEoJexFSFa4iIhNhn1RueD+0mcbNpWw2y3uDo4n/PJ2sZtSJZO4qjP+KK/+pVnJvT
beK/HPyKTBTa/Mh+23nHagteNu0LXxXfRtq9i1Gq21QjueXzZ39uLvrtOqcbo77q86zE6+27VqYu
C+oNIISi9ecXObcg2ni06SvQb4Nc8efNqKDTytpsCp+mE85GoHMcxp/KFEYvtMgvTGdnLzZngbDx
xd12uu21YcQURca3okR2zkl02vawuFCAoqUW8ReP79xEYFP2Z7XAsvdh85uNo2EnqKj8JmludWzB
ECnGpzJr3kSMZiGyv3iSpwzx+QjO6YEj/1wmpcN/8iintsp4vuzTkiEjmmbStb07NXKnU4tf4aCO
fEgXAqCWZxxjsDP+GGJqCMu4uHJDN914cI0eHCxB2DMCADtfPI9zw5b3bFBGon7rnU6McghaJY3Y
5si6ejO88DHS+7vMQEfy+Yg6ex3H5aTI8Xe2zP05olrCY6MKPZ7PSbSimiO+FaMiV2XXfLGQntu2
UpxCtEESHqE5J98hkDYcHGgvfYFnJGqRuMritimtfeJq11lZ3+eZ90Wh4twA/u2SpxvWZDIzNHpq
7isSMH9Xvnlmhrjd3jflV9Guxrnxy4l0DrYhoIta0p/PUUjXJB3ZyZlm9PFVRNUvCXhu2WcEk1O+
hb9ZKfESNkGxBoWH10DRZmVmg+jP69snk6LKU1C7rd/pOBZwteEzikSDrd4rV26RZSCgWnczONJ9
dC1mzYVdkAUCoJqcl3QubZb6L1Xq2FlKdzVU6ivk9ANSnGot2PLFpJQRO2HE6y4f9bsK0TWLvf6X
oWjvH5U3O3UpcTBuTxuwgFRbcEkVO79q2k2ggBdCNZ+syrqgZvok4lF+MXzPveLZmYVQxqHYevrY
q0QLx5rNkB/XnoIurmuqzcTpdwXYH6xcO2vSP/9g3rUTJxtCFDM6N8jnwjHz5E0D/czokma5b+eT
tySQHNJvBCke3hjpXGWWPVZ67q4SE+Xku13AjUT2mHeTWAskfVuYPyjXP/+lzow+NhuzBdrDGPjh
yOvZo5sL3cj81IPxEzUj4ImIbeOYlO1T0miTjy7y++fX1D62+0xUCVR95lmbnJGTqSMcrAmiMV90
OwVIWY3Q3CBINTaw0dut59jGgpGCctLK1l7YRMuRngzOC1Nbff6LvAf7nb4RfOHIMaA/0Wg7+UVw
8od2DgsT33IC+/Pd1xAb2XSLtrqArih0ZycS1MhYrNpFmFFEBh1DH5Wot/5GGlLdjNDenyMSGpYA
rNVntsXEV0iGFI6pdIOoz9oiyX8bEWMzZZPjYCfRGq2wuWqUQviRXTtraCbOyg0v9DI17lKjGK75
bDGhjXwIT5HbeftMdV7Ubky/OJifmcNZMl086M7coT8tHFFuS7IW+KjvZOlwFyFLg8s2xE8AcqLN
58/63KUQXqM1wI3OsnGyatJ0qut8Xpa8EmY6KKjZzTdUkBfJFXj6/Frv7+30vc7VXyJsqDJ+yDsu
FDvrZB5zOOitwF0IGsaYvSZT2wZV2a8KJ9MutFINbgSphgddV8JbXcAWNI2s2lbkg+zef6H/xTd8
hW/QKWL99u4+4Nm2b2UTxpTO3goRi3H38//+H+2ff+ffcDb1H3Q8AKDBSHwntLE7+BfAwbX+ATCI
Vpkzj9x5//f/IoIZff8GsoFxmzUhNEBBmtCr+Rtgg0vu9p+HerhuNv+B+qhRNyCt6M/V2kMV5Aal
m/mGG75I0CkLgUdzzZHxmVF31/SKX4BffXZz7RltsLbBZsIs0O/FjPAHuqzvDJmPu3YG/BeatHZ0
YbJtM6rVypmDAFDhN7/GgJDaMiImoJwDA5Q5OoDEL/WovMcJzMECRkbsQeXG8SZQimHdhc4RpbV7
I6d4ha8+vyhkLPlp+JkNWSN/QNm8GucwA5WgkLrPr8eWVbyaAw8Skg+aOQLBagNrVTrSWQI06+5n
I80ynEMTojk+wSRHQc6BCq0In2wTzBU7DgIL5tgFMQcwJHMUgzqHMmh2Cwt/DmqAtLw2SW7oSHDA
p4zLpybUISfdoYT7teiJJlk1JtEP8RwCkUr2w8YcDFFlNQTXlrCIxiQ2Qs4BEtIEYs9M8lPQgt2Y
c8wE/WXkrU73Te+JoCBFYZ/MoRR5TI5EMgdVTKII17zVhYyc4oihbCNItQCCfx3MMRedUg9+ZRCZ
MDildvQq4jBETzAGsYkbWEy3VIHzY4qO4BJTboMF3XUghQVddtUgBJNr3YVeVxd1+twB9L5Njcjc
Ga0iltixsYZUYd/c1YbCEZeD/4WZjiBHldxq6K/ZNVDIKj408K2eAw+apYcm+3HIDTxOtNRxwpSE
EkS9l69bmZq7mji3W0dKMJT0uoko0PFOCcOtXhyobrPmvM8ei5SVy8pwGak46w9m8Q5k1TLyS0K1
ai6dWndXVTyb9mNPhwcVdXW9aPWq2DdtADBuKtViXytTVy9qt3DqRZyl8Le0Mo8PKsELFyNV0I0u
neTVgchHikWAr4tIn+Ax0SGsukaQr4c8Lu803MsHA2f1hTkDOqmzJa9VFWC8hVYFUTROJ22TJ6jr
BDkQN6PVx4dOpGGBEskc1m3c8v5kjlxSSJg7VtyPq6Z2zW+1amCDJoXge9M5xk4xjC5Zhi36PfJq
+TOwNm54gMqS3JB4WngkyN2zoSeDVfAjHb0bu5WK7/VGR07waHUBK6vV9tx8DVjg6GQqv2NeqkCu
IeddtKVlp3RzeQ+Vm/EDNfKd6zWp98V6xMK0AolXvUR8f9vYprNGQi1A8mCIW3vhzHu4Siviw1jD
cY/rqd9qnVG9WQO476ArK0wp/GYJ4cnuBlAhPz5DCnQbThGYLKux7KURRO6tOTAGsQvlv7KZo1tY
RXffJiZOV3uuj4L+GFfvHHEitsSDM+T8wSxI9J3VM4ms8OKP2K9a0lylmby+j7TEElwN+wwOHG2k
+xsPEkmT6ZXXsqKzvICdSwQF/PtHaLr6kyzmmBmRm85tY4XmrkyD4aiB3F01DdBoPewckyWXl9p1
ZrFX8jmyTg/wyGUyFz+hL8SHQi3ta85D40WNWP0YwP06ylrJ1xEjMgUcaQWvaJ7qhcTnSyUyGPhB
vcsVHRpXmyyMlDtsmf12soES1yGw7DIT3vr9beUyhysXji0CnjSgPE21hlMU/JTL0TGtS3bVZrBg
D45LyQ758Z0kd8zJBkb9xD9i132h7DUu9RqhYptMh7aIDn093nRKe9/XoJR7q3wtYmBiuT0uPfdK
Fx3Y9fAm6mfoiYj8PGl+WdK78IwSFSebikJ3jlBigDtHW2FPj2HT2oD2BvcSPgcTXWCt0xaLYDWW
S1cvyqNgHesWulHCGYs1+4if5wETqnawe+bwVHOxAjmVsdRQNizjfDzEg7eSQ7JCUrTHfxfcaEIZ
rrVBTzZuGWIVpqkXbe0yTcDt9eZ6rFKY9xWYm77PqqUA4xmtlEb7WVBO7mv9DbFreVFHcXWRTF27
LvRc2xm69aPRhF+41i36hAw7Z2eADQ6DFwhDz63i/hg7ksCnos03GXAGTo0FOc25Ma7gmqPf0xsd
loRtl3cdrgnsjcn0EzIONF3ikeZYuE0lBvzqXbX3nHRLTGe0BCrAC45tbTPUXbBI5JheQul6sEfQ
kDCFd+kw5juVJixNuzrFi9pV66FIg4XqddDCp2qjlOVLrXYg3opSvRxT1dk3DHzCZWx1ZVE7V7HX
L5Uc2Ys2/jLG6ljFrvMW60QUmLJWXx0yFVZamt4L8ma/jaNirPnWKd8btbtUu4J8GHJI9qYX4Cfp
p4n5gL4rIj0oQAsL/dlyAv7vBXd13v6MRjT7auGOB7KuMHAZYR+LZSF0dcTlDb8RkGRxWWr2gUZL
esuwataqHWg3xjSaa6l3RQmKGLNFih12ZcKd46yqV2+tpafrKdd3I2rHhVFV37qsxP7mtt4q0fpn
NeCIopas9h6oZ3J6ux+qqb6ALdxSigoeMHITfW6kPe46kPqlSfBXY1oPwVioS5vPEPB1ET6jU2uX
RWvQJlTdS+nCK2eT4P40sVYdHRDYD3A35j0E5CsCn+yRTm8gCYyA2jngcUseEqeDad6a+VsbOMkb
cQbZ3mtymCFhG5CepUCMt025SVv+bkiHmlOQenCCpLylTUUKZFSzswKYspCATA4VVsfXAq/Nq6T1
eADtUy7pM48LSEvTKuMrYiYXMeEeUYHLLiAOiQbykISX/SBSbd/qAS6VqJ3sg+7VHbbCGvAc0RKP
IEGUa1tr3GVqkGfBSwR4FzQh1YI06S4dqzEZMQUmvrK2Kqyck2QZRCR6KPFq7c25Wh5QM18H2KUf
PaJ0j+D/Y3z8bV0UC+EVykEA/dixU0i3mlrW63jIgmUmrXI+ig+/ilzXrwHYiAfZxNKvIqd+smtB
ahZz4YoCDxY8R6JbNKt4SRzmLs3ZhRHyoezVkgkME2QNW8xql1UjcNuCAiKWSHP5tTJS6szsu9NC
GmmbQF6ntqJeNUHRbDKjbLa1TvpmJ1NsblVzNRCaRr7wNtRDMOXu9JI0WPFWSYG8gIp8s8REh7k1
arMNRAqxLJvU3E5QD4Y4GrcNiUMLveOAb2VtfzOl7PHSvmxZuXr3esQ5cFdjI/VdI1VeDOEdtKJq
36RDV6G2R7GB6BNuuiyocO3Xs006jlddgy9xbnQvkHsdWUHL68JB3Vh53UhpW1qPRjVsB/oNK0z/
dyO18cMQ65SVXDfZEmC7tSGALzMNu35fhm/1MG4NwZLX12W27ulXrQc6Z3vUoTj7kzbYyTq4pO15
xGtvrZwAp9M42cNFkBAuTPIMVnNtTerG0UuZXbULp1PsuF8nVZSBbU5zmYS3FKrrFZ9wK/HytNLE
pe0pSsiSENagk1NPDUc47pI+/W5g/4udkK1KugTwkVrrsU361eBWOhgbbMcJoKK+68pVbseEU7bA
R8YfEdLWHieUQR/VZzV8AnV+q6hevwHwMRP5O3kXONO01sapPYSJBeq3t8wruO/P9USRb6rsY+yV
yjIB+nHE6qmvMoCWkCQq63sLpBdsVDF911pNXMncUTax1r8h3iUrydL7K7fvjZXjkqNgDpx+IKu3
N3D49Uvp2PUxZKuy1gMSMUbFeeXojl8d7Nk3KXDCxUQhwSkNgn2uxDa+PFVdpnVbLPs+HpYB+HeW
yirbDsKMtxQa7j1FAM1KoXOAP8JxlvyEMdovzDoHNAqoC+bOjyjTWyJTYm8/hpON5kybN/0hhPvv
qknmgZNayaWURcs+vjV9w47JXku8OxVbl7qATjEpRJmJdDdNAdI6SgjjpUk42m2V5dNTBg/oqo3y
HxxAgYSVej2bxMVkXYxFUK7iIvpR5zmrvlLnP53enuesQIhNV8T9ptHU5oXti71GqjwcReCBgja0
oxEn1rWRTCE4Gj0z9qrp1StnnPjSukI+2p3sLmrQTJdT1rvVssaafp0WtWMRKGhE34u6VUOUP/Gw
ybWIpUDFrPCePliyD8g896cbqkwcfWhpR6Jg3CfRONXLZOTF9ykiI4v0FMNUmPKRoSw7FYFyMaet
WXPuWjAnsLVMjGv4KLt4Tmer5py2ck5si8NOvmD30FbUtAh0s4oIW3+S0IrV3ZIhFLIpSd7D34o5
Bw6RypwJJ/4VEcfueU6MG/6ZH2e0mHebuu1/RXO+HMYpAtjIdfIHwufSuafYznl0PcF02MQh+4SN
e7Rztb8JI1EdjTnJLp0z7SaCudA3leTnzYl3yZx9xy/2wMEvWDlehFQqISGP0l74LwH2/1Z9vqr6
8OVSi/kPQPJD1WdH9bLAhvpH2eeff+nfZR8QnHSv0F1bHAVni+d/yj6e9g+LWgc+KW+uJiLw/E/Z
x9T5vzhg0aCzZ/ni7M35dxkIECi9bQJuKb+7KGf/qg6E0uakDoSsFI0YYmYqUxb23rmu/ntz2I7N
JNPaaD/UHGXZipQWLXByfaraUdrFOGgmwDZmkiqtiQ+bg3tZSnsXHAnn1LL2Gy0nsd4tM3s/TY4Z
rOk4AeERqjrcsj3Oza2WOKNym3pJ81QT7mItewoOCeSHjPDPXm972E055sEssDp90eUAhyDQdTa4
eTxDC2Q6dFK0ScC9SUpvPSH5a9Y9oYURTOeSBMg2qJgugTp+95CG/Hg/FQnXIzZogl8P3yIT7RJx
lm6ttFCa+qWnwwZvvdy+kian3Lzvji1xfxun1QxwRVmvGiv07fFdlSTj7RCp4oB5Pz/OR/xi7Qyl
QkqTO4TwjCw1dBd2Uh0zq+JAHMp6jVhy9NHVe3u9auILLXK3rNjAU6ISIr1VcBDW24gwAYH0QkMF
S/CQKRz9KfNY//CsZneaTrisF5mvISlh11Y5eiviJ42bTk+aXV+O5irS9JvIntoVwYrOWhlZaYZK
yW4MR8kORiGPliqhleNfBjyCAOYHoVnV1nSIUGUaTS+0PCclyx7qY98YoHM6dHRXbdeaByTNBr9b
N3WXQENrvSwPQdXkv5IeTESf/g97Z7LduJFt7Ve565/DC02gG/wTgKTYiaKoJlM5wVKm0uiBAAL9
098Psn2v7Vq3atW8Ji5npUWKRCAQZ599vg1uStkMlsStq24YP37YUK42sJuj0NGSBgob/yA56IuP
zIajq6xCGiDHYYRG7oIaf8paZd2syZ9OlnTHa6p0MgPz5HtmWsm7XTsMXsTTqdDteWMDxAzg5AsO
wVJ7HOqpfCravAyrvFAXE2ZUCHeuDSM/f2yLrLtoU96HKXfsC1trxOncnC4zwZ4bOdnm1rD5TQGz
xBt9iOLnxXMJpCm8hoifrKp9XjbLKFKkNE5W0ujHWe8/Cv77h7gXxaM7VOTwICL6Nze15aNniiFY
2iiL2LSX5SI0qwsBvWh3OayruwVbyU03WdGu03eQQIQ4zfjZZWuJncGyv68na3kD10EUttZ1yVFk
ibEhqnKdirYGsWnyfLyDdh3vtKY/OZavjnri3A+DakgmciqyESE0MXEzwXipCib/FWtwM+mkWfYR
yp2zdK+aVuwoCm4eIhOcsJMYyOPh3E7p0WdXPDoPGrqOQcbBxi/EzWhwyVSe/KGk6x7KrH6dLYpa
Th/fSrctdmTQdMRzpOYJDjyRNuuVmj9gSsqgNjoA9L3+RTBJHg6zH2GPH7T7EW8FPioZbzJdvLEZ
qgdTllDUVFuHBfP9hxk141WQ+gfcFBoMJkSwsJyIsUMc3Yj5cKKX3ggMaba9W7Z3BcofWVPHpUvP
XdmBqutQYxGmqkilAQp6wAms3JRTVm5HyPe7fMwmYDiZujHtWjwCxYgPQ8bXPC+5dYA+MD2WE6ac
qssJOZayvVsYyrsX7UDqljUeINdF+WY01Pg4CtCmBkR/rZnty8hUTcUNVisx6hT8mij8TWO0Znad
o9Eqz2NtX8rW+143tb11nMV/zqjLd8KEyZV4aXTFNZw+cLh8r4QUB7uheF9S492h39MFSat33xQj
+XckhcpNKwvzRA5CuSNLhiWtxwVMGlEQu5oA62HbpRHFflfULfljLrEYS+8DXI/Ynzlgd+d0nuZv
DFCTE1emevPUtKgUugM7wqvKhxo1zg8GH0DQNbYjhBKmG9SdpAksgwLUaKCWrD7IfCCpMQXHvqll
5d+6zP1V1voYxgApdmPiFVBwPIOahwxaD+gRFs8oFCl43jisezujtkkd3FULSa2e2ZW7OSEai82d
AOqpf00K6LRiD46pOzI/mfQ8W7TmR65l9RyARCfue0pG03mAo05GZlZP3j4ny2IBa946jxMPbDjm
EbdIPrL0Di0q+FdlpO0xWcoZmA3C//eO1Z+GRLHESWhokQv61pHurSFA2txEHGiPtal7x2aOtB0p
DlW8jxqI+eSMPyTFSgHSMuYvaZK4d0mOSS+EvJO8EQmvtoMpyr0BP/19HdnzA2J5MzTduRPn2GoN
wqoYV3KCZeyjwyA97g9rGACnTguHcbb2X6tc4Ka0hDned4NS13kyG33jwuZrYbyArgwymwZEIKal
/6ITAvfetHr6xjMZvXks+3vqxPIhgrP/q05DliDkIrJuxO4MXzQgFpdSdw+u4RQ/y9JyPmwovykV
r9UArbIHagoyrUmqGA4lu20IrcWcN3PRemvuBt9ikGWJ99oPsw1WWBUfWkbzGXaOaZJoItPxMWqE
88pzxN9KsLa7fp5NDRTlil+ktk6gAqXT9COHHCrYjGIEhbwarpMLGAihLdGuaeYoGZhW2b6Bjcsv
tDIBtMElFW5oQnWm0dTkH6JrcgZjCUxTxWjiXqqiQ27kJfpWws0q6655WBqLrC41gg8NTFK0yy1w
UP1eFsn4Zo/z+DPyYJjS4h0I/jP9Noj8ElDn1MzasTWy4UrSOqw/S7XaD6HP6mFuodQFFimce9ph
EtqDNspveFcrrGhL1B+k0Vn0a9KsmaFMlNmXxksF9Lja6m6ZoNkCidNqEHdkceCeI9WrN3U5h7OY
moDf3GdgrtXfIr+LxLZKdZJMjAEyU1+I9Bb5mPiJT3MBQ/YkXtBAQAGwkswL8CSWoZWb7nlmIOGI
b8bZOFLom3lgzqbAQs8AnlzCCVF42+joR8Tidlvi3H0RGEo+Gr3qNopRLab0B8oQlwppM7mZPCgX
t11QFlX7lrdZ52L27ZUR9pOqvwL+ktW2A8pA9AGgrJ9k11v3kT7KjWU630Wc+C9AG8v3mkShnZWg
pgIXInYB2lpObU7YPDuiDdSZyQndvfcX4X4b7JbBqoRECYR4G77UbM3Wd3dsk1MXGdarj7oB9LG0
JhEA4QWlVZv1nmQy/jWH/e3tSVWcb14eNUM4mYnxPvgDuZGA/b7FAr6v7SNZgaU29TcAmyDrcS/3
rCVd9UCIXOPDb8wm2zKxHhO8U2fRV6q86gX5DtSXVSXTqVf9fDdkmkaIZquasKRMPGRxftWXPv3a
VO6FKWD6nsC1SNDE7Nwz3Aa041F0vn6huRBvQH256camT/dA+qAGxDJ27xrKdhlgUhbffZeEkEDU
Mn6txOzOQVaOFIAG7uk5NFSqE60ZA6jqzAUxdYkOOCDoJQi72yzSKna9rvdn3A9bp2/Ln0lm9sQF
9Y7702GEAXWIfgA0ua59iW03+u6IOtoNtU61y9VcVp1N9PcJFMgD7BamUaPIpqJO25jk8DgX2YdE
i6mCdv2H1JKCrcUa7+uoSb4U0VQ8p7ae3OmprVEfRP25lZOfscAd75S3JfxQnTNiOcYYDvFv7aq2
6fde6jegc804/6rogGPFjkY4tAncjGgrcehBU1mWU65B6hwxwpz5hMXZxI/+I1rSjlZp1+1L2Qy7
2LeqQ1PE1sbMly9ynsY+NGCFvsdW417xb2g/DT39jzfidzPDv66SMSP8syq5+kjfq796I/DJ8TN/
FMniF+a6aaAzfY30vcJX/rBGeGRbAPZwGKn/LHb5q9+z64Txi8tEDOQPlzE/WBj4M/6okd1fiGIl
ZY4z8W+l9b/jlRBrtf3XAQhMqPwWuCXYtVY78F9rZICASbokYCagHE8bEryLdzKD0Mv7VDdlkNDp
GIDczkuoem0Ywzw2jbOTtCWUl0hMoQGCdUvW6PDh9kb5sNAK/OZDXavhPOYxChDBmJupjljD1VIB
8o+sA74N8wGx3MHVQIV2vxjI1WGelehzyi+wnDvekwuR5NZO/fCgD+9l3XLPUFi+dvRa3uo8HTS4
LwUBP7kup3cFZnwCearNC6drUns22PM5R1idG+db6TT594S7mJy6tiQzaiYFHCVwTulMNRM7QOH3
kIVgNbC3RIvY2K3pQUqtMcaFreVnBpaCzLpr/DU1fUqi5GzRx/e2PLDSlfhWOFaYa3n9Yw2WfquJ
Kbr0atbD3irUKfbV+APSbvUmupSsTA4z8ykd8+ZxJsji3UxMKuPMrIOS1gYPKOINeHIisnnjZSF4
+Gozo4w3wpsaIjaBi9wVU5pfPKucHkVhfSLDN7OqD647QiRuKBOHqsf2L+a70Uzd6+pTNIPMKn9M
IJQ4jpXelflSeSCFt3uyCHkjmFuprRhnax8thJ4Rhp5XR3BW7iabl/7kTWMaHRZlNMdhKQgR1WPb
J/bZbtyzp5dmFbYYJ1+tUvZPpLRxkuqNcYF+PBhfUzePvnbk2h3kaJM8XfnaeVwQyLuKwr6mYxbi
h16IxzL6LwXUkIb0jLI9j1HbnBLPG371W3CvAcdMLd+oQiQPg6iKrWwYwdtUow/m0zDc4Z5ytoX0
T3bse/OpIKuJJlqcljQ8zWxU38CV4rQlKLWBTMKgyLXCQWjsMa2lt0Tm1heTcKBHf7F5NwYk2ycD
HX9Hapg4GSDgdVwYdQI2oUP2nWmtmN3Q7EcG125xUhahQz70m1bF7ZH4Ef/n2I5uu3P0MuYYYgGy
3GLx8W8IP5CvcefU2tcstpxrAhg2p0OCRSjw1ZL/AFrCXGif0CuM9aXc+HZnhACxq2euY04TUCVX
d8rUvTLm5OjSsPW3Rj025ySqxEaDylmSRpLVz57VrDikrqb71PD3Rh2L+2YQfb1N6lJesspFTuBc
zV0OmxWEMiHNMaERK7gFJyotXmK7+J+6MuLuk2gzZ85N1f6kF+cKFazqOHxq3UIbg4A47KJ6dJtH
2MnHxE4yQgicq+FlHFmFy6S9RXE2A1d/mgrunq0ix+GNfLc5MIqI05PbC1+FuTShg5fKfup7G6l+
To0u7AjYozeY6hdBeX3ubFrlgqDsQNWKJnc+Yx+KhpzRhZ6lyP1yi9SE+gXdtniZPstVhAo9u7op
XW4fLgzF/JNYFMYV+A1OZV9Mo9H2Y9++AiUeH7Xc8/MN2YLjwaJUBors3Ndr9VyudXSxVtQSr/Uj
KoV56Nd6u14rb29WxePYWu2t+L0ux/pl+cXWlVxIIkkDfN5pYDTJpSSmql8rfJ1Sf8iYnE15JUuD
67yqAT6ygLPqAzZCAWhVwoVrPTA8Q/Eyq5qw6gqJsMQhWrUGY1UdMOarhxQhwl8VCVxg/rZeVYqM
8LZ9vO7WMxJGtWoZ0apq5PNHq4iXWfgOo04/ZZ8CiOGvyHaVvEyf6ggyiefO6CUIJzROiy16301f
NZUIcYWy78EZs+zaIbvQdSNZYT65qx5T6vXTkFrgjCa3C8dVuNHHfNiYn2pOP0lvD8oqxzeM2NP/
pvugAJFDoo6tpU7dKg6BFB/uyBIQBKbOMC+ECUDW9fPk2MauSPl4cnlLJqXu/WkUO4A0gckyOjmr
LKXHrRnon1LV1NR3ml1pd4KTbtjN9XKZP9UtRWAPKHgkr2ae/ZsFB4vc0rQrHvNVHHP89sOtE/2Y
p7FxIvevIURk9MpQEsS8brOYYgKP5ffs0ifZMJlWA7NFjltWYS524vlSrGLdPBjtywJWJtRsgbrn
p492qzXcEsh8LaoXSgrSX4tt+WkooujRXoVBsUqE0PHnjcVl8qk9NvkqJBZT9A7hp3k0V5HRXOXG
dBUenVWCJI8ZrLjlHNUqT049S4eohy/2Kl3aq4iZZFMUgkzA7pC7P0ZKi5un+USt4f7bWfPi7/rR
LX51VFRdlnGrVrF07HDdYr1GQmWP0c5Zl6KrNknZ3HCxFRsSG/OTtQqw9irFEiyb/BCf+iycVBW6
eX9jERYXv9aLK/n263wD0m66iryGoV9dvAabVe48lKsUXDAYv9H6VR4GMWQPLedjQ8ufwAybAdE+
DBtAY9+pT42Z7XDVmweAy4Zwq938qUfblnNnrBK1hrR7tNU4Y4pJp4PT8Ygk08U5aIXh/G5W/083
6V+ck6HvrNCL/7ub9Er5lFZ/NRH//kO/H5Rd+xeTBgkjB/Z6gEZ7+d+TsvULbSEBDQKiimczVf0/
J2XLJwYOogJQMmvFUq1e4D9Oys4vvBqD7MxLcrAla/jfOSkDQfj7SZm3t4AO4EIAM0T/6q8nZW9w
mB2fY2PveXNVMMXDjF6r+7R0q7k5p6OFpSn6NmO9WnMX4+RFZxdm/NaqT2kS9xerdlZM8IDDwqWj
sEUc964Jc2enli3wGZJhFYF/9A5N1D1HQ0QSL4ml77ol8zbdtHzBL4g11atJa/e65ksVNJi09sOO
qvpUJ7F/BvFtv1d6UyCGmMp+t6SzevsgluCTqTVasu70klt1Of3EbAsp9AgSfrwktbttS0Y74yk7
6STKe3fOEFXPoyXijnOX1gscn6AsN2ZSw+oBgkiwe4JvTHpZHLhNizqPmVdsaBZOF6Odig3bqPet
yAuSUxX2Pr4WQkT22BDjcybZOfvcoSCmZGIO2ANCtUOcpzOm8u+iXKpTPKZoBd7nSVzkX9tM4dox
Ik43Lj02NL/xFQb0vMbykgkiVE97W5bySn8ejM4U4e/Vp0F761SBDUVN00vCE40Q6axAWFmGxn2V
Kh260MU/RNutXbBOT1mkN7vIjwuCWxbRmQ+Q6JZmp9Eue/60tPYknywBnHr5JmKBNxCawvM0Wuu3
nDMGRhfMN559sMIMopqj8cyTpCZbQ9q8fGcVZN62dUfGN56YPnQ7JYnzkVVBVrM9EI6LS4Xgeq1t
MFGOoPZOQCZNK/z8VwK4uK6RdAjBbfqK/25OSn6Gw07unmU1yTciBMsytLsSk6/wclJ0esc7d4PA
KFskRLhumOrxXz0mWHrcbJH/yvQ6yNrWG8DsrfG+z5Aa+Bhlj0t2dOt+wckBz85KOvtd4nZRd/AL
CTptJ7Wc/Grm/aF61SczNoCnMxTFBwL5w+s0rchOxNQUyRF2LL/AaDRTvHXjjG+3HCL5RmO0jALi
NRA2bXoRpI1MbiE2HllB5oUD4RhhY4j0+NDJAQtsXGfdR5YhrWFJ5s9iWl+WsKm2uCuyrGvCWqsG
NQSYpPgLAJO8/OSsH95bOk5bi4lEHLbjxP+z4H44CAdYyUQLlF6X6uSbE+NGFprkQ0RUYFcvHZzz
5zs6+OGmHT5q6zAWJH4HzWDy/WYjGu/Y5p0XWsKmWBKjOSx3bUscgz6vDleia0n701v51pgGGdYN
juI90cS2eMS2629zq0nqQ2rx/N5GTm9ZYWMCIQhii+bm3Vxiik3oJX8RXTZrr5+/JSPWfbwvZsqG
0DJsfllbOqwyzbSMi98WFBNFruiVKGfkOufwCZenbszxltfFekmZ7Vi/k2zW1aWb/frkOwrDeFvz
Z39OqY/pL+OKZiY4vUPKZEH4JYEqeJ7YodwMS6oodWPepY0sfl0WmxWZOdq6pjDDUPjbmgc5u6ct
eiLabepDiqspnNy8A9zom6QpLc54I8B1ug6Mn79xcOgJLmDWwGOdViVFnPDlmewNOKQ2ArdtEmqI
/V35DDhWpD/MTEJcHN2NTpk/+69cTCfZoLMYtwzvJubsVsm3TvQq2rmZOT0NrGI81V65w+5p0uOP
7cc+7dSPDM2RWGQeOq+FX0xPnqPRyjVbFrbZjsxvxnwBZ0cX0CerMifaZsEIrkIY+4WFxFmhkPKV
kaLDEJm7Hw3f/dHIzLWIYKg9ayuicfXVKQYDYvTFg1Wt3++MhPDa4oQ4OxzrB96wBHRv2GJL18CM
aZkymG/ivaZeYO7iYE2phYPagyPW8sR4rAxZ3fAiOHiGyFsiPShPzBe/XtydNrbzT+GW1jFqseNk
g2d8FLa7vHpxP7k7nS3w3GC7/Gk10/jc2/Z8kJBKthTMUVin2kubaS3jyEJtsOquNkbfS+9mg7R7
k7RGoucqfFw+qUO6V87bigr1ZzrHOXfAiNbh2YwcBAOuCBISl8h6m2lNnpgMIPUCEJhx6Dlh35er
XcEexxYT1NSZGOOjxT1DR7q0DoouUj2JcovXEiwyzc18rLrJu5AvfjNKiG5bHT5pG+beoIxzQTJ8
87gIKzkMun/XDcR4LwysbFSTk5SEEzfItT66VkPLbkKMT5WSSXMzKuJ74tGIw46aO74b+tQ6y7zS
zZdIWvXrmBTtE3Hr18QemttsMsgxxsq4RSgNT5VL2Vb0U+c9NDhc9in9h60eJ/rX2Bwngn685yU2
nS9IQOZdTb7VmhhIE577QxZyP7TTeuOPe6bPy7CX5lUBgQycUib2ttATndYqTrKZtpz+qBJ8XRNl
z7Zg0jNQGeSJIBkYQQYDpVf6BjFq/BYRzlxw/KUFudPLvicSBSWPasOghTpYDab1Se+eac16byl9
IsWj0NIf+kz0Qalr8jA4Fqt6tLJvE4/301j0/QW787ex9Zp7qZaZyJZxkg6tV0I3FTF/mwF419NM
/tZpnjLjMTec7tdBTO232Y/r5p2s7mJ4TJ02ik9duyC2FwB48bN/NWknPSYJsy25gweco+B0HjrD
Cml3AU9z2mNPVMoD4wrOVpnwPAJC638W3Tidm9WaGxHV9Jil3fDmpU60icEHXH3pE5vUjzGt0Yqy
JNBtV14IqM/v9agxqw0pJtqjIDx74+KvZPSlwJgmnOkoiVX7lvadCO1avtDLp9jTW3TGesBBzjpV
mf5mmPEhGzN11uAHfB3HmLqWecUWjIEyIJkkyUnFIn6waNve98QkAPnqgtwlrzTRDTzxhJhO4jwm
GH3I2TFCk9K9gOtn9h0PP+2CVmfSU0jO5QgdmZmgL1Em3HWatQxasxZhNXb5htCHYmPIgXVgkuSU
TAgKseVH8DlE4wSVwyN8B+YMuL9pSuvRi4Vz9fy2e6rpefCgZ2SAz5N0Yb5gUnC74R4XMANmffzi
6I1xqlot3RjWJMO4mu2d35XlU5rVNEIyjh878nfSzWSuETVSn7Sg7xwbp4FKkmuJVrLLLX1+1tt2
OM3K0r/AoWGDYn7inh1o2KcTw0IwQfxHq9MHRjj7hD+aQp6scmluiV0WkHEqNW77uiJ8PRlr49jT
FX9kTFfftJFz8LrMO9d5PL/oqohgopU01fvkaxaVEWMIhseBArrTyyD9JnDVBAekUdYRHjRDs3qM
/9tPvJ3T40APujYbnYBoJzydnts77Y7IN5s7AYknxFODcSnteToypYWoygDdnRyF9yp9Pvggp/YJ
t7vL2GATZVseh1ijM0XgMUanwIvwPSNG3kgHZPKgzRKxWeZYnaBK4J/Vk7k/Ta2od6NpMiTHz0z3
bjklXuiy33xkwBF/xelFrHHu2Mse73LxA89Ks0cJxYS2Hq0kXKCgGGhOMjFbYjYpM2ebao3cYvhO
Q6/3+vsRb/kmgvoQzgOhwOSvmSdU9uGyKE9aLzzf8vuOKTVc5KU/lVeqeuYBcru+9eUUO7eCHC2y
5jW6x0OXcSwgF/d7bph6vPOdquIG0jkLMumRP2CQeCLsczpXOULy3OfYZDLlRY+KY8C9SfwxO+9s
xV9ddPB6s1gZZyzhv8W9Ud+WaMxkUMbJDu16Ptv0ai9NRQxR4NPP2vQE7R0Z1OlOk9HMd16VEp9n
d+o5GcsjuuZJerQuGkYmHkr0wB9Q1fS7oWvao8Fk8V0be68c1EYccO1mcFvxmIHDZ1JtyPN8l01l
XBxVsjAGSuDnMgeMX8osrIsKL25pOsutt3T5fYLCELN8zGIIZFUysEnUrVdZCNd532rlj3mY1JUE
zOVBS5Y23cYytfvvXiefZc9QFI6KtBeReUdP0KLbMjl3jHW4t9oovtDTnJJTVTQuSXKV/k46r7yf
SC5k1om1cMgR37nO2YzAmWeJe/NNYetfCGC5+e0YtHkVXWupmh2kuKBdI5Xl+GVJGLIQVuvF7jU2
ZXPl6XfoSp6g/4pH/XdKg69bNLh8Gkl0JsU/kGRif+xnM+Zc67atOIwWlaidJib8UpdpSWwhd39S
Dq6/jYj/F4E4V2grnfr//89e53f/PDnu64KmFfB9WNREqPwd88Rg2Ex2hKr3Vdn65w4v8RudH/s9
Z/Au2RDjhqUcpNglHryeLNIWpz3pmTSMy3sClAt2Pm7sLVwq0T6U7WBcSs1Z5LE1Df91SJhTo4HP
ARDEQ8SxrXTUhx7rlk9BL7rlyXQ0WNQNIYL7tO85ZsrMfq/tYeyelOHbard0hoE/kXhdS3xbqCcY
RfUmCrY4si3O+swcBTk7xjOtdfnGIIH6YMlUv3rLUD0Bg+FE3+GpL0P4jPJNL8U0nbEAuNq6d+oU
WLh6SP/E0LhbmX3qzotrciT4D9sHmuogm9rEwP6twEm+fdbCpdMY/wLDuKodf70GZA8JlBoPEjzi
zN/6hjkn5MhRer2357VettOM2qA3Csq1f3611xf6hzcCqcoxQHgWPUr+/k8mXq+lgmsIFNujM3KJ
pVeW265quD7ce6TekW5NuVRPFCELT9m3f/fdPYAb9EcZcPfxEq9r/0/vLrXZgAI01YCLpPlM3Ky3
SZt05vxYtPt60nhXp3MpAjRQBjL4529u/J3BgUtaF5ixfNPAyPwPnx0EpBYRRF/vlSF59WHErHnv
5o35XGWKshmLNR9+EHNNRrzkjKqTY0ThV8Uuo22E0zx//kL/kTf/hbwJCGW9Nv+3vHmpSVP8r/Cd
KfD0r26A33/0f0VONqzV9w5GFklyXU9/2AHELxCXMbHrv3X8/yxyomR6BO9AH9Kt35TM/xE5LdAL
awffXI3ubC/WvyVy6v+wtRIQa5EpAPvVM3TLXUXQP613l344HTGVkT253lf0ghJ3Q94dk/rm0JKi
1A2ScD9E18Q5RObMgHFlVr6HH1fRejNHJ5t2OAnKfMu4V9zstaI2YFESIVvqHHws9VFCEz7Pq0SH
kc24AFAXB0p1bujZzJq3QiKyDKTRF8GYFRTPecHkEDAe7+wnUf1WcXZ5k/rCHjxw4GKWpzK8M1mb
4r363Mv9UoPGWMWOE/S16ck7s3CTlmiJddsemHsvsRqkjJU3nf/aWwZvPMpVEemUN90+FTIm9KYb
yYvWgVFEVCTG1Fzy4Cif6mNNhrF3dHyebcpjE8ezyo2HV1YLjWrdCiUy7HUuplV76X0+hvQxb3Ig
j9u9zkP0WQcy8O6aIB/rWuv31pBYL8sqhlQM9e05OCPmOKUyLrHZ8Pmli8iUOYxrhE2T8nBw/Uzh
XcXK9JExZgc7XNTmc6oKlJSo0Ydgslr+M27/+oRAar/PMT/HuD6/gG2Maylb8G46PolnEkVpF/XI
J+ia/sSnFjnv6eU8mYpM57MD9kK36kfdokhJQVYkbnKxsKyevSHCBD+m031GyO3BIkDxUKUuP+N+
KnAkKK5a4sTTdcO65hv+7YLyjMhbmmzoj2a/XuGBUNkrl1Spr85cz9N5lNHM8EBuZuWGg36ePmql
yUeo54xXkQORzIGnSCRhCKDneyGVl98RFwtQqHEWmh3CG4xJbuhKe9gz6pfoX1oi1K0dE2Ea8+Hj
8msS9euGOVT+K+FIN5qg9m4G7CeQl6EkLKbKsMULPITF1GiMaZbsuqBP33DorquWZv8un0Qf7WYZ
80pLtIoELpHziJKrzNrp4BISZ+TPFFqsBrPldBr4eFKsrT9zFGBEhv28cF20SxkrFp9mYsOPBpNb
zx0lo2+M9MdbvZPGJcE9MNL7nLjAtYSo87tKl2eyQiGBqJGGuV+gJTNoyXozuC3PteTJCtsU042W
DUjJDOXye6dY+UhcWckAlh7z4K7GkhUT4ZT8mCbBW1bLKvsN6zqZfaRlYAwTmJDOOpQ05d9oQ/Ni
XaOnd6R5+VtXMGA2DxgRpDDkGwfo6PVzCaeay/dLuPapXm/2bF2kkTNMN6RJvpLRhO8wwZy4losJ
gSLJUL4/GxZ4VvniuloiicrCY8H0rk4xVq2R8J+3RF/I9M5JZ768OaEB0OhsHCnm7LeFg+i+sSWH
QUo941lghHzFzDtogaT6rYOsiUuiPl1uTof5k+1ionEVic1k4piWfBw9FYdUEWMTNDqzPOx3OgtM
s7jJVc5jmORuxPLBZEJ91hd2EJ7i1sFF/ke7Kfzz0qwPZohovAInMg58uK8ZUu5dlVjXrBnQijWo
reynTAhv9EK6e8du6bsXMDjsZtI21phobTDVOZ/XAgk97hY198nW56ZANGlLfqHFYscqzXpMbrOa
5P2npJzOaLXWzL284sKw4uZ0OEqj4HU+Be88H+CXdWwZuh4Zzx2RVnyDnDJvkoUOLybJm7cc1WTv
Gyq+izqO8q7FmnfyVZL3ElDUT8on/G4/9WyRFoaKM+nKrCjSQLlQTBsZz5G+cKSOa9eethb1UnIs
mXe8y3Q05V7gXQyHkatUpNF6hjPZmiFCsqYiDmIYzhjvaMJWceLTQQumIe4U47npyb7I7HmcNzgt
UbjxGLBeDMWRvV4bICOwPUr69bSbrp2YsjT4fbJSMsI4+OvKcWGszEeRtby8GUfqA30XIEhis7rX
vgVtTv+1TW0jOwlwc/ue41+z+1zzwsSXHeodnxn0xLr+e9cxLn06+K9ID4RhWp/C+kCnoyNS2qZj
oGNJoyRThD4VibWuR3/tCsjG81+prbmQv21pGSZ+ph7ckaUEDKvtD5mnGo02gxjbrTQ04yoc7i4S
lvyMkW++XmrG3ecdVw6eeB2RSA1MIXab7D531rqmBrhjZKF5NVKrql5JAp/zL/ZosU8UYt2lDHLT
7sTa2vELkCJZ35SPRtKbNAKrD6zAzBcQHsnib/T14RzF7MB+sRiXcbHXrhbnh3WAgQAgLHFJZSQP
5pzMe7YfqxyZRus5QnAyr2ojdOrFP5WVQjc13WhCiVKpXzwuWfEz09PCJZej03ADlxRVVWeXXKJK
X8ukfmKv5Z5sNwlbTB1oo2lnoYWC/VFX5WsdG+3RjyZGYIPZG2mZOlb7bNJErbGoQwhcO6vI0/LE
M8a7GhXx29y79GCJm02DxjC6i712aFVfxKsxL3lJ3YYGLr3Yb01nbjWzbs5q7fK2RMXqbsY9gG3n
s4ruKKhV0suTm8FGiK76WnH7PuHd+PhoItE5dFz/KhmlIuLrFn0W7bNTSI3nRF060cGA18OumnGH
C8dBFdF7hnR0WW5MstWr0CVwkZDwRmShrE1GLwyGOoJUSC/URI7eVuH9Ctx02en9NB7tLAF7pLnj
PBBiL5N5NzvgDPc+pxsYxapf7Tlu4p86SywP3tS5R5X5PObSiey3SaOtW47GiwACfK/pTvXAxLB3
dKFCbApDcChJvHobE0xG55aM1iDL3f7UToN+71oUyIHS7P9m78y22zbaLn1FyAIKc69efcCZlKjZ
g3yCZckx5qkw19X3U4zTv60kduc8B5+/KTJJCCxU7XfvZ8+fC6fO3iHYvnMyvy2umRk6921OlYjR
45xZO0qGuwCB/mu3yPAlCfqCFCT2RMVNtm1djOOBXNDijCw8mFq2Wua+3OI+IhLpOFkOoKrLzoFM
suXM9fK+ZH1Q7dQwRTzHaXuL0+kdKOOGOJcvaaqcPjFK1+dT/yUGIIDMCJbBKlqxs3VTmuhdeU8a
O2H7U3lbdy7n12wQTwZWfiRvnEVBmqj7kjIWkh5DuasXw9lH4cjMNUydbdx2T20I62MlPXZG265s
63OvIpaovGR/MiHUx+wbTkMprZNggn9w8cQc83BwrmtbmTiCyF2Oees+zjgMSGi0wdYIFShwVixN
dMrvsLptAH+eDJVbtzwEoJA4Y7WjCc47FtJe7mOcN3ZlVwdB8mwf6CcEWSzycnE4HNycX1iXLsZz
F83tJmtkeFaZHoCVYtNXlflA+AFZFaHwnZiFcQ0HEUObEfj8HGqY99KPdNhsIiHUqZ+rdo/4Xn/M
2L7rUXE5ptzfIn/CVIunC+rHDbkrvK+e5UM5c6Crucsuq/PyOKEkfDby8uNstHh2LL8o16OUHVI0
tw0y/2SSW+uHvRnhi3JB3qxZ/OONcgseRITGj2PlfmkSKJiit6a11ZiFXq2s45JJ+zPZuqbdRHU3
f2RHvGV3LdkJpma1WXIz3/at4z1FLSsKK7+klK4msWSAkDmY3WzvS9JZm04sgNmZ8U7XyWD41qqB
WhUOLCSB5Nr1LhyLKS+ooXcLSeLKb0ESPVDpC9bCygisHXzVjfEXFv94x/ig3ajAajaRMVZo6lSW
ylUd2xGMocRgYaK4BVL7ML038k4EPPYi4a0oCUg2suk5gQCwYh5Sn9OO70UKYet9AxjpqLyFPjtw
8TsFfXI7JNSgh5mf7jxRmO+meA64xWGsO8YpdfXGj4WU9uxXSgTia9gpNwyQug9GEg5XJPjOXs7s
h4dX9EjWyfwYTp0nVwNnl/5EMHpJP3ReM5jHMvcg6BitpQSJBjsLd/SIDO0EsMFg5xRzcItuoz6c
2M1qQ8HspnXwDMaERT0CMQC7xpgWM4yI9Ehl731G6/DBReEY5iruDAhN69g1B/s5SEqeumIgq70O
0sCmTXCK3PKqNSX/e16z5dqYbsnYfZQiBGI3sAdNJD0V7GQ7NiLe6PBs0vPp5WRaamaChxuDvSig
3XZiWx4a7M++O/H/jSz5F6HKglLrBIIDtPA5Rr8Rqgbm9GnTp9khqsNCbsq6tucPylFD9xHXIT4S
B/ua3NSVW+TeakLU/YUu+heiZqgVMsvh3+i44F28cShNiWfVSvTxwZ3DgNFq1cW4X0IropHe6JKY
zWbU7DEbJIzkGurtccZ30U1c9dZTYA5w6Gqmqf/+smDYsl2TbfvfIKgre4jqJHPiQ2Ww9SMNiQuE
zkL2pCOH43WfCnY+Q6nYHBlj/Cv97lLq8YN8yPWwAQrwL7bg1oUR8J2gUS14D6tRcU2WgqNQZrVL
wxOnDUpoOWWyuAa76Cmwn3I/Mo6W3n7TXMeAZXTaRtw6HmkuRR98HyeHXp+gmzausq8wGDnDVDYL
7c/vor/5Jbq+b7la7zNN3/LFjwrMGMapQQqPZqxoJKBHpHXo1omXk42Ubki6rWJev/Xmrv1cQip8
aHu0ijbhLJ8igj6UVbv+xTt6a3wDRc8eyMH45vi2xWP4x3dkuJozyL4BDdRg2+gZHiQUJKn3IPfY
BwaGPv4yyeq+OMiYx2bkfFFNNf4VGi3Yu3ddo89gXNmfvzH7796Y51BO5QUU5tDw9eMb80eT7L5s
kwPsIXaocc3Za1iF+Ar8mV2R3VWPkH0C57jUbFs3s113+Wl0xPgwOGPYMUafwvemuXBadi77YotI
wv4yHAD5zvY9jXGcFJFGI0mt9VShyTfbKCPUktwnnHJeEAa//HEoTctpfhgwGbEILc3M7E9bPcZM
zXd6H/c5rXLuLUZvOdgVnzq4X/yexNsoD78nX/g066IbOJDv3yxAiWWgTI++sbcTlzVQ1KpKTsGg
jzrVzLtn4Q+vF1iYxmMllDYJlglva0kH9TjjAaoeY9vidOIqRkgY5fiPXCz+xJaFwf4iD9lCy8yT
zFBpgNzE6aHWqe116jcjTIoRb5BaSl7dFUwaN16+kFwMOBB8ufzu/1Oif6FEY0nWdYP/rERffa66
z90P0JY/fuSbAh06aMkhuTLqURzGlbox45sCTRnBb/QWUjula94pTuD79mcgDbTK/9hq6YsIqNJD
2uZ7R0/w//nfr/P/in+vvz0kuzf//ftZHjcmX9LvFmg9VSFLw3ML72+ASfcNcB2za1Bk8exdlaLR
xgggwjBVLSLM7XroOJMwyCcDSrwkL+06usEna3Eac02DCILiJGM90i9gGuWp6zj8zVtDMVqPDkE0
WB7K5ggUnIOIam7yhNmlv2PiV+J67bFCQQZehD85axB9Xh/vsIuW3jUrf/eax9M9ECufZLcw/LWT
eP6ucMIQQkgbbxqhlkcjUMq6Vj0IxnUbWhhvVwJ1BoMdhTzmdTVbBaXEnUkC1ue82x2KNhjauwxT
yiMN0OFzVygbR1fXDtYa00TWXHmVTEimLeFHAyWi5iVQQrYzXZHpHgMAhS/2glkLXl5wm7eV99yS
+doYYT19Skcnu1Nu7+/qgbMKQVip43Vi7le1nRgAtmsDxpkqi2M2FMknr3Pbj6KzyZ1ZNXvDOgxe
i3m5CUzJeRRT5nLkj+g8Dp59m7qpecAxbG37zA7XMwEn/hk7bO+HrEqmNWZHc9NPYBJXEABCCoaG
GnuCE3nM0y00WB7+5d2Avvh+TkoCvXKZ9iB1lvuQHfeJ7jEdbUtxmJHGNdJDUmTpF+4H9z7LoZUh
aQrjNikraDOuh0Zezxb5sL56SpQPfjYYuDcVGfpxjmmio7JNnB13FB+MuuggrbXCvq2deNiETQGZ
0Qf/wYRBXRW9S5aZufywRS4dtkbCVnkyIkYYk60ObANmyu+iVn0yOBPtgrQw9i102KOTCPVK7s0/
Jp3VPCpEwhtgVfV1bcRDuXeUseBGUt5owcQcHSxu+erPfydA5IzJ2XBF07BHNclKw9AbQ6eSp4w6
4KlCKuumot74fdSyywavQ0LDCjgcjXjsJrU1EzgOr/+tqBde+S9XVCx6P11RwZ4Pr/ny45p6+aE/
M77Wb/jlLUFkl4me+C7iG/7mchRgmQU+FZD+YfH7tqISXOCMEP5DcMEh28tAT7cnm/qn3qyoP19h
f1xgOZGYl+aSkLkejwLxZoFlW5fIQEXxiQ5tYK22bfn3GB8V93jV79PWD0+j+ZLRonJsWsehEaoO
QmiNY0+tRDnu7dZq94TUQP19dxn/5sDEIOAvb40Px5OIs4Egw/H2yDR37uLmIvCOPjTv+jYMc/M2
UNDziCxFbr6yBkjBlmM421RGqz4mFmk0Y0fRSjhEXwIKru47cPItEimKk/9BIa3dgFyZehbsznqm
oqn3JNSuRmEK9Qx0LDcTJjYhN+iMjeP1RnCAn6k2jplXcLMsLJ9wKWrHz+W7ZBljPeMvMxgodPhB
2OmQCBy/w/1HPjY8IdRaOkecbWcZPrG6J7BhQ04Td8ryBgy5HDUm2ZaY6wuBfWiYsvalXEoTQKWN
vWi8WI1SiH4LIzciZbsxEklx6nE75TtI2tiUMkBj91WLY1N7mCoZvQflbexlquSpjTNrPyCIvaZm
Im/DEnKZh9/WiutTU3vdk3/xSoVwM/1u6K+iKBlPszEam9RXrLgFYdSb1rGX6wrzlZGS/SDjiiPL
wJplao+WkdIbTgVNkXwUUYSJyxzc6WwQXr0HR4HJy0+WbjulIxYVXz2aQ1zcymVIV7MKMYh1k2fF
uyA3nBfZldkqbJIOXcB1FE9mM/UezCBvHsa0sinACco7d1Q+bjRbWvkZ7FNnv8voFlnNlpHecoTe
Okskdi1y9dNiYnKsEmAIs9e4e+Ze1a7Bl5uvLUk5V2ebHk3LvnWY7ajZ+io0VohtLcDQpj46qkc8
amPvnqveXgVeLncZQPFTbNnhSVdznRLLLOJNVJnFxwak8FPt19nXdrJAOOaD0Ty2yAywyMR8bY+m
/yVmHr4DwNFuCXGTjxBkS4pllFuR1r234ro7O4XyAEsENe5zzm2/soWc19RegL5h1X8w/XG6wdk1
XrlTR8mrk4Z7p02KbW8AChFTSg9s1dsPSV9KYuqKA49ME25puLzRbhrzblkrJK6PLn/J2pgLnqVB
OGzdcLI+izhL1mW2LL9rGPSZlg+CFjOeLQd5mgqCLPOeeRIreGOkMo9i9DKkislekrXqwS3teQIT
2fbdrgtwppe+IKTdYvbHF7VsiriIEV26yHhy547crWMU/THEAXkVNi54qJnreKRHTnYrJlHJdZx7
1RWDVK4eE1S1dsZsm3VjsisgnGcr6hucV5gg+DPTYpJPamqq67AIMXU2qs3PLoiCHfPmaM3gTn+7
GHPA7mC/Me5Hr8BZK5Ch7v0KSsfez2vvmPfyXZhM6sUf1byNps45hrDJV6kHMH7DgKW+YSWcnuGz
BrgVAtDVGBJVZWGUljlQj6maFlhY0v9URX44bFwAUxlcMCsYb4i9kyOx4K2sSrqxgIHgzy6vl9rv
BQf4cTzWsYfzuGMRKSH8BgXYuxqNbUwpOCbRPt17crRAl1bJyJa06opb8jsN6X2mbasJ+K2xk2w0
xk0jYSB7LAdX9LQUsNGjonzPRqgFE2r3OMXJC50jHfY2YBB3G19HwHER1k8+WyjMw0PqbEwdFvcu
uXGpI+QjEY7zJHDxpmLK3zU6ah7o0Hm8DLDGminfsjyz+Lpdnr9mcU9SPb2k1g1bendIy4XxEe4h
uXbU6/BBIKikDFF18j1usPTvHB2IR/NrT8SFpuc4SMAg6OA87Pf2MJOlV4bHuJMar+RgXrL2VDg6
V0lIw4M/jfLRtWtS+RGGp3vq82jFG8v0wV/m0jp0sovvHMdpsEItfV6s0Sq6T/ViVuXKASrl7qXG
ARCvyT8nbdhCvLXm8dyDZCDfYU1uAoYnQI/Olz65NWaNGXBHgGCE4fvxK+s7qX0jmXat73WfPCPk
JeLQVNdYk+1dttjZUebEElqNN2BtmI+ZRh4ApbL4g5uOdZ4veU7Yd7UwsSQeqGsDwgs3IXNBKFgX
moK/MHpdmR2QBdLM8BbwsA5XfcBkSP/aDkaQXJWcJhJGIHzI0fK3XeK9Zja5YF1QBol3tt8Tl2+O
GYeFu9BOLF61fGVayYAldHP7liHPdRax9COpX8dLEIGEqI8hg42V5xrAv5lsbQKzaqDSONnN4tb+
3uHgwA+oWdxicOF3OmkyBZqruRaCgRUqGvF0yR9pYBqfMk22kCQBrxy3dYp11ySQL9xwfB01DSOn
CWYjAXAhU0CPKzQ1g7vUtdeggIBpMDYCrLFoxkZXj0ByeJzKKzvQnA7XTgByWB0szu2wGKAiye+H
9m6RdB5sYIaZ772s76ttq4kfcCeBfywXEAjmfKAg2QUQ0l9gIUHiT5ylSVPtmwtOZMDN/Jxqxghb
OH5dyWfDycZbw3Tyh8X0HvM5cvfZBVJi03aiIKwn9rm7YEz0sf02yivS+PSxfVo076QfIJ+AAuH3
RYECQBTDzqpPttuW/J3wUoQFOcW8QFTwJ5XnoCXO0rGc8S3SvJVYafQK+y4wLEXQg2TBv51/JmGE
29WinWCxbNAZWdhQshcZtNJOgeFwQMTyuYbEDejcqNvyYUpAfNYa9ol0lMJe0ARQ70IDJV1o7Iau
e8DDy8PaDdxz4tYJvBa+Ytep8Cx3Q5abBPfkMETGbu8AWtDFDJGGkYI4aF+CsG2INSojPJHinvQG
0xVyC14x3C4XsqnUkNPgwjsNNfq0v1BQm7SAHzkbivISJgHjNXMFFzfXhZ8qLyxVtifygyBLBB7T
1rRVwE/zPd9aGKwm90C0DTWadcxwxUPhS6v2kLdgDjbzFCURj1aH/Vdd2MHjPIN6rS/UV0cDYKnu
ZaFNQrvZB7VXZGdiVUTUWNpLqBjB/J6xQvsAtcP/1EIR39ceGI1VnubA0qxIk7P8ttq3nQQjZ8Ql
s8/EUjwyWj8Z9mnZWHcCSl55Cpo0hLDpN1/DynQYvGMkPpKa1R2iUPRXnT2QbJhBjNj9lRcsov5W
ovyfUPaLYx0sDS2Q/rNQ9mGhC6eKvz/VffuZb6c6y3SQw5jleICITXJd6N5/KmWWxf8FToMjFfZL
DXX6UyhzfzM5yDBtIK5O85V2cX4TzhzzN2hPNPeadLmheKGj/4tj3Rv/NWcm7J6OPiMKHm2hrY2c
38010MOsFLjudDOUX+KuAIT48t3V+JvT2Rs1+S8v8EZcl7NdlBiCphu+ufA8wa6Gn9PxJqUU8ZuY
+4Mo+L0IeDHsf68BoiaiAVs4Tx1sQ4Trf/wwi9UhlVEdiD2/WEydBSHMaqIdhYFgMP6py+Y4eE3q
KOjNvdmIzlAENNwlrU6mbWLm+gKENPBjDbNN6NHb0wBh7pegGn7nkcQW8XqQSHzOlenRXFl0YRbJ
pyAzlyvM5XX0tLT9LhOpe6KqmBLjtkYBW3hMUk4jgLateAK5kG44QVIIDt6GLgG3KNskfyR1Eo9y
7TnV6IP+qClq1HtKAblvEIAWm/TdMhfDVRG1tFsoTnTTjoF5YZdXfu9mG3f21E1g5e70yahNj6wi
CKIV+pXEbOI69q1jgI65yvqQSp0JH4dTbW3IkqFBJUye9XO096k46vaXX/5/q8YvVg3i7Xq89c+r
BpN2vs4y/X7Z+PZDf4pB4W/YgSCOa3f3d1pQ6AJuCykWDb5fLszfcJYj8ggUcD2f5MX/R2enl09A
r7AsVgzWmX+zXKCl/6i1cNf7gvEnAI0AWzeiy4/fMWnRazFgHzop1+QYWhSxN/bstjBxA7J1xmcz
Lv0bwyX9lTaLRr9wZGZMalprWimyLQR18zEj0b9spZjzW5w7mHE8A1hniNFmDlP71FeDBXE8xYXh
BnNgr+oodNj+5JMPCddNrgj119dmDE5+VYviuklkfgc1JtiTwkv2kR+x28wLp1/HpRFtOigRe5Um
8pgznTwTp402SnXsne1hoc+erKTQ3GnvQzqQ+ln7pcgYVkXx2k4GOrQM0R9Im0UP9UXXSrXENZgv
ea7qzz5sijOI5MheyTnotwhf8XbS6WFcsd7tBH4j3lpeyJMa17l5tJbIOeRSGK9MNtuvvn6ws5/D
aBaV8vd4FhGAKv3gp4Rv2Pe2LR8c4BonPFLsDkhBUxpiZwK7GwU1pJAU5XmNjctmib2bmJ6zq65R
xmt12WhYuL1uDNVWxyVtP44hJPNsEt4eqMb4Lmn6/hGb2Qzf21DyxYn8+KM0ck6pg+ssK8/DBspR
MoQvFVTHwsxh3wvNhEzcMIczy3jic3sBRwpn+uChzXGlq+Kl0JDJUOMmLQ2eVBpBmZpAtFXsnnLZ
k5DSkMomIqYJPbbb+XPQiQ1hctwo5jIIvC2acBleYJdcpYG/jbjbjilDcUWQJlpLbG98UA3M7DQ7
k2eYcchceJrEKDUDxUk+5H2KijNVjY3pcCb9XHpuZm0QBKF0JhdiJ4OC/NhKh6ztheg5XOienCej
XaIYURfxYrJn1RxQRixWvHI5UH2FsQcotAEjTWVZ0bHvz5LqLvVwxTnt4l/HslYbVy3UesmgPDc9
HndxYZLSDAOflPAmrFJSwvF76lmEtwppwHshRq95aY3r6ZWYf6qhkpqCZBy+ow8MtQ4q60aVbngf
R6gp7NG3jYanoi5uPOnepAUno8oHsmoyCdJWdiPZjBrC6mgcKwYfyKyZhrSGGtdqXMitRJqhuKKw
WV/aSbNdE415HVEgMLouufXch0VUEeJtB/C3VfuJ7kqxDhuUoFwCNOPw3S8P3eQXwcGxc55qMgjr
QyqwNIUX+iznGF29pqG0CFzJVYu78WXA1wVsz+GmXftSgbKNq+BTpvG2qJeQbmcNvVUX/u1yYeE6
Fy4u5vYa4zCwXFdjc2XqvOD2aTZeI+2zNXjL724jibJ2GCIrgDBRBRpvgMRbXKi8lQb0spuH1bv4
YHsp9+w35YXl22usLyzXftP08p7pNX79NuX7LE2sEmg5zjbQcGBGNeTDRoDBMz1MGwfr01ZN4IRJ
+vkn1+x4OF9ow1KDh+sLg1hqHLERAiYeNaKYGkWXEhXNLTYuDGPHl+az0GBjpRHHozChHQNwgXzs
awhyvNjtTX4hI9Oni53rwkvmiJF9gMIARbm1eojKtNYMx+jCWQ4MkMujr+nLjgYxt2YIk9nVeGYH
5+BrfWE2UzM33oFFME5RHMJ0zvDKYxTRqGckgvaTp/HPLfHh58WprLN9oUP3kyZF24BWgH8B1r5N
gNjnm0BgNvWSifZQgbd2bZnNY5x3zSbIwwkwkQTWUuTtxqsoy2qWfjNWVXEfUiK1GfEZHzNU6W1t
Oe1+NsunuHKHfSeniKYHXKSrDmoReMx8qdYhZAbozLP6ouxxJqRgee2mtodya9Z66laYQXaLS6EY
hyuHWiW2Xo4EcP9BUaxaHWgGrHLzY7CADBDA422r7z8OA3VLt9EcUcyHkn1rZfjTwYzJB68szAfP
8uM7lsV57we5Oo7x9N51quqhpXL8YbC6CDpcSlBhgr/00TZkMKwqv5pOEDby90HloXd2E1+rIG2q
Owy25R3IVqhjceliW8qdmzCGmlSPSmwzV8YQEnjkYapY0hv8aMOuDXx8m3ZXcqYMTd6ul4OG7zg+
r7qC/RtHdwEaUnYeZ1/evpoZW7puFSmO03306ATSO2ZpPj3BpQkAt41R8rutR4vVZcpIY1F9vejR
I4MGhpB6HBnzwV8bPaKcFulC78GKPOsBJlxjZpkKK88htihXzQAOoKv3w7bto2GbXyahgx6KUpHN
WJOhxJo+rLu2gCTq6gFqdJmlLlYePUwwmWso22c51zG0Rj16XfQQNtbjWH09n6Qe0YaZkgeWC3/P
fNe4JXnALFeIyb2nWTf5AvY81b5jiktlO6MxuWa/nBY9FiZHMO1Bu4THUQ+NZYRRetSDZL5PnAtg
I8Euv0ya6eli6qwuA+jLLHrQY+npMqGGlhGucUNYWxwx5iFrC+d20ENtRY7m2PFgJEsiphsCbK+m
HoJbl3k4AfT2Y6qH5OYU5cdOD86ryww9vczTcRqiBoBedbVr0mdQk+WgpxjCI7vB6Ost71noEb3Q
w/qeug3g9ZcZvgJ1pbZSClE/Vkz5UwF0fTsmZO2u2osPgNZBQfFTOYXPqTYKuFbYtXfexT9AxQ2Z
AOV5uYuWDzHrWniUgxIFu5gPUC9xIvDg58rX2qAgcSrMHFHB+mn7AlkgXbBXeRFlZbo0V9Qgmkj7
lYehN5KPbmO76Wfh8RVfQzwx3a2clIw5lFCloryzZc3z2O/rOE/N4cQtK2R+ojnEM7rP4Kuf2fvO
H/LcqF6zcRawzAf/iSFLcyK29tRW/rIt7bY8+m3XrP0BqLtfzw9eoZ5ZAL86afI5671nH1fRC0Yt
6GAO/aWIUsOzH1Kl6PlBcddaxXZySuOaXw4BKNmQOMv79qutXFATfUOtyGpq6Z3ARJsWB1kv/b3t
TvmyHjgZMj2QYRw/Bd6AQKWEuk8U+x2cEfSYGqv/jlD/X/P0UAQYh/75CHVdD3QCv4Vm//FTf56h
gt9wFglIs3bgXGbq/096wb9kYm9FfQk8yyakyonpz5G6/ZspmHZzxALxwFELSePbYUrwF2KI4xAk
oNswk/pXpiX7jfjCiY2KCp5grsZz+4AIfjxL4dueBjoa5ZHFmv7vLDOsBzNpFdV6abOr2yzogXL5
5ktn+NETiQtJ42cVnQyZUunE4IU6W58vKRmLPUWLoxbzC0CiDEqfAsgeGz9paM6pzT5cW/A6b63K
GH7PJOjtOYkp+iW7um3KIMVSzmpWm04yb6iwHTfEWoDSxCarZ1+y1iMAe49DNcy/iP+/cW1xBQA9
EFjhMugKsLe5+IydFQ6Bpjky45vvPLpV9wyLwrXoe/25eN/f3SJ/o0a9ySVfXg+fGJWzuNPQ0N6c
XkmUmXOc581xMqS9muPihWnTCDeKa/DzV3qje+lX8glio88F1Jrhcfvxd6uILXDE9IojnOhuI9DN
GeG5xp7G7PRxxKy+X5Isevj5i/7Nx9N0S4wa3EyECd+oeZkpIBEz9jsOHkL0ytDg1w7RwN0MsyuX
P5amf9bbfpQCLh/RxVqCTzRwWDffXMw4DKa0KrPiaJmTm58rsoS72ZPWdDsU4dPPP5mltbvvtD39
YsTJeRHfpocNh/qP15MMZZGUuZke22QuSKkkmCg2bVvW5HwsWn2WZL4d8FFcTyQrDxSg9c2WTu7u
X39mZMUAUIWJFcdnUfnxbRRW5y/lwKiuZQPAhKNbOtqlo+gp9BrAyj//0H+9hxBn9RiSxD4VK28t
NxKHgt1LL6MzRan7OpBwjgy+wTR/5Mlx6VKUP7+ikvcXr/vX28i96EU4FAigQ6X78UPmcTalsddk
x2pqR6ah/DbJ2U4T0LMh+3evhVDL3x+GyNn8etHK37yWg5pijUmYErllm0Gyys9XjSmXq5iM8buf
X0/9d313D11eC2GOSxlo4stbo3dW9gyHGZod1QKnZ1NzhjoVqT1+w/f+4xfjrR9JfyYXV6t2lOvb
Vfx4/Qav6KRXz+kxMt0xY4zEIHflLJUAbW67j0maIu/OsqeuWOmM85YRd3L++Wd9c+/oz2oxWHD4
fiIhmm/vHabiedpSfX2Mxg6jqUXV9yrmEHSO7KU81XGAj8Czl1+s53/NSSBWsgTBpAmw4f6Fbjui
BtYq8tNjQo/YB5l55Yk8wHLTsKfeS7sBY9Ub9cxGdpljfx3B/BmPk1fNX6hbauVrM4bliTp3QOPa
i0uEnj9UZtz//Or83ft0+cUwSGF3QEXkm1FB7trRpHzDOACv8F6WZXDkegSgxa+o8CYPoymzb8R7
w6c5sJ7Av41i0bSmKDoOee1cUZATHelWsG9Cw+v8nTcmdUafTeiP+5+/17/eteA6mPUEmNwY0r99
q2ZIJ2tXTOkRag8FwTkMn5yhcddvf/46b7713DF/UGIQeBlm+G+fjakhuChGlx7JP6j7MNUKGKQK
9wrvq/v489d6u5xfXgwwpeDp6GJS1NbJ7+dOS9C5nTNnLOeQ4zZxEI06vT6sC74qO9jfMQLbtFxZ
wCafDVide2bJ/S8urGW+nRjpt2FjG0dpZ1PA23nzVClkYwi+GdGB84Jcjn4hWEz7cLabYzw06h77
tPniEsFYpynJy9XSJFnMf84ljZal6V5RxRydQhSEu34MBQG/llzkui16utMEyc1zkXTRKUlb8aAK
O/o6gr5/HyyFOqtCAiQJW+k9+lCgTqIM3KtRmiy4XTmJB3qfvUfi/+aBkIx1nVBxNGzMJoWc7E/q
fokje1gVOH1gT5n95yJazBdFpuSM2X1RK9Ca0dcyMNzmVJVtqVbV2EQH1RHAxaMG7G5l+yT/oLPS
pbaqWrgnCe1lrwC17HeTbTftaiY5BKiA4rmvxdg706bsZ5toapAl59jmm+24LC2WHNOXIWHxrrvY
/YqlLxAwTtk2Mgc3g3g9pWE87KhldPaTY7IZory7+wIqT2yrrPWfgxY6JAAzzeTg2x/nJPNCXr5p
6F4ORMfaiTTpPyt6AYB5hPHZ1z/b4TCgbMW1aetKp24iqVMYTyhky5nnTPG+bZfp9nJ5I2/qt6JK
zPsGTG5+gm9aJMfIij37JKgNPOc0TSFgqCTD4ndZrQZruZI94us6sGbjU1WTm1rX5myZ66Kw1GFg
toELxw3oFZemmTw5c+p8GOiINuABmNWdLhqrNpnD3zMhgpypM6OdvPXTF2mGU7WKpFzifagIwq9I
ULiPdHjY7wLwogICL9e2tEX6UsSl2Fmydj7j7yE9xJemoIItLdW9O+EwYnYn5ztzbOfbdMENvvEd
K/1UeD1LEwLWe2sxAXfa+j4sdQ1sMECwA3MR9OlGzRYbGJh/ake1O/eSX/bqHE8L8JOIo9ey6ruR
xLJr4NjVtYAbOIsokxkfAPtdhniz7rjBthCxm8/JFJuYXAPuXmq65zsZJdCuhoQTAxUBxpOX5Fww
M3aWc2wU2SkPim2ocEjN0plvSUa1O1oSrUM8qXrbEotbL0Yt72O0iKMZyOoK16qzTks43J7ozLNl
V+o0wOo4MFaPnuLe39aObmzxqvy88Gpr6rj821L5e4gSBCuqaAaMmREKpYRm1Tjl3uRUj6hIQ7lp
zAq3l0C3JDmxC2dYNqjERb7mqqJApONtCsjylFnhLklaezcNSX3CKM0gwRhQ7ZFZVm3JxyryQK5J
zxe0ylFqLToHv7HrPEvMvmdGsrcSINIK+WrejEsAIwYg085t03de5AHP7RpxxQR7bQ5IM01fTfs8
LKlGVxYYS2V6BA8ctUrD5KFLlheK0T43g9FtM6OkZp3h8Upg9jkaZvCx1b0LRCsaALBzwFMNPuyn
0nZOsD4sNOb0JvFSNCbHexrH6KquGP70xFG2ibPMp6QoWYAdvUcqxXLjpbZNGL1r76206E7G6ObI
zd517rdL0KyckkrSMNeLSNz93pp5c1ismuER0UOAg0tsZyerdmprFRmxfz244Nzx08AXxWgn1DsX
7O5ungr0w34UYAXgE9yyUXKSzeRpx7JvFu8kZXfv8IpNj0tN0h0PZUM2ldL25Zz7ytZVdP7Oyfvg
S1Yyo5oLbz7i0gMCHbGLPjPIfwAqPD3407JsbTUMW/38cSGjwAFaM2osIRvixvL5phVHvOJsBURO
Ladc2IvkAS7hvPK6tWf6KUsR9GKK8ngi+HHoH5qMow/xj3xTss3bQY/HZDSNeOlkI8rbzuzf+4Vq
NxYO5xunVVTSxrRCZZveQ1DdYSYvr4ymy3dVlrtaI+52oMLjDz0C25U9zJs+jZgBToOJfSCYwk/Q
dzoU/Up06XpknTxWoUxOdsu+HYsvkr8aS27MjL0DR4TCuC8W6W/LRX4EJ+3C9u3H58Gpgv/L3nlt
x41s2fZX+gegARMB85pIpCOTVnR6wSBZIrwP2K/vCdU5dUvSbWlU9+t5UhmRaQBExN57rbk+lJgy
Zn0Qtz+bhXSeppFW1l6XiUZqwDitIdOcx0rADvWyeFcY7m1ihJEIW1VV+5pqnAMVtHegWQiktjb6
9mttum5Qj+l8apQFj1ToZy9sScLFcXyJgK/kCFM6xNPk3i16hpDBLuNTin/wprQpWuOzlmh0H1Tu
nbioxPxIEjrZhHNFntQg3qdF724doqCOU1N2W7dqzK1rcwvYaUnQTxjJ/eiQ6Wu7agiQkIqHjFir
m0h1Frk5RnoM08Y88w0mW4sJWgN/aj9IyY3tlWcswLofFp55EzW5PCCrtC5p9jHZqhd5H8rG2Bbu
WO1zfal3OTbM136NSmShafyhQ13tu6pacaahdPfxUJqEYI1ocqMuBEyiT9ZVr7vVNeAxjv0eYQ6w
hLS0DOZMqwT5XQMU+qx0XmRm08Spmuhi0qRbbcNQ5McZMOhXRTl+ycSnx1imTS79a3A1PkYC9nQ4
T+0qCZNXVOzYtPAoUQAY1Sk3ZsXTpWBZp0V+U9tSXbsEGhyspos9P/HcQzEt7XF0S7C0RuheVHis
z2mPV0pEQ/GWlchWgwwg7pOIgNradpp9eLIg6rx20MKTj0MvKc3bR6ervxT86qBtKnSbnlxM1Jvh
MrzqaEGJd9I67RjVPWdZ2HHKb+JSbkVKPBjonsTXK2wQsk+CrDDfR+ZmGKvqEK+rZ3VwwqP5jG66
enOMcjgBTUBm6rEHonxb9rNkso/iWd0Y+tC9pW3Gmt3k7BosAm0WKYyoTpPJB6X3pQPhFfe92Oii
nOKPWCMaSkE/gzUjVEmZpLQP8EslBNXavEpG2T+Q4Ty8iTZx4c16TBHXDDLSOvXFRXEoZ1jQOFjL
ojxotphPCN3JVy/s4WlWRnKlZ0Wz1dyB5LS0WSXjY2b4nKJwmpizs1V5Q1cDWDvBskDfeFdqOogy
1c9iTPJtno3sGWiImf8D1bbJR8+qeIVFNNPBCEd1MlpS07ZKmBXL2bxE96AVzNmfpNkfmVuzjRh0
h7gvkUMCcVngRuSevvOyiuvGprAHT6tO9ZL07zW10SpLzbelVvAtMHH8EqJgIpqVI845dmqzxE3Z
Tgdbt+ClSNN61cxa+zDx3FyGLjlGslxS36j4tZOYvAejTGDJ9LIFMS4SjpO652N9eOBgHAYqtMlE
y5o723qMEMvD7mB5DfOQm6p41GUJ8c/V7pxhAmbilAuSJneHN84GRE3Stsj0YjOtEGjHieONUYKD
d6mxN6W1gnSm5C3LzbgEaMOsvY9VxVYZHfAImrveHr+qxfL21PLCb1rT22WG6/hZYZ/MjvmckQDJ
Btu0cxmR+tI1ta0Tcjvr6WRczLLY94vxutT84rjq3b05Nxko6Dkn3yKZ7hubGYxJiMsZmPKHVqPg
aJaiBCsxmKeExm7AfGI6JdjbgevQHjCngeFq3fb7OlYoTBTkfmp8dh0OQicC10TQeQkgqVF1l7qa
0svMmPaZDXbG4sDlU1Tb+Cen6xE/2CYWk32QGNt9HbgTpUm9zXtYSiZHwZvJ6PSNygHcuKr7qlqt
CmqSGvaGDR6paDxG/Vqxa+fahvFA72BBcZqO3S3RYq+JLXZVGM+cU7wrMtZOhda8jMXCUCw8qcp+
qNvwzJJLwwgxyIXdLh+g0h4Nz7tzzHJfc5omRz5/9fQE+ybUGMh23pvB+NxnUIS9UjPkA4hMguYr
823yDA5WWsQiH5vH3G7VFubBLoWYNCG+BkhovxeDRx4y6Gs0GhoVQTT2/dNiLe/TkBxtQDyI7vNk
9Gdvjp503JHMRls3O2GcghI2z5ukIhrBWIKhSZ4nEMyMsmIAag+6O/Q4shq4IF1yD58oBk3jZX7b
DP2zZrZuMI043AZqmMu+h8qDnWN9zGf9JK3EeYYWWKLkbWx328Vje0wam/YonGrKCceLp301Ghyh
MYcIkqvthZgVqbW7uJjupGl7f+g2suWTVoPoRoTvgYrcm4M5WhfYDrqOgGOcHje52a6/z2yy9BWK
ug3EKsWkxxRXcUc7Y8ZMlK6mSNVGT3OD4TH21k3GeejgWL2jXaleAYbptCpFSYSFHw/OSMmZeYnf
9mb44kZZCKvC5gHkVRkxABejEDFdCqmt6VaURRG3fb+tWF7oM60zjbnqw5cethBc+4YaozIlyXDL
dNWwxz26TTifiQCiSk4cLVBzY+tXqSaTIVDAr2+L3mFZGpm8knawVidGMg1f08Ucr1N7JtiWoJid
ETE5jLMxfEHnRZM7Eo5xZ3RSBUDwqESQvutvVTXa8qziYS15PVXNfkzYyVNDxsvWzTVb39eG1R45
2/OrNbvUCDWkQEcXj7cRsAb1FQmjX+wcylHScvzbiLi+kS1Jo8ZQHss6SvE2Ve3RzDo20s4KT4AT
aApgyz67vUOPYJ3UfHu9oRZaMGPZOYYEJeypE4a97oji+dtf8dzCvNNtyv7KSb29I2G2o1OqX7tC
UYNNrUmXwLXG63Hh2KNRbDLrWUr73sv4MnFqS8ioqtl9axTX+cQYZarcbZ/RN87BCuubJIm9vebx
Fot4zE7Q8cq9XcjuqUoUH4BYowKP2bTcdjRebsCAG89Fr3PVEU3wnsepPbaynG6yifPuosX6Ycn6
5TzV86z8SedziYJeeC0p+5ohritfzmmz56hGbd/3uQM5PQtHgOQLXRGalywGPciNUMeEX4lBNscs
1IuC+19ftEuviupXmn/JXs9SOoouYUFt25kEPXqKlgymf9KQo6XaKYLsBZAwpV+BJpUXVbowIVsk
zatwyU7f7jstKZfdkHIFrIXIQYJxGNwq0G6bYVqBJH1chx8aqn2aIpRZt3m/fid5z5TN4F+5VtNV
5Qx8bTQpffiUy5kgg3JPMp0KUL4tZ2cOx+slB+5cVcDUbMEdoMTKhPWG9RfmqX0fAaQMvBi2SZ1j
rFJO7W4neHLPhc6PYP1oj065/t9K8W0Z9sQNa1jOfB74RQHOOk9um1HTn2NyXlJEApm3B+tERoDG
8dpw6LMSyEfBb2hm+LEAG7oYUu4ma+GXppNWvdJKLIl9hvn2oMxVXWGM4WlAnfgaxvp0A1KXR0eL
eYSBHzGbHFV4Cmujes2cDjceUEmEiN3wLYUqD407igM+YWnatL/CKMo4AWMa2XtlYl5St7RPylu/
3kLPsxOJDMt56CrzbszWTLD1gSXVJv4DcE/9ShI8Lw2oZjjlag6PipYrgnEXYQCxB36k05FTDT/n
tUl2weL71ssOCZyRUHqo+r3UXc/3GObtu6ENT7ri6igV8rBPPIFhP3t0LErSXdpBBVFlQ36jBX6u
yZF6aUdMxP5iL8ZFHpnGdWnZ4UnmFu9cUfnIbclyuNctSfODsai7letdMNa05mQtaSmAyRgIk8FV
iUij5y5xFv0tQoX+yihSq3C41jzTVSvDbUV1ivWS9dETfFPkO2qfkW+FH05Y84E9td6DrT5z58k6
POHugw/kkql40Jze3TquQ9nn2vHw1bWpkwn1MKbnrkqmL9PgMoXqOJC3tFLrKIg5VrAzkjx/aXRD
Cf5V9Z8TfXT/qAcRfsD6wbYtQZZtopGdSSRjs5ulM5PVVHIHDF4TvqQ2aiJEWFYbgo+jwb0FmVrN
f7af/6MV/51WnInJL4UON1/Lspvz4fWH3EPzzx/8l9bBEZ+wqriGw8gJ4Rn/9JfWwdU/Ie8xDMjv
HBlWg8RfWgdhfuI/2YyKSfWiYSUZZf1bOO59cpg92g7dZRz/a3j4P/CZMHL6YfjmOkKs0Vm6yUO9
Do2/7/jnhdXxjOvzQRLyOW+xhycG9ofRujLDCZMXyBOyewqaN8VuVHbj0T1rWYPW0wWe53ZMfeIY
tLVuULncxgzAMD6RhbptPcZGKuTQa88XxWzoWxJXJmOz0FHn9K6RJJIamPwWO+dZ0CwiHHByzzW9
FAAYZgAfb9lryJgeQem2J3as+IqJtx442rI8hGh3wZEA/w5aT6/TNfO4QdzYTuVBxwbqbo1Jd9im
LJvOhgGkbFPZFmcwvSb6t+inkMZpSbjTknzVDCN6HxmsnCd+5lnOdMk47XrikuDnEMOv0+k0Yi3O
DpteRrAHtVHeAGHLL3CLpNdJFavzMHba3ghTUvx0mgKbSg1T4KIwo68fpYOPuzbyp2nsN8QKwFct
CGXBMR/SbcslPeaWr9nQEK5vepNIWqTifVA6tjiYeLoDDGveRiTCONEJKm4UE5CdspfiVl/y6ibt
3fY6Bq5rEtqyRns7Zu2nYCH8bIydHdwaCvpV9YykONKD2bHHmGCRmmKwlPqT4TjqkirmuZORuje6
ju6C29Kg25pwovHr9G62L9veepzyzOSIv0r6OWBN/sDyeIYrl2xnS8/8Yt1HJO7aO8emjxbYdihP
ljbqHxB4ykAUBuXiTeHl5bYbUZWKSL8RfZ9UPnuPtWLs+hcD4PYD/N/peuhS6XuFHWidq3xZZJB2
sMfvrXLKT0D4wkuP+eUtskJxzoT5lIzC3oIPzKgk+3lXYoW/n3tcu7Ymi8OoFzQxSJvOsjS9C2lS
X9OkdbbhJMYjBu59llpuADto9ONep7Oz4DDjhFCFh9QLJUVpQWdlHN8N7Dm7SgAL38QqN+64yRGy
TVNz7Baj2MBLJh6OQ/w2g+GHtFbeVtxtvuF4F5VOW61wG3urxd3zAit/s5D8sYvxYtKpcHmXXSz9
qEcXbPRGcsqBoT8Lx4mOdR6vabx1fZ5p1p0cAMLbVIuxa+B2BvnbxlfW0HDfcNuOmwmT0r7GZrvp
yzjZproIST2yexkwzoSXOCq5QeErqmhvi4LY0wc3JHZ+13HqoH0ujUXY/TYd4yh270aCqeyazr/n
9vemiZvpXnaM2gXK0Sw2Hg3BvUBsW5pQU+rOLWDgMH6axMI4vSdYytqVXsWGnWMl4PWH5MrDC/nk
Was0I0+ZVPltiF04EEalyWc0jWV6HKsVk55jC+fTwJXmTNpC/BxInU7EeK+ypKe7E0Vaal0RTDWk
LxkUgKXcok8vHZQnsjN9ymRvQW5vTqxsfRJFL4WRRODPOJtwfbSq4PYc8ZIH07wYlOuUM3x8d5yd
aJvj/3CDprBUFh1m5YoXjkmjencyz8jsF74jrx8IilPVKVGlhc+gDDNl8YeNrBQniMRIH+u9Cj+X
GSp4X28swvBM1eJVRvI0/Wenhs2TqPl3OzUZjmyd/7Mk8err+F/nr1PyXn3n6/rzx/6ygyIv1AWU
MhrJNjkdKIj+bQfV8XyhG9HFvxlAf+3TlsMPsXtiVGSNZAbJ7vnvfdog8GNlibCBOzreLPef7NPy
B7WBDpQNQSJQN1jjHBbED4P5JqVoGUFTXrZmn8yvomLICybYUQJclKeVHv5w9uL5kKCuLbTj+vTI
li6vUx4gbOt7ZLzkwVvwq3xNr6U/pfOwXEzkdH8lYtXZJjYo2qWBzx3ZGZh1SNizuIcrCn6LqIDe
NOvuj9wp23yjzxEuuCBbljT2rvVEU87tUPWDYQW1rZgI3VuAbJRv04LRX3KSI5OZHDONUNw2ruA2
nBKsEP7kOij7h0LO0JCjBaZufIk6uand+9h0loqTxeq1NQOjIJip3TBFKLrPnUuaS+CmBOzpT0A9
1NLvy3pwzcLv9KLUL8gIyHB/6M17DC155zT1fCPNvMQCMo8pP2rP2vKlLhkY/ant+c9R+XcPIEv9
L4/K59eue32PexqWqvvuGfzzJ//1DNreJ47KGCJpoawnUo+H4F/PoGN9krptSYnmjlwqDst/PYOc
lVf1IUxDqIffssX/egaF8QmvNo8O9ksbbi4P9T84K/8oxHF5BdRwFqAvXuwn+ZhnzbaW1Vp9ABT3
EVcRLRu3wgvj6uM/FN+tr2SyGiGBsRGrrqvb31U4eSlKgQ6AVzIXwnH0mtu1mjZgD3r/bwvh74W3
fF2sW/a65uFoRX+3fua/+cwjpcGshll0IEG4pxTXr7sBkJPdLI//+IVW5RkOVV5O57W+f6HByQ2v
ahdG0F32keXZBxzAj5Q//zcvI5G+Olzxn66RIuiGA9RUH0KNzAPPbXCdofb1syn5X3x13KsemkUW
UZfS6ftPFGEEFFXMJxqYN19OaAOYypruZQs/+Ncfav1Nf9dHcpGQvHNI5zpB5PyxRHMG5BwAj+pD
PNKj42h7N0fTo6HNj99gvL9+sVVa9dOLWejZkF3ZxHz88LFo8Vc8m1V98JqOnkZXtIeUrvCGA9wr
siEmaQKJNn5Z9c9vRbAKFhswAl4Erj/c9HDQe+JxyvpQN0l13yN1Z7aoZSS78E+//ow/bKbrXe/a
1ECsCg6BXM4Pm+nSp/2cVEV90HqItkzk5wBuXHj/61f5/6wX370KS9bfny2X2dWgEWNz0LxJ0hab
HvH9lKdvW+P/7ZV++OpGJM+EuPJKcd7PW3tKXxekO0B+f/t4fZOqf397YFV3IW6j0BQmtsrvPxR2
aOkWVV0c6sGstrU+aOitajXdLJQRgRdSOBlea+waT8qDjoFsy/nfC6xGlKehkQxIx4osFXeKOAxw
nH534gSr0BphtAroSRPIPlDgWMdoMYZz7SCnYMLPecT0qmZ13xpYzUNshRl2Rtil8uBMBJvMrWc+
EchbHWWYhl+GYpiBB03ygJU3I4WF7iL5vi6alcmOfJJ2tIIk4cndDg0hOkoRYNFneRko5GH3OIPF
SfeW8b3Bgrk3lM17tw1eJRXVBTKOgZ6H48ZVMIsctmKGZT3peD+a6YnXgrbJNmOkv6sIeyRWbKkI
FhDS9kknW5sJqPCnTWMpxpthW+8aPZwCzPsuo4Na8wudT7cULFzId5TvqNIE2sbiEkcJYHCbLQCh
nrEjIrpicO4Z1kngyd8T21NdMLdHeF+QEOR6CP1g3plPUTzIiyky0i+RW+WP9pjBae8IAGvswnwK
+exrGpVRv9SFID7eRhyUb5gle8q3rHm1Y0DRIElBtPljNyKGpO9b3NI6Vl9CvpqLOG3qa7tPP3Qy
Yfw+tc0nrCsfUzeG93QoKmIh1ncPeGE18xNT3+JZXz3bkIZu0gTaeIpI78iKrnyUjcl+iHILqLRN
RnBu9iV9VmS4GwKOk6sIUQWDpqj8gNNlXKFm4kvsc1lST42uS3o7t31OVvNp0UP3Ei1VGWBn42P2
MeMgwWy0aOros7uYfKTISbIv3kKTmNQACn4Zw7TOiYYGP7K0dr5PSky/OJiH2sNFGw7PcVhDtjeN
AWw24kNA2LZetpcaY4UnVyvl56nMig8AZdWJz0h+umLlZMTXHASDrMeKMv+zhQ4k9WWLmMdvBTG1
8O3iodrhQPUu26m2Np5ncglUOJHdPKG5hS0VZRrDbRsoe9Py2AnGMIgm2OKW2XPhEdRDv6FpV8eP
CvfosAcNkL56I/wn+sXD2XYqbPKJh4qlIy/lbmy94Xkhtnsv617lO2w3ZrJLawv74pISzLEBukan
ismi8bZ4nPxNAryQX63Bbfkou4cBI8cLkffywpnJyixIspKbttdIY4aEBEZzRKpkZFwJGUfZl4Z0
vRNkyzJoJ+pyZssfwO+8S4hv1ok3wvAzKuatNnekoMWFHV9FOHsDeJMeoAeuUG+x9THkzv3Ybeny
I4q9T4cWaVdcT/HXsvbkoczsNVsqZlwrjP657mbwpkVF59/ruREWRDQnSFdMTFckr6Z0HzDN3muj
r6pvnW3cTfdo5Q6qGhDOzsmpwCQc9CGjdrZC5zbueSgN/JfB6mM+D6r1gijjOQdITGRX7WRPLtOn
C92bduiOoMgtU62w2WZdBlxqjQFSOTc1qyIRFXk9b0vCR64tDpW7RuOpz3r4owN64A0ZOHOwtKxu
SAqGvbHuu7Xgc5tF+krolHvtkh76mk+de2sNa8xiNJKdBXb0NPXcUUTfhF/WdEJfz+cKVzcfX3YL
jxHNJ+8akMf43mkts+KoY82JRebeGnbbbISevyK5crdty/pBiolzuyRMPUx0sdsQKhbqNqt3b8Mq
ay+NsWcl+3bSQnfToL0q6BkhzseP31dbjOrVtq0IPUzW/p1JbO57LMtjjeF/E3mdzh1Mddcm+bVV
q2oXj5bLRSjq665Zz9WVSSAciB1W8oYEONCSws8cvh2iBRE928BZv626CHlfVOYaX/WR1WpY7xFJ
hMhVFqrkKpUktQx4uljjOElsNE3JqzSSuw5pkz9ULaRLa02uUNXazbSrh2TiG1qcsERB5LS+0LrR
77nC8AJ1Is0idoPPA5FjTHrKEhNEX5CCzdqjRaweo8dDnw3YnwZgaDsL1eImIrH7ygpN/c0zenUB
Z4DzaNVfu1mXH+ijgTKJK29feJF2Vm1ybWF9edbStLueJ/rKdJSfEt0an9xsdrfuTKCZWAx5WLAC
BMRoF9e11oY3efbiNG1BjEz8UUVAUpC6PPA8P7aDjqzGrRigRwVaKt2qr8XcoRqqkDqzuL9pskIT
67DpoeIWRy2JkWmTNHtqS1YcvXANRlMGU+OFS1r/ucjaoqt3C9dgR+2FfMmeVo+4KEFP5FN/KEwp
2n0ZMy0w4nrcKKBMCIjA0hDPR5HXcIukXrF6GfH4jo2OoKYGZFKS/NYi0m2o9wGoJMXGipgeI2wY
m2JTF+ZDV5jFCRMwZhlH6bVfuX1zgjzYM7ooZjPfEgFUOfbFPJpMw9l88pb1ryBh5q4xR7p+zKxj
bS+SoYhPePTBFaBQCQf3JAb6e5vQ7i0ohJzF2x6mhNc6H92cxu7GhZf+FQ4IaaBJ5BzpXtQGyh6v
7TjdSB119MS6PrtOhlpOtUrd0Fsh1SMVvQex1qVFqiDiMO+wegN7dGd0X1yCi5TP3PF+TK2JMFAD
ust6uBZrCuI8nMo8zbZIBN6E2yNnJaVdm8ETC6nFO5M0zS0Lx3ALMFVbpdcaylWC5tmrzXnPc2qC
6ElRjPcABg9m06sADstrFssscEYzC0wdHQKsO+QEjJyvQAUiBp6iVt+WwuxhWObWcsXjGr1HGFr7
TWZ02iZ3UDAQ3aodk0nq7s4Bk4CNymb5FhGnE6olGtCjIFl0W/OBD1k/EsrqzvJ3Dpx1QPZ9rYLZ
l9ofjxogN9Jffjhhd8sSib7T8wNyG9YbcwT7GfVIQbCOs8pxtLyaLQ3xmUmrHc12S05li95FWUVE
QJ73u0LtR3OXu74fOgSGQ4eCYveHIteJyLtkQIUzvTAee/hjbcaaOjrYpfP+LqTFvPv1wf+nytAD
R0dpKARNxjW34fvTeIc0o4jGOkfoxCGsDHvGBmt0dVnG1YVGcPTx169n/FTTrC/oYA3CbG1Z1o/+
oJLpGtr0LGdBQe2wYZWotkmHh2WbtsUrFjIvyPAdXNvSHW++bTuYlkgqjAlo2sWkVPphRupjtTTD
furY13/9/r5x8b4rT3h/WAlxLBOXQCfph/KkXqOHXATfh7goxKkfuuKjsuBob0YIKegREYdPxCzm
PEhxSjrgihPeGBnvuDY4aDPkfOUoU55ckwHibFJ5kkFMAErOHOlCmAkRL23aXmY2yTGwbYlMVH0o
D1HIqmxNFK6BIJjw3hK6eLVsvN+AW5ZhD9/fuZ1Dgw04BBj3qCdJ+uXbrkg+m+f645KZ8W++i5+8
XNyN66AYC6dtEx30kw+YzDxUNV12UDZhr1Lrqg3SRIw/lnhuUHcdNI6NG1xD5k4iX/FhYJ5+fTl+
qrM9JtSuKXkjOK3xy35/e6oZy15NP/bgUW/vJVzxC9wLv1sGfupY8Co0KkzbcoRJuNIP17xP+iG0
yyo52ILDM2NTHE70of3G9Kgz7KxCF5NSPCAUGZ5//QHNn6bnHkcUkLbuOsgnQOmH18bNKYY2H+OD
AFQSEilBRKwWht6XoudojNRSzteeRlwwNrHHzJsb5KZyRFc3yMhXFbO5db0FNwKIxbWCSNUcJ8EJ
Hzh/e5dpVXZ/NOGqGdTCjsL127v/T7/6d/1qdgq2kv95YHROyvJrV6nX73rVf/7Uv3rVrveJNDZM
TBI6J025v82LPOdb1xn5EDJrmsU2r/Vvfqj3CeQF94tAe+2Z3Df/r1dtfcJvjdLDsMju8fjN/6RX
bfCAfb856lD2SF5AdGTyBhlA/dDksrjdC0XO6kWpa1Xc9D7hPdp2MvDwJsqY6gDqniKV0cKoskM8
xvTGrpX1dZpyByPZkpQbzADdeeI04lU0LDiHTksuBILh3Mq2Y2e8Ra4ZPRQT7EuM6fJpEEKdGz1S
Nwt4wXCXVCmMl4oqAgMb/9Mf7Mmr9xpBpodWpeWFk04LtSPAoFZZb9oowvlC7xrcE8I21eWQEpvy
YGVh71x2S0OaZo8LGJi1KKz+j3SZW/Rt3eSHNoPkNRR0mTuIW6Dyt1arWzRprP6FQmkkCQgijXbO
rEQuG47JDgGiXNv7CMC6jb6fYj6oSQZ/MGJAZVE8ImdvcX3YR0aG3R9OWzX3tujNY+eoeG9O6R95
w1E/ATHE2KlJCHsYTHMPZfTznFnZjQ0eLT3wV6wzTLOw2GLRTA5MieEaUvRbgTK01wlHHtnTaTEe
287RVraPFYAcJXdhcKEwL7HTSOhjWneHc1KeB4+0ZZhOjnHsgeVXF2rxiDIvXOe+Xt12rZpN98jk
zdJgYdcyXy3CQOecNkyfh7GNAw0erp+xd/IdsPY3/VSebCjLaMkdvsu+GGEJYlHTN9k8jxfojyOy
aKM6DpzEXu6aMhKMEsOIpnBmEHqjCPrZmGo8zPgOSxRwM6YtQazNzp3D8CCwqT3XC872zQLU9bOX
EwRK0AcnIghoups/JmC5ygfGiWznQc+pc9KCEYdR1+3XfEi9O8aRBPQOzkImxiv+iDbiymHWkDL3
gqIThDXX4mqhQCD8IaRDRsPjmAzLHSIEG0UnVpcsW2eJCRCvjYCY4scEXdKrUGQd5MuqIuqkOQb5
EqJDmDDOlZrzOZvktpAmduP2jDAj3SyA3p2kWm1iJFfJbC+mIjw5WbkrmZc+gPW7nTgYkuLHO6Ty
J2x3mF9AcKBWdpJwFw7zPfHf3bFp4zhY7Ca9bAoNXLQU2Y4kIPPEFBcINWVB0GnUq0R2J3gL8mo3
ulVyoeXzctQbHk0TvdSDN5tfSjQJfmNEziaNlUbBlw47HINKoXEHhQG7/K0lp+8EkC+6aHCu4Q4s
9IAB7Z6ARr8TdY9fA7B8pjXbpNAgCjYaWFASzWPQM/FXuTTP9BoRdoZVzVBIx78s2sz1mcONWzb1
6LJcTX9dMtf7Jl3uVaJ1a97UamWUQLtbeLu8+/SCWG8Nh+wEvN6wLFAZa/vDxRxE+RCPh4bsA0p7
a1UNK6g2DTWhvG+s/C5zk8vFCOnS9IA1zeVzYsOo0jsUMNF4h+viWEJGg2k/B1HKtx/Zse8O4qFr
mr07T+fU1FBZIXzetXWugiFc8HyF4tGm6N+MmCSw2uZfc6Ejmy9Hm2513N8nWnl2G8MAa4dSq1GS
RTBxz6KmlZQW04TvxTOQ2ZviVkdEFhRTS5qzN4zcW3VnlFwPe49RBfsXJMKD2+bvUM8IpDZ172Sz
XJ761goxclvpVeyp9MDej6nSSYzbKG5uh7QLcGtv3aUqryb8Aa/5upplfeigTYFyf1HXprhLzMY+
VTWhP1ywdldPtUcLIH7WtQ5Zijl9oJXCuet0VJ9Jk29IFiT8Vgu9E6cxK+hY1m+VNa56fNs7ZikZ
1nZ7u87sdywTOM0IDXL8LrPVE+tKvzUHJxw2taXSK1CbSOdVpvY6F2qnV01/JSMZ31nT5IGN0++W
VlO4x4qXLsK/S8YuzYwCSRbgrykF4YBU/g6NN6sL5Rlzx3SXWkiUJW6711gkSHpidocm9OlAoqRO
1eec9t7OLJbwnnDVc601rQ/gLn1wtPRBRh7yIm147Rbv2Y7MI54mHHxGX++KPAcFb467DpsHVLs9
gkZUu2kjrkwjavaj276XaIwDrAPdQVfm5zp0Mm7gjNqY0GDyWmBwXsWGddd79WXexY8wCslfzBds
MABZWWkRmHlf8PgRsysIkFnX0lpzb9zO2ndJOt1NXDq6F0PU+Cyj7pcsjIznXLr2trUcHjUNOzJ4
J4TqA04XqGuuqXYSAAKIxtTdAHtJGh8CXexnc+7uabAsx7hSB1WnpyEJs73KdWBRUKM3yaDh6SDC
Ygk96mDKcNLaRC/eBYkhLNiUR1czPtjbuIB5ujhtc8771VU6DjiNUhm/1bSE/NHsL6eEIIlyzB8M
QcJbWJ09XL1bK/XogLfqfpi7K8qI4n1AcYmg6xlERB4MfB66xlXmE6ebXAyzdcQBZ+wE6kST/F+5
XE1S5AMdHXxPJGUYFzKR0W7WrHnT9ZH1grW1vrMwkpQIJRVRFWCzaCsVVnkTaQOthqqNbV+xr9XJ
CDqygrYDpqjelX3dX5pRGfoJYhVqDj3Bwqo9xNq4bs8jJASbhClXXo0MqB812pDXelQP01bMuaAh
MC9pf1emmnv0umw5TYP1IAgUekN1pkWHsCj7bCed0eo2FgnS7UaIah4O7LNmMCjvHWTpjRE7NH/E
qO46Wd6Mpab5TabdFnPcXzODflrV2nT67eoEcu/J7UT+eUqwj2iGCgw+Hvr/vPnC8ioOI22g13Qx
2mCUYXu0MMYFaTXEexsdHTCxGrkluEQmT8PL6oQNkNlr52gYs0dmNyAsGFJ8oPiLtgjlzI2MrfwV
ivp8TyP0v9k7s93IjTVbv8p5ARokgyNwcC5yTuWguUqqG0JSVZEMzsEpyKfvj7Ld23Z3e/cG+uYA
DfjChZIqpRzIP9a/1rew9/TBq8jcel0Ehf/FxwULgtej8sNP5FMZk+3TkGf3IR3eKyHYaGlK8cYd
L5hcCS2yHaEALsghP16sWhrc5fdaZe+TafgPYVgOX0U7EKTtkyvbHhdFj1s2cFcLIShVDrVDtXIW
oFB+QsWpDhKAHzNCGV8sOz90GW5Fw/XrLTXV1QP5m4b8dJD09wb0v8Pse81XYw4PVTfpJzg6zs6C
SpyuqVVPz2XXfW+y4IOrc84a0gs3vYr651Ra9C+SKaxDpGwwDekWZZ8bRBqSzbMFeQXXNokjVtK+
lkKka5JRzVlSR7LKu3Y64wwND2NlafBtzQcICGvd6zy17up6sB65QLZ6K6hugUDSjQlRwzJud9Ra
ZNy8WqN8bfxQnGJvcnfkSNMvi1g9oV7mRNhRasRjkQjrvcxd753unYREYgf8NYJqaFCptJ17nnOb
TRHVLojNrPxu/H42ACEi1gnaSTioLH0huHThmuDcLZg82JWkQ0wzVGQVY3JSPaDurBjix9BgELUu
DFrrohy+qHA+op59ryLP21NQ8w6bh/1jV7OBiWLvGJESw6jqhnQ+kstSLHWk060AMBBdrGg6007/
DRQJIv9cwxeoI4GFHA1fAVkjAl0dEuczAo63m2RGfhCd7YB5lQic5riNlLjKRIrn1PHUPq+94JQm
RQUWPylQ/MPHaaY6ivLZB0XR1t603uFDMjTJqNrKInombwYsm7R5ZDh0nyR1vWldhWAroxvlTeWW
gtADZU/FumD7tApC21pXBo3tqTOQNdMNlxScuA6pDdKYSCJzlnwbw+4M+ijcmQFPcxHWz+hC1RaH
EPbYtDiNmFk30goK4FiMh3ln4PmO/Zr7Yl4dq8p5CEc6TbxYfORl/1zVk3treARlCs4qNjxW0Aql
A4gAtrEDYVtg17sYSg87ylbsL/RigWTCJP6su7aA6i253U0UwGCXpeusWjysLrt3W1bVmVzRM3tN
vata5rq0itLvmbIwwPsz6xve6fh36SZyaAHSQfTsW/mZjYpzVQ5L3r4pfzIAt1TitFtLztU6MYDw
ame41Umb7Oa8L56VI9NNzg52xyI/3DpgOBi8A3c1GTIH1MIFZsKGsAvhMl+9IHo3WxVvwkwj/Y2Z
vgfAzSqy9az1lPtMPhb6LKb9a6mn/ooMjXO8Gddzq9gUO+Z0ZTlwQycmhBOvEmt/GIYV4LfxDPz+
e8WZI7eMVzuY32il3/tW25856k48GdluzOdjFGTDdjaMfZ78NIKGlKJHY6vVyvrQZOquScWJbDmX
yKQJ1v2Qmru65og72ErsRTfs7YqAgpDyRASDm6g02eYGz66fiJVI5zft9x9RHxNhzHj/VOK+7y5+
FT3DCsbwrMv4mwG+aN1DBoDfStWP8M9zGLwENfuwMMRpzg1yZcdBfY0iMMRGaUJgcOp7OTKhGa00
110/t8AKgthkjUVgN56NO/DcxIUzeADcFmTEr8vdoFmZRp3spiBoj4p38LdJQRHO0GYhaU2rRJDW
QIxnq40junjNK1lU2zS1iiu3LaAluhI5Q17F/tNOVHk/djaxWUM3y7o528vUiIGq28pM1hW7zld0
3HRNtpZlr1s3z2Mf0Pw2JMORyTrDwpGUeycsnR2so/jE5t/bqbJ/mtQcr5oqvMVBLu/K1LB+umnb
n+Yk9W5IuauDnU9LDC2adu7oqCenZLcRKPuNc7y8EL/jkB+blATGwM3bKj4LzZKGjKJ7QSAHNTRr
GqcA3WxIsVa7wXeMXUdp50ZB3ohEWe4HYuebWBscrBY9OG078Gv9ZBBHN29ZIwRryHrgi5M8uvXw
NRxoxX4Pij5cAV5+8+OcZ4zB9lL28KopyD4SZSWtPA5XWD0LZCnxuR+H31gRpBvY0GIjC1DQyH0l
o5CaNyP5AmLiLBP57MSeZuTj5L9zbFmiDthsgbTcYY/Nj8yOR78oJUyjYthxuXK3XNEnXnq33ObY
NyR6NQeq4KGXhrPnOIzqIrR8HbIwZJqm7fLC7Zo70ciJ4Tq14akk0kE3oXQ2duS7qz7DBYwdZVVZ
dsMGn8y5F+fpoc2cpau4lqusa81TlzXdTVuJn81MFzqJi9VyvrDn9Gpxdd/qOS7upOJlrDIPqEmG
VTfPxzXEZ2vlkV3dZE1gnEZH0jxX2KusKi6x53+hgLSlt89q1rrm7U90Ylda5j4e0Tzo7OU84ybT
rs8IhhsBLVJp2v2Yq/req7rLVE9yBftlM8dii9LAWcsWcD6AkaHxk7GMoMR4ol2bieaq7JrRIaly
tZ2z2mVwmW5GPqlrevXwZfQd10jXUhuGwPfBl++p7x4Dp7nTLIOPoJZoTmiaE5foL3U0lDun11uO
W7yTLdDx3QC2gU+DeZ2t3t6DL0JKmbnxOp04qtp6YBFOLxZW5MHL1k2Dc4DDzlx+bRwD6WQcx2Bn
5/S21/aDPcUTvxHxx8wbOX0FI2o8R8LOMGlmq1fA8jmoRin08oBcLpzzd+hz4b2MDV7IwN03rMgx
fon5ObCcO/owu42uLRs8ubnrWpdwtAL6t2ZYNjZeTs8Bhxz5RNP9j8Bqru1sn7LAeyOitqvzt84C
oNAFP9XAtpd+HVbaFkmhtgg3jSzXlqzlhgXOz7pT2ZqGt29JYyTbhpUhbXDGOrOrCmElQC+ZQW1s
yhI9gAItRhdcCbKSdyrhAr1ue+XpdY0z9bboIS8YzPXETGOS6uPAwXxoJsUXcSevWb2uCHk127LV
pdoknb8aG+9UF9YJH83akxR19TrL+x1KTnzDLctdQWfyichYU9Nj0JnV3mHnHa5IVBH3z5voLuCq
Rnt2aymX5HzSsONdQNjdk8Eys90VQWtMO5o3QLcIK0Fugx7Cp7BocOADWA8t8Aslz5Eb1egOvTGZ
594PnPc2037WYW0JW1SLX7c6/9Oa/f5HdX0rfrT/d/mHPxguuM4l3f/78x/pGf7tcTdv3duf/oAz
ieDFff9DTQ8/2j7nW3/FbC5f+d/9y//z478V37Bc85+o8W1LL09a13/t5Vm+73c9PvgFSuki0eMg
/U10/807Hlq//GoZt9lm/g6T5n9/D2qYvxC98qFc2A5RTN/9l4IaiPx/1t0djI1wU1nleUKwHfpk
G/7BUo0k3LgZ0KgjHXlkz2OACIbd8tkgZolxqUsgBzYudizb6pZlfzPBmBgquzzD4pqeoaVjM6ri
lmIqLqvELUJrIjacRTb4ttTJNpAn6te5zhQdsa1M+/kUpf5EWLCt7S3NCfMl9KG+8VNykZugjWTX
ISmHH74MRL9uUvLsKiHLuCJD4T00BtcyJcGwBeOIjdPn561FMu19gsg3ML0wysEBLc/8mMSNiZDX
byIkss+GOMPBZIjj1MO1WHmJw0x9yInv9erRwhhDkR5TlsWMCNfy+xCL2NuNoc90aw5RnG6LPtZA
RrBPuq+JGeJsWYWM3cmp6kTGqnRkph3vGtsHEeHHwRhf6flNgl2VTVb8ANnO2xFeL+iGTSnp42ra
ol2RrDOFe7Sc5StjKwn9F03SEaBCQwFXbGRM+t5EM9E6AhoMJ3EMYK9hVaPKOM1XhRdhymexHb8X
hNtvB3+qIHXPlLG2/tTUKzSj4GXudWdwVRz1dgTAtO+9edPxp1VlDurDlc1w9Rkb23VmxuKQe8Ji
DscvO0aYCFV+D3oz3xeqAJhHRSVmzV2tBuhjQ+5xv2EqaJymBp6U2bxhANKwZSYjadDpcT94k37m
Zpa9mAtL2gc1uRZuXy2dFe4Po9TyIWg7DKahbjaAkEDjlVZ67IJQvEoyqKsxSdjZ+6o8pmDIbpyI
Zb5l5Q8JVpP7QXclDCF4cKTXG9K3o8cAQAtzONE2rQYFhyRs393Kih6KLPE3mpPyMYuh5JljR+uZ
mbfbFozfOpnTnIkYjENjWMk+Jkv84cUZOqSKlLwbDK95i+l8sBgCJvMaTgE3iE5axk2ZeHzXZJbm
vYJsuB8b0gjCzp+kUduv9B8BVbGd7CNl9/3FC/hQOay0d9zSnWPM8RahWhdHJcYfUQQHbEZB3IZE
DafVkMTdGzLfVs4pzRXJ6NDsM54GJ3Fvc9xYOzHMuGsAR1cHFTvZsQot7xJVvvWq4QVdLfpDGNtG
cAsyy4/sdCllcipCSX0V34rRrQ4UsgrQkpO+5nSPHoq4du9xwVhXTKTypSkT+cormu+17sWpryjZ
6cuyvmazk3/UeMuiNeV2PuwhMd/BCR442OBEgBJiDauoDnymig5ulmEgnRtCp5dgUuIesp2Hx2GB
PeZaUZhSB2m6RIjFbY8wcR6USL/q1tTDSkyjeamzIYW9kjVPPe6cxzT16hsB/m1r6DR8RdWU2Ma8
7tS5FVgMBGt5Y87+DPSySKjxNmHs1vhm991sxhtThsEO8I770x1wAbIkn75qaYOPDQHgZXVx7Nzo
klONu8GGa4JhWNZYZXy0wxpYkzkhbQqGU6f/3pcjxdlZmR/MGJm9pJcYba8d6EMviTEnpoaP6TXv
deT2JxOs3i53cFt5pTPey4qjZ5IF06FSvbiPpnF6AeM/f7iRNdzzhES3QAXBD/mTtXhniw2fkw6S
opaHMacWCAqah+rRV9lznap8z8vOp8WAvBD6Wf1dGGwe5qBAQdCRKbba05QRFaq78y14ciiUk8eG
gkrbgOP0z9kmlreiALbnrcxhBtHhqdbZcMG9flejF15t6rRegPLl+5my7Z0WkzGQrUvNi5dmwPlA
iFxJqNr3kx7ge1vtFJ6ranGs5vo2b3raTy0+qDc9PVWbGaG3gNvcMbhmVkw/PMeKOPAWUpAoL32D
XOMLLjWonieDyq0bu3GsR29iybU2iQGt28abPhI5as6LRgAqr2+lPABSb97ZGLJck3CZdBZuo6ay
v0mOzVQtuvm+oU3syVKSmlm/8682mhw8smYmxz5lzXNbAqPSrr/wRWrjra56VrVYQR/yFIoeC7nW
P5fjOH0HLConGIQNRt7SHW+oShz2UWsN16FTEGFzu9wFadN8GTGo3umFKQdbdd6LVCf33NnqV28B
0AVd6f+c0qxj4dG18DLC+DsKhNw66Yyehl13xDJ4mnTrbsigdQh+C/IuXOh3NDWSNjZboA/UL1iU
WIN0ytfebEC6SpzmS9RD06vAeByDT8Seu9D2SseiNigcmq9BXHrellB18S7iONiXC6uvX6h9Q1Di
nFtIfglIPzgk2C8nm/sbilqXXzvHxNceFO0lW4CAfdAiEFcG5s/OYCflZGjWuc9pcij7rwFZAuzG
C12w/SQNtgLoICVcwZma3umHKfq8XyzP3K4JTcSnfOyMpyRxvVcMSlx6PpGGSEXgDblo17gcF+ph
Z8I/ZJ8pril7VC5LRCjAwU5w8RZmov+JT+w/UYqwcjBwWnQIYbUM3rKFuWim4g0zXnUxqIl6DBY0
o2VqcR670OEyONl0WrHAj6PysryAN00urP3c9RhGy3QTLuhHXLbyGNv4dVRSVndVbItnf4FF6gUb
2TSVuzc+WZIhVMmALQz4vRTiUgUWmp1Ge++7sfPRJQoipdXV8wbWZ/houRgDyqa1YR0r64l8CDzL
ApTQXfZJubQHDfByQV9iJK7WoynOwScX01sQmY2JTOp4+ibs7GBrpUbzAy8yTE1jQg6OFtAmC6h6
3S7wzTKa2rt6zuu7bKqbA84q+6AFAsDssmIZPxmekaX8r8wC9pMGHYE3kyjkz6Aw+tdiQYBGWf0C
6RS6uQzvha1aye9ndswd5E7wcC4kUdlJrKsLXtT7JI0Sp1IRN+1m/khrVRB5W7CkNnxS2uzG04SM
xFsTwHSxYEyjBWgKmqc40VgF5ZQFmE+P1Sf9FEdCfyUj3HDwVWAxVXE7YNyo1xEroz33u3I3LDhV
1M5pZ6SWf7CrPLj9xHG5nwTWhbq+NiSidgOgtYeizyY5A9rqW8rKjm4eW2ve2fnd+Al4hTIM7NU3
K8bXoZ22GcetB08pesFnMR49cypvUSFYUuYCjFVMKwzS5pygQGb2PjO5rGCAYZiGQ84iurPN8XEw
8/jZzKr82bGZAR1MA86adVNzW2ddeJozj2kldqOj6dd4SWABCfwOFXcwJOPoiJ0MtUYvdFx6WdHB
YQ2mPSMmDXqc/UDpit/Aulk3WdgFRBOcowH2LgxhBZuIDS5ha3FBJJ2uYYMQG2Ypbq+4geBbjvM2
ZvB/mVG5peM9xQvvtwf8W6aIjjko4CLzrW8pXjd0jjxfNxGWBijQ3ou1UIQnw4eMNSZi04Cv2NZi
flPJhHQBlHuhEMOw8qhFhEzcNmxoqg5asSkMrPPYzjVHhBP4sGKby/iZl0Xsehyra06q/UbkDDdG
nt4OTkrzOXhka+EkUwrVryhnyTfZQlGuF54ywhW7gAJ5AI9Uvaqob7thcw3ooQ92ycJkZvFwm0xQ
msUnsDnQsJvpw1E7y2cfPC9k52hhPM8L7bkC++wv/Od5IUFPhq0RHjEmFGRbQG/4t3ohR9cLQ7rk
7fcGtmNLe0r0VMAJO9SkUm4QsM0LtJaU4jqI1PPCpia8Tn9FDZVyart5XX/iq50ezHTVxddygVuH
NHfeuia/nIR8nc7QRbymVmTXa5wWf/CQ/SdZ27/6FMlS2hgv2N3RXUBN61+8gkmEfJD2QXqURcux
zqDK9EbBKKV4vQcu55hl81EzS5XcsmGY/P2D/9W4uzy4Z9o2lQWgDKzwLw+Om4tNyFynR0tX6mOW
qjxT0Z4QQgizh79/qL+6PnkoQb4S7gGnX0AAf3moFDeUp5OCh6rtBoIutgNgu1Nc/fj7x/kP9u/l
gRzfCTn0mxRKecsT/oeTdlZNE24U2CiAaKcduSDn6PXa3uZl2t01im7A8xAmbMYnp3irF3c2V5U4
uTWiZDlcs1srt3//I/3Hl3hx2xFVg87EmXbpFP/jTwQHOkg6ThnHRgPCMQs17YVk1QinKCQ5ZcaJ
+iCgw+tsAUL7fOz/aWXokn6oqq1+dn/Wgj71nX8IRf8/6UeMOxj//2s35y0FvVX5Jyvnr9/ym3SE
S/wXh0ArVx5GYA919d+xA5bt/MKbLKC/3KEMg6/6dwXJ8UB00XlHENb0l2rnfyhKYAcwJEPlEYHH
+9Mzw3/FygkD5s+KksnmFj+7a6OTCcpAPk3If3yft/2cEbVK72QWYr9AjVwqnlWcebch3F7n3vEa
1e6rnCziDvOxFbooqKmHZjRUI8hHLghkPDMguC0qQSceEgibuf7qBsR3zbWXsT+thzKDGc4+9g7m
sfkd6sAI2MBvyzRYKysJ2FoCB4ORUyV2Fgz7KnTAKCeNvClkaf0UMZmDVdg2wbthZ+yIvCDGHuc0
q6qK57Xu/PyBUEC0hws5bwTNyxRGphVdw8Lre6xRqshgJ9UKJJJwjGffNN4Drvu48NjZsLj3r5D1
uJ5DHTkzp6RHf3D7byMQ2a1jUn4IddhLHhRloMmmrfR0N/R4YDa1PRZqK2p+41XQz10A3DevN6GZ
0HoLnIt6yeXePHrvKdan53bwEnl18SFuUCT921SZpFkmzhjpOmd5vyZVsjiWQh2yLDa7FD+F23Xl
hldieokmEkSGGZLGnEg7PvqOiMJVW034GQgmDsfUi5LTPGr9wqnJcoEvafMYl2LYhrgIy7VpScwy
PhyDGLehqL9OSqt1HDeyXQeAAG6MtjTJg7oBpSxFNBMEzEa/x5CydNQia7BP8Vnbzhu0nlZ9av2v
XT813h2/iY2/g3Ca3hC91RtqHllImcqDxSaTn77KHSJiaXZoU6ffjbHwNlQgkKuqEv++mR0dr4At
xht76qr7zCtAslXMB2bRWPdY3EcmOPjMkYM+CcXX9b6PNFdSxVX1V0Y0thjJVBUJqBciqwTES6M+
w/+S08UsyezUN3bmjEFNfqhs4S7xRDB3FiiX9Z2TNUl1nNkjgAUX6RTDVQpST616DKBnEGsoXCtk
Lhr2MH3hg9iQv0zZywLUZetgDf5jUZfMWb6B/xjE6OA3ND235mZKQg+bgpkwnuBd82kNY8KrbmQV
qfDs1TEIzMafgKnlfuav8mCinXJw07hdR8w0V6KY6Xko0Sy9qBzf7GJZYWTt2G8nYiPTUccUoy9w
sxLlLPfMBKcsIWiw0g6GmI7DHhmyOTY6svKFvyvjNL1L9WRh3QDUCrJORQWf7ChgaS7qiZWaklU/
rusI9MN5hgreEH12xLoCNCU2NcF3a22WhppXEihQfOeV5tKFUvSFf9FzMV45s5t77pr9JkGQBUqF
Ujqs5cI7zQ0/RXGo8mE3RBHEdZfdqtoUeTC+2Glb7WngaeIbx2wf8LdKyoh64wMfTslnyvDITwau
nNxrV4EU3HVNUnS7uJ+qF03DurMKpj4BpxnY1d6JagWg1XTIpSyu1+7AlWh6dNAsq6Pteh0+uTyn
ET03MR0dP+kAoqrVz9Fwnt3eC874uNv5ccjsoT6MMMgqbM+T3gS1YZ1Eyyg4R9K+d8pxSfQ5oSy2
MuZq5vZ0tWZTI/ezFsENVq+JkuTR0PqsrbE6+aIt5w2PlO2DIGq3uRVHZPt5rapdDC1vY9OJcU+R
jznsRA+I3Qulfao8LBEikETDjbSmvYW+RsSe2Uk3pshtXufMieW7anz5JtFanoXKh9dFjVNbVTkO
nzVHDxtDzmJbWJ7RHVUcU0IieoygXtLG6sQXONgYAPbmK5IwlG6svGAmwei0hmsXTDggSc2VxMg2
bDQ1g2ubZCmpH0/FuGqHejhgmBTVNuqKkS7jyiWgcqnKuifYWNLNbk2x+DKM81eHt3DHepxmP1ij
pn3wgtG/93Bfb+IumrBKJc3Rp5vc3JZzx7BluIRNKz3qhzJqnSs8ZqhohfIL6zKS/r3M3YzrMmgq
8dJ0+gVdbwhXnZfOLF/TKA/Ww2B2Lf58qftLwUrvOk9W+8D2BMsLlGgd30O4iyjggYE1zdOhEOhM
rlyTRo+jm6blqnF1guy3bN3/zlP/LB0Dgokx57+ep64/3tVbm/05HPPrN/02UYXuL6QxwTSxDFs4
gMu/99syjiUdMDUim4DRfk25/L6ScxYAGzHOwPNZx4EAZQz6bUUH7ez3/eNv5yxWl7/uI/+Tcxe+
678MUChipst1n1FNeC4/2J/Hcj5IBj3ayXAWxRwOyQW2vW2zgxdOI6fyPPipMyFTp0sDd9LjGCKu
Ty+3uzR0t0tXd14E1HaX/PgXtXR5o8t4Z/1Z8N0tXd/2Z+23LRTmW67JL87SCq4Cn4LwYekKBx2c
Xu2lPzwjHoAJbqBVvLaSFhC3K67d0jke+bSPm0NQUGpOU1W3dJOHnzXl3PCyLyQtxhvns8ZcK698
Qf2OyJgmhr1qgip8yJOgeFB2x0aENvQ2oIAAWYYbQOPODwAL1AOSRrRDc6KKPOr01hhFd0NxCLPZ
KLI1gBO9dRKHY2/Kluapx7j85vtFQ3q/ihBqZ486j6Zu7wDFJV+bIuu5eVSy3oh4sHdh4ltMQk3y
4GpPbgfTGWImoVKfVTza56BpnzmcA8okyYQ92hkEsrOo56ey6zNuQvo90xrLmxgyXNjGkJ6blNYd
vIRu+w1COLzShtfwOc9kcQ3GIdkZXTLfqILDIYOFANc40BAhywx3pAQudWeHrTwYeXyL8UbuSBpR
jpRw2WgZ6Q/mWI2U7Zb9uTQoAUmswqNgrhinx6mjUz3TdAlQAmTfBjgGDxPn2IvfmOPZacvpwFlU
vLE8ZUwIre6RBGSu8f4Y2RaoMyZrlRDDKWqnv8xWY+4ayzc2XGPLe5AT4rGbnO6VcFj+c0KzeLKH
nu6sTJe3ResaV8oJdjFE0xeeK1q9OEeGd9Aniheh0mGH3FRuSlQu1o7ZvB9N1yDTo/T3ZmzbWzTP
6ix1p9ehGFLGQd44yw02DD/Ig/T03ykL/70xixIpCAvl1vHK5L5sYcauvLDptlNEI11hVriOAP/h
lHTeBnsITiVq/55TSn11lBWv+xKWqmHP/Zqbk95pywCKMRihPHPTcw55XAcHk2jtD1nG8o7hvOQ9
Fc+3GVIs7UduZHxgmwuA2setRUXX6OHRR0noTyUYQq5fSXJDlx+9jkUkN9LI3Rcca+ZXpaU+e2Fm
UofV9pfUr4FuVnUz3Csjnl+Z622XMavWp5oR7SlEN78NWA+roI73w+CXd6nZdg/saOxt5ooO9XWY
sZZYVukzDzY92NCO4I9H5RRnJezbI3g3LzriBYxYV0HeBpwPBJhwCFJbpBsNI4UR7QuXkfpuKtn4
lXFjboe+cLcpzSIXP7EQ4Fj+UYrepMEWra65LeIivlWJY2+8xhPfchpfSNBj/vzaRgnMAB300yM9
8IK2rzI3QLJYycH16NzsZ+rbmdfBGawHo3GHXckwcgs+ibSK4UKfuRrIvV98C44iXpcqqtdO00Rc
SVIE8bmovucEhoNV7xX6Ima/oGMjc9MMbsdgfImHlmCztNwwwtgT641ILQn3QcJF2UG4nTknBrW+
t3PT+qqoMuvX2JdU3exyr3JNfbEwJ2vW6CIuUGJ2tD3ERbiOx4nTICskwvqPEb6qyXuO/aLuHjqR
9AOBH5BF5c1c26TE1l1AxqbeOIOdjY9K6jj4cCi6oComAWg0us/FIMfG3wY1Btid0fed/D75dW0x
tPESKW5c3Nz+dw74Z3MA+dG/nQMYD7u/9LxDQV2+53dhZbnX24KSHpsbPqoDEdXfxwA0F5OCV+7H
C1AAktg/hBVoq6bJX9legGkdpfQfc4DzC6F5F5XGNl1YYc6/1PPuLNDIP/IjTIYTWub5D1mFSqm/
gvVqfIt2FE3JLe+e0OIdz0EYf4Ttrt3Gy6aDX2WixIgYJ8B7OI1fYhuCQY7V6nsbkc7ClVIA2g4o
h6fVbm7wILLO9D5mZZNNRDhxMOrX07nCdZx/TWenOVftbH6XItbhyuozLh8MLv60ITsyiH3KKeqZ
/J5PzrQJh+GGoIAaLwrle5t03CPYGS4+0MnLLjXy69rqI6roJ+Ns9lOdrlRNr6cly9ne4J37BrRV
bW0crUdn0KzZJwkkx3NNzHHcMJ1dGCCEbnH0YLl0vCS95MhFR5aH/sFQVEwMVSGxtqWlvh8aY28j
tVB1FX4dSy32iZF3GOrjpTR4IjnzVbttvSYAQapn0ucktLBYLPEVy8L6SoQdHSGn3A2MunLZz5VI
sCyPFN1CRoRXb8Urz7Nszr11l9qpewOfp71rKazzTiPozw+ekemUtaGM1NPs1fOxUxx+nJOvYp1t
pbJWtQOput5ztU/yra3t8VJxZOD0tnh5Lcssd4SvlgPy6CRJJw4SVadqNBG3euj9E6aekiTE2mqZ
UTD2JFkvcfCGsaKm4mgVBNEGdqkhzDJqoi0vDLJjHBi+XyMysS1hpLEe2nai+KcJDf2dM1Itf4Yk
SH5Okckm+WqXrVswJpHH2Hld6lctlJfIf6nHnPhLU4TDeWTTcuMRZeKJUlz08Mv38pjiqRZblWf3
llVRv5QSRIxo2LltKShYLTQJ3paYyjdTDWTesC3rJpBZtY1jk0IYenH3tJLdWmmtHzqv51waGTm1
OZQTlmvaWeKbIOh8Z+0Inu21LYPogPsGN2ouJvdYaFPtqB9s3yq7zj/srrEEi5PWwwNOOeuqC2gd
WsWdVJw0AYjftIL4kSPinD0RsZuDU/bfEukM3XoGW3zHnIAHqwIa/i1WjnmCIlbsCIEb+0E4hIh5
uAuWqZreJ0vfl1VnLRmCQN46VuSviiYYIdHYJk0jeLGw4GL72gSZVx4H5qFrCqmJ9EKXO2cvkPNN
yeoS46nJMrtP3vgZySabaGx9HiMotiwze8c7m77fviQ6i74lKgl3VQG0Azu4s0U0LW96y6+fZTtf
3dJ375d39i3mMXPDcYPAcWNdZomlNkmhfQWidrEpcFPkGajNnxVdr7eVm8UvcZ3OJ9U447kaAKi0
OUrRlHrxXsoh20cppEMicZDW4IXta0+Fj7Fj4FUDNHMOMv/LbJu0n0ji3AS1ztk8uGxwGuMAKGr8
6jYVE7LMNFNtKuxXoMr4Z/pprth55KZ48Gynx3TTip8G5MKChto+2WWz7I7w3z6ohQjJu2OX2hiI
heEqGzznsRajRkjwh+rD+SyPk+h1mBKV+06KJd2XxLT5N2rjiNfJXrMJhAjTD/lxNAm4ZXAZ1wHI
om3E0X4nyjg4aIaY1VhTpMMAgt29c2M6GP2+S09WmPRP7O5xFPP8PLW6uedtTfjLns7hCGHRzaLw
YFDXgmIhGv8mUEYakkfOg++aMfYuzIMUFmtVfvdTM9zk5mSjBhacRKl2ckxcOBb1TvKBJpjgOIF9
gs8/uY+WAc2S7fpkY8sQ0Xrs8FCb0tpM2iVZ7TO1XWU+cGXvTfGtymNogZwRaY+36PmhXMl9RdYO
NwL02wO1Lena8dX4lTANez0hq4ud11m7Gnz9YeiSfKctup8xAQ2Ogs28rSii3mvHFi82Qebb2UrD
20EHM8OkW+2sPO7ubAz5Jyhr5iM79DnDqKMy2qSodd7+G3vnsSW3kW7dV7nrn0ML3gzuJBNpyxeL
ZTjBKokkvAsAEQg8/d0oSd1kSU211j/VoC2VTIcMfOacfYa2N18ZBYvYnaf2vnANmJCa5fA2KyZj
47Jo/opK3zw2kuxKxx4XI164tHYLR842A0Pib8I0U3HDoOUUKqxFQSj9K7tfyKrwDIftuWV/THuU
WqHysnMbie62txDqjz0V/k5Hmf6SazF+8HC3Flsyu5m+m7rqUXzjW6JE9imv2VsvgjT3rWv3X+oa
9zFrSJDlnt1eYQcutobTi8uladVdRewYgpzoqsdCnm+wTWfU35CXrzLT6mP8CsWnapD2A3V4dxV0
IbZ6ZQ1ojvwsunejGftKiAqqnZPcZcnnqq3McvOGUrR8qtHDPKVhI26xcSSPXZnkFxNV/CZDBfrR
Eq7eZfS0B42se5fQCiLgInAxdnm3iF1ovMYTRb7EMx1MH13XRFSY0xPGBmKbLaMHQpLNzKRjC7An
BGHSnhtmlkAAS6UvmI7WZBcLsk3C1nX4HEf17M74MTyJYRyDNPQEPM/L2cot/xebv9/YtkmTk5Ga
KVTuZvSkF4/+2F240YeNOZE9nQ75HsGYfxmgoH5IAilovD3BeCNNCFllvDlfTn0r9sgyp+YfhMx/
J1p3EBH/eEgmXz9/PyL79SG/18YWtTF5AQ7Qrt/Q5P+qjdcF3+/AGJtiOHBgdNuuBxjdorr+Xbfu
8UeeT0ZQSPkcrvOyd0OxHw3J/siL8dcEAyBNcL0iH/XEu7V9RuSwbERHNHAyBI9auR6npAW1wVuq
dVECkhZPSXtGXNBbm9bq8fcu2I6Vj4Jxsof+0kvMyX72sqUkkK0S7NewUAPo6Hp66okf16MjXfk8
liD+xlTTbHfaZlghQ2ZF3VjgWfGzBnip0tb95AztSyMTeUO2WsJuwWjW+/4iyPbo0Wftc6y1x0AU
OD9EycIt6PR48CNe4qbLmPawNWs5oeHlzbeuJvJmn81oyI/ICZYpnssCcu+EamuD86z83COfIk3c
kzUy2nq+SRLO1w0JMrx3htIoraHUlsGp1cKlpLImCk0aWf7UGbBXn0kT1Qi2vV6fUkCwRUzu4owA
nhfYXrjJAm+YLrd27mxcgHcRm4/7pSjlTV8hRylwcMUqq/lRJ0MLD1KJ4Lim5PRbiMNLeswZ6tyC
Sik5aVyyyrsrp7Q/AosiGrtDVW62Y39MLC+fDnVi4zc8ICsp030gcnMx47moRUNeOSF6106w1I21
5eg3Tu5gtbB5u7THUV/4btg05S7/dTc8dJU7OPeEqTDQoodC6uPliZyvy166UbJjmicilDR4b/fM
BMJ0Mzn4CUhjBV6SUB9pgy1Sa0HP9IbRodqnNCBmaGC4l8UMSWDSHk3yLBPQ2Jju4t4d5HrhBMuR
/GAPefNcwHwl81VV8jyO09SZ15aui9GBoTMMLCtgOCtbDdZzSiNjLy9MHnQjPo+qH2ssPQRUVMnd
P9OA/8qlwwAJ3OGPtgLqf85fxPBFf6e0+PVhvx16gfNTRFsPOZzIsd+m/78NBALvJ4//B7Hev9QU
vx+BFk0/Z1MIRw6823cZKyGBESvCnT/B/GP+vSMQetf38wDmEYgUPVhuBLUFxHW/Q2bZvWgAS3ni
GEmDxPBGOIxE01aUF8CfgWibopcfUo+MzNbMs+kk82a8yzpD1oRHWaiIhZDwEtA75tsgmYD9Tfhb
7G4mJBHoTH6HZtfE+dg48G+plpbZUICOLcR8wB6Sh9luvGe/ka/Egm9T/qoH2SceWUftcjeI6KFd
Q02rBqn8pvWrZGBBy7ielma5mjivG6zKIS0olunN2I3mc1SyrMArkNv3TUOw6LAGLLbQuX+Vtymf
WgtMx3wN8xB/ITFo9wlkbLBKRvR1sAVO9a510OXJGuVyKjlGNkjAMQBJeBWLIlh1cUm7ffugygWj
ggiyn/n+860BbhCpvyUZmSLYJE/MguC+LerptGBD3ULm4oGDpwYb5sVq6vTrqI6eZLH06bapQvM5
qLEy+R1xjp4dYaUwYYVBcWQuYUAyXSz8ShtoHXo/5CORj3nrTIxvIwQkaCuo/dXgLDh1w6mOgWgb
L9PkIEweC44GGK/WpQiHyDwoz6oedVnhFZbpZD0LwhbyTTmjokbhmM03YVcZX5dMRdvZ6ZNzmc3Z
Z6Ma5uuOWefh7fUN66viyhbQYPj3k42LlRhymsht4OMZ2Ztiag7TRHJkG3YLXDQ+5CFE6d0sa/5t
MJLJmYYWe9vNNJaluvSpo7NjUhGne2QaLZx95gU4f53FwVxZcD+BUtWW58VtT1K4o411Rk77MU/t
5w67lb+3Ok0oMZfKQmZyzbUAMORcTMMQ8+ygMobBy4FVet4Hmt3qURhO9SHrhH7uu2y4DBHcPBSL
RM3p2MKPGdA658ab0oukd7OnQsNqQtLmXRgdX3aIDB6kyAjRXIJE2RYLewlvsYfmgFcEk43XMxGA
uuWv8J/lhRxxfQjdITqw5Xe+Kh8KEb6Xum43lrPM3B7sIi/3Ecvy7LqsWv6uiCCFvd9CqbAZU6BQ
zTdSkMe7G9NyuE/qSF/liyq3zppFt4xmclX7dQ5ILVXhwRojC+x85jxCWSwPdUje6qakXyAlfszr
8FBa5vBhbN1nb6xgCXjmE7dKDc1X9mtbDWhj2dG0X9VpsozbAS3iPl/T9QhV6baINVG/voXvIe8U
mNRJ5BvWbL5hTelTZMPfemty35QS00QDg2wKF+qKMRl3NnzQM9YCYv9KRkRbtWYBMlwCeVxrVNSJ
gECl1tRAd80PbOwm56JaUwWbkXxBux3BTphr6uCkyB/sO2e4mljy3bBsLC9YYHi3NNkAajKJI8IM
1iDD9C3UMFzzDatoVfio2Qye5UL+YWKRhKhFUVAlo6nQfPXLmpfYvEUnFm8xirpYIxVNHvO6vAUt
GsUaupiu+Ys9Lt1ip6SV7aZMglYzymb5iFnDZIlBfqN0OnFezK59xIOiD3ZPdNYO40sLkI1EFTx1
QHI7EhFHnOpZA1p5apBFKw4KazNVyozlmiapEoooApGHp4j375wosObi1NXtKuBZUnGeUPnjl/PZ
6JQqLIGxNcQmb8x+woeZBa21DZpObAUJ9A8+bkmWoBWjB0RoxYUci1JvpVhR7YUNa8fxOyQ0kZwP
mZk2W6VrALZmD7lc26c26YPrlkCJByTSHP6ENy77SM0kZAdNNXZIkRdB7cZY7y1AuAWIe2f7bIji
wSdq9u1k6csx+RrNdXkmfHiIUUsR3f32K+p8Dq154YwSqg5j3zA5VonewGaE5xOnBOKTw5xyPLMp
sl1+Dsq+tzxChVuGKXOMQYBXUslyuULOR+OaKSNqrrlt62toG60mE3n5LSdZkA148U+59F+WSz8W
pa6ZdC9UDu+KpfVBvxdL1k80dXaIZRx/MvGx9Ju/F0vRTwFibpc27dcdCV3h79USXSFLNo+xVmCt
WgoWK/9SUfz/EEZ59m93J0RFreJr9OxIK6LQf8uV/UaUakloJKaZcvsJ8dTSW6TejSNUd/0WtP1N
JfknCo53Ati352J1h6KajTPW6ndCb4omg+LCak6Bo5AHSW1dFxxyj5pP4BJ3aLT78fO9l3Hz3gA0
22yt2ExRlL6rA7kX2gyWTJ6vJsJio8yOoGdQpdb1OBNN04wJBiRnDq0H5ef2w4+f/H0RypNThfro
jfn2oDW8e7O9YQ5UY9hzFxjyn+uqHnxwNzK8RBUISi5ZokeyBP7qLf/JR+zxaTmwMdZr7b1yfRwY
36swwDdbWwTJV9n4WTY1ASdRLubb1NR/+wl9i4uUp0MdxCzl/bihMA3gHxS1x8xIEN7RQTJjGFmb
hY7xyUmk//Ljj3XtVr6/YAOPbePaRZCaHLHu48+/uWD1YDGuSGZ5nNoZJfTkJ4PNvZox5gZMHoxv
PeXWdUj42inQpXWPobV5bLouIA/WLxciK4IhuAexak8bgfQYFOJaKVlzND/DR/yLq8AL/uT1smfi
t+/ybfJjf/d6G8wvJEqME8HMLOseDCIVkoshrVAJpe3qCe5TS525I+uK+NnRsx74Dep7A0zL0Tbx
UJ8BjDsnTDrea+oMyHwJQuNaGhJyNeoltK5nKFvZWZp2Ve/wdlvXNQC0GmCdhzaPiQ50AkPk0Di0
vYR7tBbWtSECQ+wmDFsXnaHne2tEFZTkJI1sFiFb7+eQOzwRVGKZ5S4se7u4EI433/qcEn6ck6EQ
HQtTGk9wNiMSGQR3XKSbRHxhcRo0hHBY/ZllfeEqnbG6WewAZgx4kXTv5kary8bMKtoXD5+mpM1E
FLgeBILBKrIJOcy3BhbY26jsRbid2ae8TIUNLUGYzsmXJcLSWcruJawdeWsSd1Bvox5o3BZ366p7
EN5rKMz5HmoqsiLy57sXB0XIvYGH/cEbyWjKl9x7hbZuN6dGR/MLTBrQDmyq2eXhL5rvJ1fwTqm7
2RNUA0+I8iJ5hExVinhihv5aTXyO4SL53IRrPUwRX9oS9tGj6hfv1TcIREJeHO16/OTOHijCGG6j
2SCl6S2659drNStSWA6ZkytkMOVMMmdBQNvG9XiztpbdcBiUrJatIXSZnaMgyetT2Rs9ibyYGsJp
N+KNe8qkih7DjvM0Zh9ELFeNocbfyMZ3X9sh7F6ytOPHz2LyMiJh67GrahS7bpNzZdAGgpzF1g+B
RfP1E+Y739LidIoSbTUA8OvuXmAaYUtOW5rDvWROhxwJkuaJNCbQ+Qr+3j2hzRGCGrrs49vn786j
xxo5RIteBkEchSQlb/smMq/f/pkxSaD9aLPg3Fiyo8F7vcuCUcYqjaL91A9cwCx1qZTGUnXHYSiS
5AIHOUkhElk2RKI5jMBLskqhSQ4dyuGRZrO4Hnt/ABEU1qU9f2DhbjJGT1giyH3F8nAFSa7rTXh/
5klZY0BqSAoxNzsPWCqMgzanQsV9aujkvusajwSt1iOfuMmI/720l0jjToawJ7XRy61il4ibA8cF
MqMKqtu4GRoGnwMlLyY4vItgKiWzf7Okgvakxwc9PHROku3mHFZc0kR6H+FM7lfhgXJ6eFshOche
2OKnleqYRHq+GNnNP/j42YHSJkA8bENfu17pbwdESc+Dafdxl2l/M+rZAk2Xjfcq6xl6jsw6Po1u
ib4gcwZ6EuCq84UMDHkk9T2lxDVZ3G/MdrkOxZR+7gfOTZqt4NzkmX/dmU1E7PTi6kukTzXf+LxG
Dywg+A9Nt4yfozwj5GkwCPSKubojEBTjjIHClQPtURAkj04z4KiwEHtDW0J/LfrXxgrAzlaITY+9
cjizrcDhqhOm5JrSJYzuzOJ/bDiY53vuc1zMdgJe/+gbCbfpReQHTIDdi0cv+LjiOPFJpGG9rl7k
jJw9Sx5XVsl151rdCxmVhLHIUr3OLWKqwvM5MVu7hEBhFk+FWPhl0fw6p8Qc8kMeOM4p7HCUYDYn
Noj7aPvge6S45XjwB95GurecOvTwhi6scJahsz7VwjCW05K5U3hyaoHZdWt1A2tSYQkEALbj/AwP
yvN3oqEpICb+UhldeosfOEN0ED3gQukfq1G86hpfBteg9QififglWA3Xc1Rw0HsdAeJR29mfJiPB
M1BlK/khUsEHlDclib9SnTyksTJ2VA/rOLMCJtWtCMkMs5ubebLnab9g4ayzsIvbeUDyRmiOil30
kAE6O9dD6O0kzXUTGO7PleXwz3fcssRHLyPC7OcoVLnYoBlN2v0Cw7qCeVdOOFGH0rhkfjzx0dXA
kxY61GcdhO0xdxvcxJljwi8fcwSsKPG32k6GF9BuFCPd6KH9X6PFSkvytfZRJHY5lHNOC7dKBZrb
QbO2KMJrY9bcF2p4dzHGi+Ez7O2IDQWLMTr/hYuGVnC+H1IzXKlw66VEe87kIWutaweDO7Rm3+ZQ
LyL+HmnzavyRwLJB8dUAZos4COsJlyoLU3iEOfCIlMEfqonN7BDd4FddXjPHKDnwhRRHnUkOQlIf
IJsjmg6JrkdKVBAgW62BSJxaDg7Y287h6X1P9dXhLVetFTyxkyzu60LbPW3fzsAgmxKxA9KyXvrK
JEZvVE3YbKZO4YaZJkaMlUf0iBiN4XPjkG7CWEVwRdhL772ya5hvh9zjoK7piUlb6llCr+C1gJKB
lY9/+PVlWY0HBaPPCkqJxDC4fwWC476vSMGSeppvR0nxW7P83llLheeX2QzbUlQHoMuvSDKyna0p
ovZF2cyUbmwPEf8ux4hTb5VceMqGBjq4d/uuGrhd+CO4+E2VpessRIWmDIJtOrv+eSoHVA9QlfSH
xGi9Fz+zOFm1MIpLTPAzwzokMqCXJyt9UORGQ1U1K//SXZxw4FxEl1y1hnnupsz4Ooo+OmSTIreM
10yZkxtB9GjPissirAS38j4arQdHrNEu6Zp2sxeBW8JwnPP1E+0BikCVYzO8nboQjkktOKo+JOs3
WqAXeV2meg0RJEjp2rB62obRXkwClRBHweGsQnZkjyS3Ip3nc6K2/OA7uTF9kP6MHmSbqyzNwvuq
DCOfexXi7DWNPu11vtclKEbrYxFSLhPbpUZs8xb1BlwVpKami8OMLIM8HhXUJ+Vr+1Az4MHABzXl
XLoiu3bqUW5zI9M7/sUuD6HduSqW7oqvv79vCYI5lTIznmcjys/GmCYbOWBecnVYH1NYO1jagHhW
k/J4H70fN2bChCSILkgTS7Y9u6005Eh3YKHtLTO1YmL96o2Y5/7USpTf6VhZ943LEYPUiRyEghEL
2TuUJKNfl1+N3EU5I9vkGC1tnW/GnkwnfoEK/03ztRFEp1T6JppddeK6pjKYevMmGjvzhkmZjCWS
ZH/Q9XGevH5HcZx8mP1J7wtuojGjJ+IBXPfGNUf3CpZPc8e3zY25maszd7764KLfBqHgoOCp/V0a
VVdT6SJH56O6MUFafewMf3oRre1ctyQkt1snNakgZ1Lv2NPFvrx1auue0q/ZEUVpfkXo4p2dXweV
tc0kk3lwQL5FeMTm8wV5IV+IO/ET3pOFrXA5TmbVUmkbstsa3IGHjUZzzQmSmZwQ3K84DUdWiVNv
g31wIFFdDWXFRVpnnDZ44bgiF5I7ERGh7B5udakKprHU3fGP+6i17fguYYnALToODKk2U0g85d+3
USAIiog7XnfsEAlT9aMsBFSwVr4/fp4/tD+YbonUYZhB3+/SuX3/PFGSjVPRjgDFGp/DeAoC66Ef
BP4nd7ZWFt/au7wdhz9+3j/0/jzvulHyfVpTl1bx++elJ69Q7czdcS4q/3U0iLqoh7ma9yrIOL/a
utH3pLCuJDUEyvmveor/6FVhcPP+00UtS1vMD5wXwULrXZNaMD6x/PYI85sOBIyB/RCup24RMP4l
OgN938bsBH3JWnrbbsjh/vYB/KN3ftDdl//9f6+f67whk4wkxV/G76ZviKy4mP/zhvMG/MufPOC3
cV1o/oTFaJUts0Jctc5M8n4b14XuT8SsW5b37xj6f43rsIrj7PYjokEANLxJpH/Xd4Q/rYYlC1wE
hytAgb/FJfxDchvxcBbDD2+dCjJWeD/+SBSxsFnjeSd+sF0S28VSgnzrkjN+KblFCccsnUXivhPw
AUHZJeeQ6fVLhE3xo9fQC7p+MTwheByeUn7yf3PixquzTd4+L9B2fP8N9fDNcCZib5JYKnJPhXTb
Vy9z8RqZWbPGi6yVGHv9Q9SZMEO7luXnN9/in0wXnfdRSWuQE1tfknx8M8Cy77wbuSEeADo+5f0J
Q+Fz3SeQhdWUR1drYqAf+50XXEKgaAgK0n5wMbsROUGFyD/NS7N8Dqahl3G3aOecVuhhSgKJCWQg
mnZHueDfBVTPegtDzTslqh4vrc4h48vs4N3DamesWCM9p/epbzJb06YGVLZbk+R6zfqUDniaFkwa
IdVLv3EYt2wkEcsviNhIQqAbgJofMj+jOMdLSsogS5Nm32q3gRY1OiEGd4rkbMt5Wmyd3DWfDCEM
RjPBwwSOqtq6S8+REvhdAw58TqkNDEWh0zryqI062ZbYhTCWj5PeLIGShCMluEu7DOxgbc/6uQFb
hekG3e+lp4qE0Y8en/D5rz4yk4XNxrSyFTtH2sWRlZTew8b3D3PEDpKYSjWgsLP7e5zExR3NFC7T
Am0InGrTj8myMUUcZnO0UxP+p71k5orgjp8Sc9AwZTvW9z73IDcbHyxs6rtmDNR0WumKYGftZryf
2chlW8tRqGtz3zL3DHSTcNMkY0ll5fmdxQY8XVYeuMAfnKa5TZgpoS0bujystB2A5aNHtBP0LhfD
ufK856DQ4S7z/Oa2JA9xP6SwC8A44ZdyBaFWAIWI5zYLIlnEyPqN0GvjsNghjXJmy31p5tgBpYz5
pUZQ94P6fmFiwzCinYoz4ctFHHpj8MpQozsS17PsoqobjzoXLaZqe0zpOAoMNNx+GJVsZd8MB5ba
FgrREEpVaNE+FzahMypbqUmBl31xlSlvLJILvA0YvfoL2oeVP76Qbth7OelKEUJq4i/k4pGfF5A5
EvPb+0DrzUwBDPNEuU2Gla8+EOWRz92mD8iw3iZOwqq+mJPG2oT43j43RZbk2OhEcbDNVn0uYQ2s
QSoZusZN13TSvELEL/JXibubgI5GuvbNMEBCWabFOSFTLuTzOvaLLjXK0NeFcmwCDjiBQAgsApt/
IeGyqGIRjT0pI+xr890ITdvYYZDXV4yxGr0dzGC0dpM0lvyDdkDEHFniUtcbSUM13jaiTmMxMdj6
RGALFjPCRVZOmvYaOAuqNI/oDzJuBWNzKTKVd3FvOu3r0AZrkImuuNRnsz1peth7XAnrYQh4AF1a
3twUywT/bmp7QM92xLOJ9b0RV+99EMliqV2PdGTYkGEwPI25X2BMyyWvfk7RPPUt8oa8Vd0LY0R6
Jol/keAinNtxpvgh79jczgazl3n62QS6bZJcITzAmYmiFunsrn0VQxWRuWpULCDXozzinePswLax
G+kbaJSMUTL1tZfHanAMYGelckhLO8wJ2Owl5k5g6VdvmoTZnUOw+PxHyVjN5TqCuOqCI7AWJZ+b
dK7yAV2J17xOeqRWh+8+EK26+Nf9YPGKZStbY6/QdRerr6079Hgkb3STMTYDDE7YwGAV892EXOHG
bVt+WDkeghvhVWjGmxQvWUyUmDyBl0PagBMhqy9rZs+4c3gFXLu4K08NmyJJHheuQJAhXjLFzSCC
T4ZEXYD3UZTRtgJoYsVt6GtzQ6R3KDZZH6iXFtH3debrCAakX7SbBPQLbDHQQaUa2p8Ha/yI6sU/
ySgqvFU9oO4mgkKr2CBwRR7CbDUVWmEOa9Ruscq5XpHsLXQAV5kjkzVkGldxRoTDg11Os7+hYfd+
8RirkkMDSnrfKgwrdovXraKFu3QZ3l5gT87gRy94YMc+rE5zj79tF84CoAFWm1OEwA2T4pCwaOY+
s/CWIxJ3I9ImYAjXgc1QfCDRbGptGCB6DBp9aJSjOf2kX4iYcxxtXuq5+znhwB9qZ3j6p3D8b3a9
bEBX+9p/LhwfvzBnar4rNn97zL9XvS5Dwsin3XkrAv9dOyKZg1fCIpIVAlY579swybdVL9JfO2BL
CFSMFe3vq177J2BG6Nhcj8KGoWjwd7TB71o+G6I1dGykdwg4A0Tn71siC5JODpzwSMgESooMUDo3
aecvyrA/NF748HiP7D3RRPNJvC/CwGLZDsnlx6loOFElubibEHQIMXfsSmqfA7iiVhExeoXuL5aD
6/f1fd/Fk1P9hWbExxbwYX/fd7EZI5SHqcsxJeuyRDdLjqSc2YSiBSrvC4u7URrVHSyfJnfiYdH5
l9kAlbzzhe/ElbAW+vUiP4wyrLYOixamVjiuhrBomPJVCdwgLbrdkKZI9YYAeLJfqfibi+pP6tg/
fRPrwhp7Lq0jQ9zv34QpyL9FMxcd+4WjbEY5vCcXwT3lgdIfe4bmIK/LwNkZzEu2MKS6F0XhDSQy
XblGecSargEyzuYn5Mxd8gOF47KXIahjaEclwxllPdT5NO416A+Wg1gcDz9+D39QFfA9hAGCeLpw
QMGrEv7bJe3gOqyQAsiauC1VLOBus9WDoha0f5XV/YeF9/pMIZtn1AXkrb7XFHgSe0pHy3GUTHKO
DPT48vywPxNE2t+ZXlr/RWf/7kdE9IrFdY2Yw163z5GzXoHfdDi2xYanNiqeL83FHSfKsFkmKp2/
/fm5JqSLtdUMbQdwxnfPEgmOiwp871GQdX8gefFr50T5sRz+aj/9lt383RyI/b2NVRwBI+fCHw6F
Al9QxLw3PNqIk05LMNiElHDN6HUDqGsQNxsrQ7vWtmN5T9xxeNlVfkkkIOTwbGqWi9rz+juh1+GO
Lz2ckERpsL9BAHhM1760ZaR8yLk2P8qUm9nWAUFqbFKCRhGhpjzJ3LkEjoQ2sSW2Pzwpf8mPP/40
f1V6fPcusVcwhfICm8aQkOl1SvXNt7bWRVO2iPmoCsfa4HaFRpQmwwmYTgmHfrDx57Vf0Y4ZsVeS
j8LFWxzZkk57aXXjvuyEuO4IMmGc2UDsZK34ZDE1uvYi7X4KVF3j3GPHYyn7gxXVKxxdVSSw+BB5
cDjCbqeujCEKzh+hatoxfCh9QNdvFTL9xHFWHv3R827SyfaOMm8ZCPlRdqy7BFEdYNEjCCim4cRV
7TKUBofBacMHZnXFqTCYUjfQIEieTpNfmKj725oJ08ntFnnTEW/Xb+QSuJd1yCqCfG1v10nbZdEN
d8yffPKnRisFdy7a8nEEXFb1DZDHWhs3XtQBc9aaoC1UJLsU3tzBS9yCVYqfgf4sOz82gsW989jz
PHTTUD+RAVp+BYfSzpuSHAC9XY2pTLFb06Fiz+bngG43DmpbvKUanAoNBwLtoX/jMyqPgasgrHTq
XN1MY9P/3BAW+2r2hGiyCNtmSfnFKI3wisA/Iybnjx43EOe6RsRY+Va/K+3oNEujuQaWAN19btTI
6B8rHKTVA3LGy/XzjDEvY29mHQ3Oja7Vqp0XL/Pxuc4ZBLeyri+hWumPRlVSsQKrWK4t1m6MblfY
hMn9Be2zcg7Ui+GJ5ajzKhJ/uC34nJrTaE7Rtg8G56F0903WcUXIColK7zivbS/afZnZRux0M8iM
FSX2sdHDRB4TBHaZUP0iGEqPSk/7LMNgktTTjrNNnsaq1YQvzGO4Ikk+O3hlYuFb3Z0W1VWe4Pqm
1S+RPVdA3pKS4hi5yVaY7Epstllm6hI3Fs3ph6ZIr8iB+5TN2jxm42jeJ9ai8Vz7T3osX+26aWLF
ahLwrx89QnsP2WMK6zKYJ4VquIw2RGOBSDEdXCJFb2xGaQIsJsyBI4rNpLWGHblMXS+MMI0OJSEv
W+KNkheirTQvZk72MAdZR5er+lmYPeNxbkZBzG2o3Odp6DdxofI8nlLfPuANMS68hVy0EXTyVqA+
fS3UYNJuDAG9v/ZCegq76G6Wdh2u4/fuL7S23FPGOuBoObmJ85+fi29olgebqLeXctqx3co2Gdl/
7CszcknNovlFSDd9LhJr+uwHg352pFDnOgwli5Ro3Mi0cy8F+VwHojcTEMSmPE0Wvy9Dl2T6VBrm
FhLTYLBOTR4FC+7GHjRxbbJjn41l/uhKPOuOaWcnk4i1nVu17rbQDI0ih32A5ffNZY5WDDARSxT4
Jc1lQUZlF+f+3J+Zl5WxD9wcaHZIiu1glvukkPqrHIVqr02dVnGyztQWSXfEZqPExo7ENE+5c1gL
UxLbnLqdKZW94x2Lc+CD+1IISlDmmvoCkfXwtETKvbH5oV7Dre9ZWSWgCxlQt/ILEzIFaNBcQN4V
4pcsmFME3Hnw+NZbN4w/HgyT+qJqWQ6ieac6kZR8GFHXMKqIPj8hmq/fTBbTRny25X2Vuv0zW7Yy
hjiuWN1RFxpepw9ViaZEIaLed2k0PbbjUJ36HE3AYpC2UhUscgrBm+w7yi+f6Krzguz6qLXTXTvZ
QozzsOoDlBNYW/S27Isgo+0iIXnnZZ7dRGatYm9y7F0/Am5ieZfeLEFHL4+8nsfYUcUgwPc9rGho
AVQ5YSyQknVbYhArshkxXQGZLAtv50RkTVgcDKR9ox3oWA8eSVqrtlFAcCO1igfbj5hS6khxlggE
Wd1m+is1sHzMpeBcb+3+XGD7R3LjufbBgr94SBrDuxhFa9xrniB723hvliRAZ+EBIPyk2HsjZ1k1
HmbQ8d/KdLoXqwIEw4b1bIbexYBX5BDIvj0MxCyrDfWic+HN5mHsORQsMTmIt1ehySo5QSTjE1ZS
0MquopSWiDcrMWzM02OO74oNIR7sW4FORTJNS8lvQGSUHfj4g/IX4YZ9dimGGiUMvEDWf3PDdBFf
thkL3AbJZZTUjJzcWaNGacjxzK5nZc/1cnq7vf+z6fjrTUcEiuU/N6w3ZfUK8fL13bZjfdBvHWvk
0pZaDLhsx8Iw6kWUu79tOyxzBbn5PltC27TXzvRf4mQnWP+EdpZJu/3vbtVxfqKYpFP1bapjHve3
Nh00pxRl3xRtlhk5ASU2fRA7SlDU7/ogIcuwmbmzn93RAGFEDOyI+2FPbxRSdICpPXkRJs3NCOPK
25XCnwgJHr3ic0VHwnE6M7FaUJnVUZ4cDBKOxANQhOqCe1Ne3I5QzD+xug5evMVvzpmVVhejKuw4
WiUSPTCO+swdq9z7ZYRNXhacyl1vYGbNupYh5dQth1pbxN1hD0qXzCajWioRvUjEF+ERmEyKcqPX
/rNU8xTeatsL4qDNs0tGRqO7c3wQUNsoJdHkVY5G9jyJaqgJPWkpDDuAFv7l6JnZmO6Nqjbd1Z6S
Z/OmVnnogP/M2D0Ge6q6pbvGa8DbzWbGZpgVdOEmR4DqjkDWAFjAqLl3ux5sj95OItsDoIFc5zq0
iahSm6Ti8wSOr+tJEU5NSwrGXkpOQytLLPMXpaoB1n2Z5R4Hegn5hLq9gatKbPFExKne+FOD6pPf
t1FjrY8IItpk4UIqSQwmzF22pS9TQlrxhdgZOjmi9Nql+LwklEwedDYyJTxqlxaXf2BDmzvY5ZyI
a1xjxskkB/fWhGOyITGKICnpIjcYsuaUGYY8pBh2P5Ts87F2DGTaS3Rqd1ZFkLlP7foKtaXcQWSp
trrUGXapAe3i/7F3JttxI1e3fhWvO0ctBBDoBneSyI6ZzGQrkuIEiyJF9H0TAJ7+fmC57BKrfun3
HdsT21WiMokm4sQ5e38bXeAlwAlzV7YyJ96163dpMZCqUhcl+uwh6y/cYfSJqkq3eV6UaxOE7xXG
NaKro2xc2yCswAjQYE9s6mZyyoObJlf5I0s36Q4pIMzVzPD/KkvsLwQlhjdmWLfXRCI6NwAkhq+4
g0cSdQTM+Coab3geyu00lDGt3DG4hik7wZyoljW4J5s9cIxgTTihc/a8NHiIqtHcj5GtXWljMKI2
bMiFGpzGvAw4auy0RIvntQA4Mz1US6qrE2T2l9oWxR04m5SDTxCFo0+ulTn6sGec0S+neb4oGsO2
Vx4BtQQ1F92FYqK0U1kaPqAGNY/eDK1jJSpL3UtP4LR2K6S+6x4Y0rtQkskN+yIEN+jdBVV4SQ8F
zDYhZ7Nz0SjrPqmddZv00lxJ4j4vBTIMwi9itEbYovrhqg9D4yjGsdwzyEfHmRAiTlnVNjeMmIqH
hjKS+tipvlG5PYq6GXyknu6BO51vMLBJf2or9zRP2XhDLR4dSBlt7kMOoE+9OeeE2arReE3KRj9q
c0Hvua5N56Cy0dvKpPo+eHWwR+Neb+DGYDMiUPHOS93+iSim7HFiIvBoqi5eWFJu+lhzFIODxBsG
37XZoT81Np6jum1cwTcqwe5gy8x28Gmmq8IrrIMayQqlWE1BMPGz2pXAEkf488zIj05WfF0EyXgY
tYrhSBmmJk8xqtzIclEuxghk1gS+T5tS9ZWvAkxsXJcOmkm2xM3rfmW1ChOrV6yZ/BoPEuXLVac1
X+K5uUsqzXkbLdhYK91b0IAWhZGFjX9O7rGzy2OO4PcSIU21YiQcrJ04vPBk65wm1SD1Kfv2bgYI
s7YavXy1e2BzlZrLa0jY87dakbOxEsDHV16uKtg/ofwSRpIMxxr70orIN4IwZy88SUP0XzviKguY
K2RF5GQBpwIwcjJi74qr8KU1o/h7RlK93w71pdEHamPZalxHQw9NhVHU3tQcg1BHpaZLY8RgIEnX
pL3eGRpvnIywk9ejtm0YByDdJP7mJk3aJVe+E97mQ6Y9tDHn0CxYOhNRrpJxbyxy8FLJ1vXTUJl3
Qxe431JFZ2fVxz2KN9ovRCQF0XQLn9aF9VNYL73VlEdA04jMpk6wzvU6UIJQFIgfmU+2K0MRNeMQ
i3Q/Ca09O1Sx0yrsTbWmN0FboY2jC3y7Q7yqJuFeavQjz2QmYpEkc8zv9PGVxPPiVqD7ugi1AFY4
YEY/TOhUkEXoUcPJ8VLrFt8nRotXWTbWe6nJt7iqjUvhDC3UmJopM7LGTd0Ak4pzgCvQf9yTZ6bp
JVAUZhfJ/BpRMwLiZOYgx/FLqTd3QAF13xVNRPoNI68YD+s2Rgux08lbuqlFU24024BII3HJ7kON
QPh0CMlSjYN1UzTiEWGf3CWhpW9531+TuXBvawPVV8Rk4z5EAkofqakOKknzTUPzIjuRPscooy0G
CHV6uNfUONFDyonnwjxU3vDk0tvQPXUdE5z4Vo8tKapGJTLKHuk+hHYgD3zDaW1AIqI7UlFrZqmV
X+eBRji7MZUXAsamryN9WE+tHl9qDSQguyggYPdjv5b92H2FyoNo0oUvPTjpc9eKb0ldpbj9jPly
QPYMGLJV0TW1bg4VqyQdJqf7MZlj+y6AnG56MfV3CfigzSAVuqKQUT3yahf9nBbcxbQnz6gVup3y
zJpvAXJqCOlBEV3nUcpLTmqI+yPtQvVHUiEj3yrUtwaq+HONWXSL6zV9y9E+bghG4r667jPM/+8N
eUkXKNkdX3fSdF1b/C/yVbzVhEGHDlKnX+hJJtdDTBIsmldxCd0pefUSlwZxFmk7fM1ghdogu0m6
jFAu8ie3kDvqC2wM1aav6W+aRHptnZHKS1MkNqVGNBzjvESZlo1Vve6Epq31CRstpI5hYxIw8NpZ
Kvb57vdxTzxQP0X2XnHY8GPrNEtU/AXqPA6VnrEthfVa69VN36N3LSDE0jaYdyzRGkg77UkA8l1F
kR1v43SmwsiAP6V6eXaq5sbRUd629W5WOdQ9gDzLkPvW1Tps0TA2trBP3BX+VVp6cWGsQMQd2jkL
t4HMTmauabdeS78ls3tvTz5euCYp8AZ36/WEUXSLwzpezYTK+3Y2YfPvxRqEcLZDcl6uuxlqqwxL
l5TZXuyKwURPqjnmlUbu84q13bnvJG1M4nFL8PfiO5E/+KenJF/FgNtXRlxZbGQpieWF2d8oQ3iv
cT7VSIB5/Ajy2tugW25sDayW10FkG6weCYlX9RdjjsMKCiuN03h2DzmZr1lsPcvA+fLfs9T/avhn
28sB538+Sz3G7WvJUf6HABIkTstP/SEds39zUbmQWmuQl+My/frXYcozfkMGiSXHQ5X0cW7612FK
cphyTZRczDHkBxjjz+M/yRlIR0iOecxlDPifjP9+nJRId2l7W3SZoLew6WL0/rEHzhAAEiK9zqO3
mHQ+/IGWKJr9PFHk+F3TWhwk/3WB/maQ9Xcf6KAsxetpgSoQXKk/N92JfjXQM+TWET6YuxYD/Sj8
/0ynkB3vQ4x8559/3o9Dp99/QWJauF4eZk/389AJIvbcgh4BJVlG9kvi8QEAf8V9a0E9/vlHLUfP
fx9NPz6KW829Zj3VHf2zqQ9FSRT2qZDHNMcKFjsJHe1uRsZL7ATuUiqfBweUyPl/Iaj9m9+SJ8ni
aXBhsTqfpaWqTunzaY08tkaCeMKt0Jei4MBIyDHrV9Mu8eMZ/OMX5QkUHAtt4cJw/XQPx5IzqTPG
ktoWtR9wpsWcoxId897QOXSXQRlW0SEfRyqpqYmG9gkPHaYApCWarxvFfzYZW74QgtrFp4wU02ZK
+qkpAEE5APkYSDh2i9mTYUu803Eu7/4/P2tpjtAbkYIH59MUjn0aUwbhVERRYCnqJTYMp8vxBi5e
xJ8/UMt1/PGBQhVAjwVhJ2Fbf02b7io052Uvj7DrQbbgG+yNXPvF7PKvjw4fYrOtcA0p3YxPN1Mf
EokOJ5Nk57VIkd2BY51r4/8Tc8r47ue/kViuzudfCYM1A2xTcgk/t29cWNawKIR5TIyYSs4c+Ey6
i4sNusFS6OJPfZE2HnCTkfUtpmETNE1g/t4c/B+V2H/zBNu6ZNlbSMOLGfzTAxMYAjYwCYnH0e0M
0nELAd0y8JhjEhXq6zV5q5s0NZaafu4XB+Xy8loVTV1WkGb/84vyd3dggcURdsadRp/+aUnMsMPm
acXLy8DnVtfRKqqihyxWAXP8zz8K7TvsAdznpmF9GlRzTmrKxqnNY2xxeYlP5ZXlvMZS79rciZ9/
2I9LPcs3k2Om4otTl4/7y+NbRV2ZYRDTDgGWzhnhFMr2wsxw7CrcUANzLvcXz7L4cQlePpLZuIOh
wOZpZlL+aTuriFpe9NbeQQ9o+sM84+jW0iu4tcmBuQXDyn01rXm8jtzEuP+w4uZjh8SWdHO1Jnao
RiLI9vexgmCTrLBqzAa2oABHKoYiwRj25xeJgL4fXgnkOzCTOGNbi1XeRCf+6fYDo0nkmJMN2WZ6
vtVnxiZlbGvkm7dpT+g4rLkQU1rSlIFPJMNkb+i32jcMMbF2kzjEd+Rwxo0MrLB7o3Lt3kaDxidu
3HnxhdUaK6/eJGIAKaWQh4kQ9H8dufiL7LphQsGPNbR2Lxyoqg1dGYMxh5HUX7vBKWmMSvPQJFxA
rJjJdE2QOi5xktYYBs6RxgzWC2qxF/TtUJ45EYOh3MNU72cwZ2Fh9bFJ1k9R8xkuV5peDCy9mtH8
SiIRpXdB/PW5jUqekN/9mcgC550GCsEmB9Usjy0JGhjZGoEh94NdkCZZ/dWpCqM65CKeboWLlkcz
OhKWZywU8bOYvMW7N5t2CikKvfIDx02evS61X1LoUTMHC8N6mYTXviFpXHboYbBeAAEar9UcGPuh
durbxsY6ZCkHKG8cStSAxACTvUaEVe6LieM8XFNe0tF1mQ6nmm+OkisaYAifKPh3gWm2bxjIoO6W
hrhntsT18dBO37ZtOD8YyCLeKm+xZCO+9R4EARlvaR4ai+oAVMLcBoKGw4Qzu68m/hRBmOYFFlT+
ljyZxD1CKYHLSKen8bHLFezUtIiRMq6mPGoS1E6AkleT4/Bky8jm8IS9ZXYO0VKYaIlDk2Ixf4PB
GW9hxdjjJtM17O1WkYlzHdc8Namp4ym0U64mcz4IyEPpTjQ99QA7YbWslxppW/jR5YCSAI0lXwa9
xXKYp0v1ZpeAxHmCwwkq0gIliLR88SRaNOv9oHSZYDmTZL9hgrrMaguTZ3kgaumh1QP+WrdDwTSS
hH5diUXiCjw9HbdTxr6M5ILxhV+ZDP1mJ2MCJ+LcehlKTJB21JNJ28L7pk81ieYuNGdjP88qdNZG
aMvnYhiKe3eOp1NWD9m6ZsROELKWCZfsXL05xFCKL0Jksfwt2Tj6qpjLfq23gX2fZXNMirS9KPTJ
KZrOREXqx1xGJW6t1PM41rbmQtelAVnM032KmmuDer1CbavTySh4JpH1621x01Ut59wk6PPvpdV0
766cGV4YTn/2bAuY6zQmoDHBQlbKnzMWLoU3iIugTdUT0oim3bbWZL+ODCnX+BQL8PP42reEhDqK
hOgqXhPvQJO07MuzlwxC+cXcRs+hCXjawXx1IrTO3tXFhIceSWm9c1tlf8XZukjAqvnZDlV5MCWt
eLpscn4usjrdYPGYYWQN3EY3sAaf2W7xnAC57NbFELUMbxtntxSjkJ9HcpnXTZNrtJ1grQ8UL9vc
JV6ZhSlYFcznb7F/LjHydXWRNFG7nax++h4gxNlEWqzdTF6ZP8XpQFzWVBCsU9AkTXCkE3fYvDgd
yWj4hrV1QDKb3w+N2OaEdyeNq50X4QbLvxkgKUgbMxLrxfoFPzmtPfxvq4bha1gud75Sl1S6KJ1M
wcgBABeqjyDgg0j1DOgGhdGFW4KIyhgoLYG22sbIy/5Lldo11IGi3fYWQKki0l8zpy2fvAymRuwJ
rANaYK77jO/hkct1w6400+Jleb+0JWTzKtS5ow4wtMuSxK1rveura9q4PNQawZPdyxR02ExRMqCn
RjU+bkrmycnRHgMKbMMc8QSy2nZvYbNwPcrZo7+ozzyyejdgjnZ6/B5uP1r6ZhkRMRBj6oOlm+7/
7BsWI6tAYMRhCq/5H27krvXYj93eAidAt7ZE8r1wMkjvqdpdGncsQR8G5g8WhDZyjoK/QAlnD7O4
HyrJq9+DSN3LUdJKtURafa1gSvDVYIwzTM+K7KtBYjn1HB5dJt/lAhogJqnKn60EH837VA0SDobT
BZvM6dpNkUj1HQsyRgQr1axHmqzeBQT3do/2JYxWxRiS3ZyJJPrWDt1LUlnmxpJxSEd5Yvl4ymbm
e3dkDZfm3jUi9zw02CbtLE43kVJEeGv2vJ3covpCTzp3Vp4j1ZfBavJbO6zejWx+GhFWXaH56fas
q06GFqDpN7KvjDegzeEb8H11F/YOd443nu4qvAIP/ZqjmDtFcTqt6qx1DuSrtSVM8azK/RZkweSn
hBeqPYl7+lHW5XSqW3I77XmMCVcke0msbO4C7S/6CQ9aMYzFZhRddhqbRl7NzEiuaiH72zx2a58G
d/sqBy3blN1sfis9ezh2JCgYKyswYogwrgnACfD9SvWz8lbo0FguCF5eJ7krD5MavgWVpu4UrL0b
gb/81EDKfU6VDZEOrJ7HXrkkMNakSpw9OcUnNDfmQfMUqZzRELYvRkyvP3dMb0PKdX9E6awFK8nc
qEG/gLlZo5glt04YBh1kmlPjNsoK895Oq2o/FOZ8V0EBv9Snfr7p6EWvPLB+X/usq/uN3rYyPozx
OFq+W+oaPu6A5ufZHnVV7byob/eccrXLBGf4Fz1uDMwZaU9Sh6E5errveXjOih3+XQw16LyqGnYj
G+GxSNo8W1deFKBhFBwvIha3HQMcgVedykID0OkMN6ExKLggSUATuWXJ+5qOHVQ2jCKA+A2WUVOf
vM6vK1wJayPH8QXAszROnQPJezWBUnY3buZIFkShvpcGSLitR5I7cYOhvJCyRvGR2fO+7Z34ts1F
/YXGcfvgZpPcDCM0+Bku8SpF0bySRJqK1TgnDlIx5cS+COboDWkQ+1CnI/kNiNXK1pJLdT3MnFMg
mTuNb5VBfGXozvhFb5R2suIOlVZsEubtMvl2VgU4ky1Ac0v5pRF77a7n2X0PSBB9rFyze8Wp6rwp
m0S/rY6LrvVbTA2o3cqMnK/ARR5JAmAdr5tonvq901XvVjSG122Sm+xyGDUPS8xAifCnqNfRGON7
k07TQIkomistU8nG0G3iQ7yQmj2cJ3INiOt0mIL1snOPaU9/W5PO8IShA/yJE87JlU6qhr4KQOIx
TMuyboWuWbuJNJO7ltFAkmgkGeT1MD/qMfinofC/upJf6UocInn+dLRZv3Qv//gdp35+yfHe3kbl
2/d/XLTZS/H2g7bk9x/8txuCQO+PTqNnGz+0Qx2YeJwVdTT6/yTi/YG9g5NuCBohNj0uuTRT/90M
Fb8JadHyopfAP/4PGOnmxzH7360JpOL8x+TQyHfge5mfKWl1E/ZN7nklORTEOyRTVDLyZU6yAcmS
b2LDelL5MJyIBIwBU1VPWWgtYgRcYWWfIXyYI0R2CAiYEOTFddbrD4gCQ6Z6WZ1sS6nc9Yzc5KIR
bCRy0pxtMkHfdVvnXIFwRJsqrhNYFS+emZ/AYp9MTe2CDjtv11geplWcmNlApOfQxO+93sfnnOvo
1yxXq74o65WuufNqtPA4wgU/lp5+bYvWXHmNeilJ8ES61WwmCewc7Mh7myXpOicjduOU7tkxx52K
ncqvwuLdS4sTbN/bYLQiaLv9VhrpibSRa5lMRz3kTzFEXJGZ/DJVXbku6/nVYs6SDeK1dOynemq3
DIQyv8kj8xGi7D5uXHuldNpXZbskLWruWXTmUzpkLw4Vy1YP1a3epKflCnQ5Jb9Ms/dkWYVbgme2
ZjahuMjBhfchK8OghvvQVLeLDMh3DTu8aDLvFWiqtxOR3IchQUK9QaJwtvQ2VMuF0XVfWvHBiHrD
H1O4SQxwVSWfIjM9YHd7aeoE6Kd1Bk5DlWPLdiP5hZSM38tuupZE524ns9vWXoX9Sy5gXmSaI741
lh7m8kbJhTKiBjwDdfwKM3S0iVM2BvA75bGr4mkTasu1jPIXFniODxOlYKeAmSyfVUn+ALvCNTLW
684gUC6aj8LFpKAN+rFySs3HZvluZvwxS8SnNB2PBjdn77LZI5ngNyzl9EDuI1O4zs6I/jG1ddry
QUOM4zRCDnnZWMkBWcdDI+sAIcF4n+vWepwKDgVR062DMn4pBobbmTG+uuV8HIww9pOoiUHCO0/x
qH9za/PKUzEiSiW2EyXRbPXNnhSA+7m29nFcdTyo5p5CihRCHadM2g3dCoPz0S6naKMI3CO6UJgA
y3gSxrlDXmPk5qpq9YciFK8egopVPjZUqoQLMbe+r5v+Xo7Ze06OtE/qDClT+XhvBiJaUY9WTHNL
zsm2hgsOlJz/cd1FYaOKkU/oZZMtcWOAnKXDBI+f4/dEDuXwKJr2U+w0E5M1HkdNQHtGNPBMsKTn
O0k0rRnSDjcmO846G8OA6TkSBjb6YV8703CoS2u4aMmUXITl2lUKo29Tz1V+Rej1tAVhNxxITm99
Q8vM1060z9PQ2JfCTSuoK2MZ13LdoOZJ1jSZzLWTzuolcEok6WihcE8nsi4e0iJ4yEdUTOtZtl68
ypnug7E6yyJ9RkXCuWvMNmh+Jn8243WF/2iDCoBjTgP6IlnFY0PsU4mNx3bqc6ZF10VJfAlpJQ+l
xny97S1G0731AnaveS0KqIcFMeEb+kFENcLrrui+bHMGlGsm5sG16FByotdCHp0Yr6XgsNvWObzZ
gYD50RBb02FYybdY2GA8hjUisTXFswuTxel3o8FDN6XOk6PZ596o1UUwNO+aao7STg9/2nR+OV9a
VnGmOTBLJa8+asPPk5CYpANobSmyoUEjBLavuyXM+xxbNbHRwv5FP/vH1u3vn+axoaHGhVHvfu7d
weDpC3tyACTzquO5SA9GRuVjIwL4xSd96mwuvxdSTIb6BhQK0BGfuoTKcUYzgYy8NxDl4wvmgMpy
nJBt5JucEJE1qEnf/vxaep86kx+fiQORhjFHYP6bf/8ng0xoFl7kEgSJg8qKNlY73EPqynzNlHul
UQYuvy8NkSNTwugXv66J/PRPg4KPK2timoSWCukITuanDj19PDXjxS/2nCNMNNu5ez2hcV6WiyPp
0ele98ZX1Y6Y7hVhesnQ8t56wPebaHqNSKIKsSH1IYgc7MN7z2NuQkrqxnDVUVGHM+KA7k3Fv6rL
5FTYzTa3htsxDx90K+JQO8pzT1aGP5alt7MsuochTVcfJMu0/vlF/ptHCGukzoQYRIFlGJ9urJHF
Hvg5Wewjo93KUr/WvfkaJH/9iyu6BDL+5YpKASWVFARa459HL54S7si/5Fn1MnnRclCYkFRs9IxF
uCDrfN266akLRX6TDdO10+n5TbTMB+QcvtcD6/JSqkDPTsGcj8dQg7rgqf5e8+yz2Qy7yGW5t2gf
EYew9JVGY3wKLWPa0dOsFrQhaUx6094W6fgwQo/a9kYsD13s0gbB7n+EPPkexJa9KlJamM3olrtR
S96Dcn5wgU7NXcvmXZn7aLL2UVTEfpjTRcI3c0wdjaN5P187E8ZVrNSC9EPtuVkaM46gxvr5Dfvc
r1/eiuXk7QiYxQz1P92wGWFGLTWz2M9KfJQTIysbqlNatMr8xWhoGb79WJN6uInZp+AWOd5fhnON
McVOJqdib6XDrWzjQ04uwM9/nY836dNnOIxpJYMIbH1/YecCbEy7TNeLfekNFXkLIxD+YH5dVvp4
NqddB+cgNeTe04yzCrxoA/r8gNT0sU2Sby6CZRz7Q4MhLDH3hLeyyXqsTtWUn+DNv8+2IiyLhto+
M+0ZHJ6pUMjN7WUW25vBrb64Hf/Ybl3saVM8+fDXaA4JWF3g56ut0TAiMHHp7Ajl6Va6Eb9b6Cah
xqSnYUwPqRVOzK4SClShqH5F5ReQIWlRd7dlYUQbac6/mNjIv3ljuReexFDsMOX/PERj7tCN5ZQX
e5FxUBiiPPZjgq5pOqT8zgAdVsAbknU2ueccCgmxPw0phSK/6hKe5SAtEM0V/VYFs4KOJsp1H+lP
KqnMtas7iE0H+xz0ju33gXWGtZggtmQlqoDLr8GTPOiGep1bfRU78d1oUh16Nb9wo427NNIfJgqx
VRVE1c7MFFwddRta9kI84fmUFQtfa9Pi9DTSkxgaeTvDmh+8qhlOP3+q/uYlYc9Y/rM4Yxmn/rh1
qLAGRaiGYq/cYk2JM64cxdeRIFmDKvzFHRHiR0XCx26BtAMLOzlaxGV9fidraU6oafoCa2xbbASz
TNrTySFgp/IE92eGyrCaJw5IRF53qyShAgyzk51SAPZlYONE9CD05UO98Qh3WMWLoLaY3G84Z5hx
uFeZl7dMuqj2x6I06cG0r3ky347ZROtr2Yx5zEIzfQnUUqWSY5HM+qnusa6NpeFTrm5IHnC3Hbf0
43g5y9Fco543sEOCBEW+6SeVGrZV0HerDEvWxciM9OMQFBRjuVbkxByKXt3HHQdJF4uPP9cc9axZ
3TddSAKiJC/RHIBSiOtai8HTUa0Jp1/HRToh/+7XWs4/gb3NA1n1w1bIpt0sr1E7WiQzqXs7XA4Q
dFp5nxj/ZzXVEuETJ4Da7tqp+NONZj3VicUr1gX1pWeNr01HtlXPBU6y+BQTDA3NmFJcZvIpiYZb
BSCc1A78q0V+0AYQOASNEQbBC9x12YFD8S4P2FliZvyrlrfDVt2JDtNzRD73IRXWeSD/0zSayV8O
RijQ453CM3lEM3EmRuLJgDL5i/3Y/pvXm1qHwCI4cTxRn1kFGYTR2pBWvm+d6ZX89FuoM2fqCy6e
xWu91F8fR+2yI3ikwztPE5t3voiYm6gWc1XCj0FMXKddkWy81Fu7Q2M6QDjD2keKUGy8sZ/2mWg1
DmhpDnUJ1g0W2/CVUa13YurPpAF+7Yb5qneJRJoq3zHPhsYak3TTw2BSbumNWflIxXt/DImlz1wq
65CDIfthZJbckJAy20mI3RxYQRuju21cjqRErZyGvr+VFibDMmPoB0sF87LCsx2pe0hAaIaENuM4
nF7tdq62TdXdOpwO9mlsnwc2EQ6Z/b1pj9dLNd85f+yv/+2w/aLDZgrKwD+tsn/psN2VfRf9w38B
9RUXyO5+775dvP3f//PPH/2jx+b+ZvFX0XdD0fO7GesPWJ35G5oICgoKmH/atP7ZYzOt3xDDEC5h
oEGQuI6ot/9g1dF+Y69DJ4jci6Equrb/oM9GetenmgYmnm7pkpKe7yF+78P96VTRM4AvGMSU+xFD
kdp4GH/pQmCS3UXk2m/BVMgeTlDi3nixCZfViIv4rGwWwSGLXGKogMHyoMbm44eWgNig4m5o7eAZ
vRaT4tlEVEwX29pXjYlo3eMaHbGTsnmmRckwd0ztfI15DNN6hNfMvKTOJ4lIlJwXwR6bh36us3pT
ezEgHoJNqfJShO/jesbu9d7mCBawN09ym2qtvIpgHV2nUSB9raQfsNFrDblEMEHe4hYUZBSaER7f
YWxJvmHKfjK0JqhYzpg69LlpHtTsMtcfY50hD+Por3rOlyKTKei+8ymINhpZAJELevJ9MdnUJNc4
6JA3H4xq+Fw23XTqZ7L9yAPaxyhGnQ04hfw95obvgSKjrSwsFcLxjYO32bZYgVOh2sdq1jB0kfrX
PkosI4+FgobipTrsesIDrlQfFPeMqMurriUx9TjWY2gxEKW7hRrGwXWc5ZkIfF3UpNbMUeXejCnf
q2bzYJ0SQZCvdDMORg6qo3PD2Kp6FqHrXgcZlQyjjEYX64CZG3TwTJVbx83JPMMdNFZ5dZWK2ru2
2mhxxknP2rdcvy3Tfe8ys2N03lGkLpcx/3b8YC+T0FreCVG7NxrnCE4ppCB7k2vtc8GexB4j7gPg
ghcxLqKDRmz4xdg75VXa1IN2N8t82thOIg7YGJRfZ3Cs2ZsNq90T7djxO5OJbRZx/Y1UwvprA4Xp
sdInxs8erS97AS+1b0LL3U3TRcRguWrybsaKCSUyQe+OPSq8Gc2Zeaw34s3yrcF8poHXLhAFzTLW
XaSpF3dOcZ20wrusKtMJt/2khwc5JkW8x+rbzRewUzhMxUGvXRoMe5SvwMttTH10i2jVkgrVXURW
asG5U1V/y0zbwtphjt515aK3Wwk6Q18KMclThGVChb6ZSawTZDjT+fRtwofNXQgCALy7liSqYu7C
hYBtbUEH+gqud0EOergBIRiYAfdnIQkiVO5rtUH37G5DODmg6WCMa92BCWSvX6D+muJHo2q97oBo
1sIjyOPz5AShdoefiBZZGpycPMdDMHTtY1Tn58Azw8uMisJ7TRipDgaj7ryU2iHMdYf8cEI5v6Bn
xgMww8rXmT5tAlzrW93m/3ZIMy9IN1YPcWfEa82LyhMUxXrTsoclvcDvly3nNBh7wsW7HKkH24Z9
sOf11u6L0AxwGzRYGXvLzCsftSl2+wQjtZ3ib6dGa8M3UsKNbD/p8dgvioZ+PXXjgjbQk4uyp6c6
ecVtObuXHe4pgJeixZVTjgcVJ/0GzWxGazmKaDrQcNek9mbNrDRZ0PgkA+8InSGeODagMRP+ecae
d9fNbbh2QrVgAK0H0SwpdH3fU8v25RUg7VthmgYjAY7CYBpBnMs6JGErQMNZ2fgbCkZ2iVUc9aJq
vyeTc9ZnI/gK4ETtR0Dkd4VNcZswoMcPCQJekr58LfrA3NYl0h0VR9NO2vM5rl2c+ACW/Shqs+0k
8A2Ss9b6gn4ADP+mrNapO38tA8xkU+ZczVVz6hRgBPyddCvNstnVQdFsE0KuTjh91JXd4opkMP4N
ylm9K2JmpTFz+y1U9AS7kdX6JXFqe1APMRFXg7bkzYvjlE0DvODweQHNrUPBySd1pmJteH1JYVI2
jyqp1V7Pw+4L/Z6OB0Npu7AZ3/vGznZTlEwbEAkoFlCAPpupRXbrGETywk5kDvWIU8YFBBSV7s1c
WscCVPgWDj3iowo36q4CHH1wA/oNo6Y5N30Vebt4ZmtKcmaunSWxnwz27Jynti44G2IUTDZuHXcY
TOrgwatJDjCtPCDcu4/Os+cCNCnTkrMJAbRPlZPlW4GSZRXEhrvN287blfOAkIIU2EesQdqmG1AG
lQiSznhry+NUKxDG5A/cmPyLU2uPGlyq8MFB2qX7wqtxC7WQ+xojEOMKa1MqDtaYhJdemrsePTKr
RtkS946fwudasPh4RaXCLWZBbPcHQ5hnE8PbaiYtsVlpSHDANQXuzqmc9IB1CmBjhR2qRmnx0FV6
i+W1ZdQb92gCdLO5tYOkvKHZr6O6J+DW7bjSfcZjIAlORC/mj8vQxgAMsBpaqREX4yTfTaZo3/u8
oQ8XmfmMqDxQaHbQBR8K2iQmZIHaWiOrEF/KqB9uI6yZb6Pbh5vKqwmNCoxnzevf47gInxBcEh8+
kZDbSutLIS3txDtFGpyZLkAi1rl5qoMvYSN3NFifA7t/dY3a2s0lwR1zgI3bjKenaZi8NcgVY+04
zUudA3AZTP2CvEhAsMKovoeBAw0h0aCau2ayH6CQl74xM8if7UAg7LGbTdqq9KYQ9rkIAVDS4us3
eWcw4TZC3Fm+ihoFRUzk8zmc0MBUefvWJ9E9YwhKKeoLujGk5ZlDtv9/7J3Jct3I1a1f5Y87R0Wi
Bwb/4J6eh30jUtQEQVEieiDRJTLx9PeDZPuW5Iiq8NwRtss2JZ4GwM7Mvdf6VmgXEB2T1a8Xr8W1
9Lt1M9NF25FT3Uazyu2B7ORvTlk+WU7A/GzuxJfMCfNTm0fhd4IoHiZlfyScPqI+J8jGCl/R/Qls
Y4QS6FKE59gky5UUExZst3ttU84CODXOc1Mm1E4p96rpyl2UKvdUaFNfuEpekAVIak9gf8pnU15V
3PMYuQL7YPcDrYZiBC4riiMAHHluR/3oLYi+7CVrmGzC18iK5dvI/nM7ulP7SNsepD02rRJ9q2vo
pzRq7zMG2phmqA96IlGgt6L3JHU+24COXkXnu7dglyvstj7uxJH7yn+vndq+yJeJQVuWy0vZMJOb
Oud7WM/EUtrf6Hp2Ge72Sm7tZphPkUyA7njS2+fEI8DqCLIjO5bwAbJ/ugP8WBwEu8dbpwkTKBjt
ueeit1V/zPGcZmbwtn4ouUWZ4BF6pVHA2Xg+XFl8IlUnYKqaTUc5o5TB2d60D1NGhkvBUTBUAZ+O
jCSPJf3K6oZgR87k8wh4bt1sdnZzizI23XpzzCmv/fDz9MQADV+9JW6TebhdKoRb2Uia4RBuClRV
zEUbCML6aR4mFJQjJuDmmt1ajgppodM2Ii80ZiJbQE3p1hQ85j5YJ+i1bu4zqgo9/woCcHQV1F1D
Tla/cQxUVGIf6+XO6ZvyZxvnvwe/vzv4cXyjCfEvF9W/Hfyevuu34Zfz3s+/8U9eh/sHSauOCxMy
CCE5rsajf/E6gj8Cdw27i+jtYn/iWPfPE19AYmDAj5wA0QVkQfBn/zjxOf4fEaltOE9w1fz0rP0H
Jz7bc3878tGTg1bDwQO53Hr2dNZB05+OfDwvFvCZlnSlzulfFIoehLXmPdJOdbPYFi57y6Zs0dx+
COfoehgkrGBVdI+ytR470Q/nCbHqpovC5dprJ+vCJG6QIG0tsrup6aw3EgQQjgWtQH8YJat+yHfS
4a4JfePee15eOjVG+8oOLxa7jxyEbItoPw1V55AVZJVL6x5lOUp5DcVAhMUWMNKCFgnIx1h7myQh
1fiwLKmgyMu577tPVdSM0A3ChjPQOYt14DDNTuJxH2bCG1C4eajTR4BkFfWwKVe5u3YMQXs5bUP7
HLYGY75JB8LqFuapOHC9REdHGlPGv5jy1oehVdL8L54SY1nTGolUKiRUrd++FU0SfUuDAjnz4nAw
Iqw0a4VCDTFA5iFQtC8kh4rKQ7dJ9/EyEu4ybCfocZdJYbOizSOP8UGBsVb7pWXKtgMmeAKAR6ZX
k48EtTTuiDxSR2iOI/8Vwp+3idw0O+VD/pjCd+ZiTcV1RwE7Fc78XLTAMwpAKcDR4vRUzinA7K5O
s5dc5xw9jcovSMC5br3+MoNh8TKkdbOFWnDn1hokSqNiTsdp8D7qZCasZ35dCjaADrDlUuMA0uWz
VmODpM4uzvjRvqZ52+/dpJwel2iCkcU57cj56JmxTLuh/s5HtLGQUJzmiP3yAd7lc1A5HzRWxssF
xtsmLtObJevCbT2Nr209nGvVNqdyhAkdAgHVS43224BvkFIQL4w6I0tJMC6d8lkKCxgZVX9f1uo7
fuLgug6W5G6OgYVgK7cQX699djfZlVTXo6e8Vbmnbh2ydXdKQRJJ4QRQyIEC41vrr6MRDFfIiPkC
FEx+aDTqQeJDsu0ydNFXyAPqWCs//xohaDtrWhJ72fnWQyqNhzox/Q6su731rfGRtVs/AuqrjkLW
iM1zmZ+aEozHlItgAzDbJ1raJ0o68r0L6kJ26NFMHtLaZ9XKrPioAnSKfllfcJBtd4BGCFTCwdFs
aQl8bXF/bxX2h32aYlMHnDUQMOvWSO1Hs/UX5Jm+UNUeykG+iRz9ZPsN8LGqfLaq5GIhGHpTD/Sg
/dF68U0iNm6pi3PWoW6yEMF8uKAUvkxLyNpJi76cvRLVZYf4kbNweVWrcroMyGm6g2EddaB/Fgt9
TsDIV2Gz9TctHiTw34VibSM4yzo5pZge6KAQilVh5bkLBDA7tAmIWiTqgQMb3mifoCbkGEPK0NMQ
1CO8BXtJj3nROrTb057kSHfk1bix4IDQ3X+fqo7oo0SpO2QGNols3BZprCo46Vqbb52kqO7T0DPn
acwbxvWzmYE0cGvpLaHFQm873u3K95/HD7vrwEemRB4fAj1N2YcphphnbSa5kI1AJ+cbxh3D6+Bz
tzibzMMcZKtaXGZNXCPZiiQoBcvB54j+oivp+JoiOIZZS5UAq0VYEmcGn7MBg9JlDRfp3D2oDpKf
UmTeToTEmdyL5zCX+qYqrDceqRdnyQVheGVL0A4neavzbgoBQI485YLQ6fxbMkT9Lndk/lz3BbQI
MhTya3r0CpYMrPcdoy5mEHXyCepHiWs9dmlqwLc72zGgptBVV4oe2gNKPOuRHJ7wzSGrapeWMSk3
ddwX6LwyHmMALc4+aZvV8WHEdZCYdj8mI6e+cRxvKixDSFhy8hAsYY79+tQyzg/uCWZ3D0mHYJ4G
RkZalrqDi5TvczOcZuzOziahr85askQbFAXN/eyaV+x2PoqROn7vneE+1B52/KEkJsGNxs+BWc36
ggBrx1UXHjYRaEmcuzejLUcG1ASUFdZoXRqM1IdoxQM0gthaMhOBp6fRShmwqQeRuckRL98ullDX
Jo8LBkwTSW0NnAA9kDqkQudHdmN6RLKFEHZ2CIcsimkj7f5IfCYzVne8jieqFnNZg9CMo5AAsHYx
lp6/Cebe36T2/DBFqL/LiJZgu7IV+GxQg7U+WqZDPy8UNjJbC7qIcf1uVk6DWKORppXdIIey4yy7
Ah0QhAxPMLHiHUETZtfhh8Bm0l3EVgzDypIfugs/EQzY7uEETgcxyHxL44tYSg+pEbTF7DCh1zpb
ZfdtTahmu4k4XFdEOszrqdMJm1uG0gJ6Cxe2EaY4zCujYqENjaobbkUnETfDwyKDPiU2zIr4zBPm
L+bNJfWuC74sK/+iQTRDnuT4xWnL8tKXSbKxDcDSxAUVL00BqrJSeJRWkMZclh/Q3uODxuCSyjWY
/QdyA1Rdcp0gBaeXUlD6yzj9uhKEt4IYvrukdJJtRi/nZvYixeLu4BgT6SvAig9OnN+9Ma8Olc+G
QWnvBR048Rnl0D1XEb9q6eFTSY7eH/3kMeXDNLHzKKJEooIQaf2quI+dVl6IH3CREsHjDHNkqhOx
o5i2VO1cvUQGKKs3uo95DtlUpTSfCo2qcgry6itZGA55HaBNJq8ODoUKMaTEVnNgolZfMZud96NZ
vK1yzdchSwwz0CDEyMZ7mLOy3AsOzc+DcJa70h2gijYL7AFomBOkzhlfar9R4A1feezLkaZOEz11
oc/fRf3+iOb9Iqj0jIs0Tu+noZrv/DEpXsMiePSDAFl5ld54Tjuc3ClKcUZlhURJlPBF09v1PtGl
nLFLcbYwY7T3liRwtujR8RxNaoYWtIJr8kDRAE9bh+abbmixcZ03jrTbW2Uv40ksOjyF2o++zOUg
XieAOYVMxttFuHgylMrUCeuaS5JYoGiCF3hhPCFH3JAZMFpHxfSzfZ87QtQPXRT7DwipBrGlalps
MaAVbH1vqD6GHlTD+qCmXFP0WS3Wuj44Smn7PDINLfgTh9xl2k6E4Oygf+JrMEjWR3GFab/4POD/
/Nqk3bmas2RB0ZSl2y51v5Ff6NOGy513GE/Q0hYylcuNlU/6Qs4rUCkvs2LaATrV72JFL8kfEKYV
x5RQPK8VHrtj3AR3S9BcJhwRw51iOdAnpngFt3Ogwm9JGpKc6gzhbTz6+Ysve+/annJ/B6Ws2vvw
uJEXyIVmTkdPuR3d9qF3vT7neCiGG106Eb3WpMU3NsoJOgpOznrH4ACc1Qq2Su2+OCQhwCt7RV9J
3heqkcA6FmQn1EekAPkL1ax8YYmbPlezFo9lMSY4T8P8QvgzO96kC85doyy0iwiLyo1BAf2cOjka
N2UZUkwWIKUoUHggMkHCgsyr+Oys2K+s1na50V4jsSKlYo+3rr8fFz2+iGiZvvlM1U/R0MaXbVGM
t16a9Z9a1++x7w1tMe5cwu7K2l9N71mHFKIfiZXk+DDM0MKosFvOSVO8W2LpIqCopFH7vOB5uATM
gScvWmFqcxItwecUu/yyU2Dt2f1MXsyD2INjw7tJ598rveAmIK7xVYVzYLFZmR6rpcFaDrnOuq4a
nb8CxmwOfRLV3q5edEXHvyErMyrSaON5QI43w8qUE4lO7hV/9KRryiuS9UeShxo2Yd30tVnpdBYO
z0MwLull/4Nf16wou7FW9RODatQ0InSO88q8K1rod6Yes12bdtVWWkvFCKaX/mFeqXkMw/p+5y8M
cgoG1XtV2NNV3SwThKKiOU1AX+8cgmvNQ4SltL3VaaZ9rBxadNh/IcE7bBZqWqRmja6YHAYB39hu
5jTqMLV0s/fYjmlQ4lGeTBuF/XAq4qyOIUmQVnNZac/aBkNh76EZNv3OHTLqKPpDzdYpcE9jFvgv
DjkdaGTnVIanvuRZ/Iq1INkJq0jSq1ypvGMGg/cZ3V867wJnIoGvtMKZ6gNR9QrEojxNxBs96G7k
LEAOzXHxg2ynRmOd6a3Ki557cjeNbn4lCx+PtTOFH3Xfeu+iWRvmfU67+qhr+TSUcZK/YmOYtjXp
M3QZg1Uytyx0KoHuf28jmZ6CqWYLbjPx2XZ5Hz4vxSz2eUB13sdDVR6APCxvgo315WwILK44H7eh
FMeWX3tenG68l9iVP2faqx/m2fbPi8znrVN7cudnNqlHdla7YLlRr2CvZHfQrQkw2I+2fV+0N1iO
YC7wHj9h4URfoHUMqtYu9ilrHZvzzuy104/7qQov6PWqXcvB/WFM8/jQl8J58zH3neqyl0BmqUyY
qqNNmLfZMU9dtetbQPBuXgdc3iGbv1YxPEashLeuzuJvAseP4p1gPxAOYwHHnDq76thKTekVeueI
1E70tAyTgu4gY+3vO0YS6JKXSmzg4yEhT+qMwCSW8URb5ZeBPf2mjcP6ZGE0B0jFStLMQUOyBGbN
rSUsg3fNdQ9t4qHUj0PrdnQX8yDn7DQxqrzWJb10P23cnh04BrrKZNl3KQPvGgMoZirZpYyzyJAq
Bwr/JAsmGxls3x7ffY+6nUVnNvfZKOIbpVNSX2h1nsog9/dMqSiYQ9uec2HfRVGt8HDiMiZXFLRd
yFS4aYFrs7HropsS3vxW16Lc2xV2paKK3dcUk8zGndfA6zrPaljZwyuAwhLFdXT0fG2LTSvVNwEg
+hRh97gw9crk5+CZA4gaJ1RK6Yq4ZDZUhCkxZ0v15sdutgckj1eh0Z8ltuUsjXZm6ch2qj4PBeb2
yplEu4ezToSUdt19ENHORaCanLEZ+G+wuxM4+SLYsme2xdZqyFHcr8GqE2bz7gqOXMPdMoQY/8pw
6/ReflWlaXlH/0GI3eTpKdorKdTNMLLfJive2XVr+0dHg7yIu67aE0G0nJj9i+9zwxGtGAt1qr1x
2s1W58AlC+kIyP59zPR4DmsSiODkh2f6WrssM5Kk5gAbKkK8M8NRdb+UWXpIGdxyXmMrZhrUQt5S
1BfNJFWJyW8wLwwXyClT87WLWuCZrdRTbnV4/vsxvMwCpAmdXtg4thkJb8vaZp+sHq/z9CW2O3wy
xt1khfPcWJS8QnkwlAPS6WffjV4yTUSq2/UMuEWkUKgm/tPSlsRSL6Vz2ZjsKrea11GGw8kM2SP0
9g+82+z/DLujJpWkdLUOGfVEMLiq8b4N0AJ3IkUOLa36WUPC+JCytrAT4v2H/wiJcWtpOTGtCeqH
yIwi3bRpAb1ERskXJSYmHlopnAaxmR86eIuMzKKEaQ4NiPngDwgw2fzTLvcqDdxtcuOHhoKFntD1
24CPl4QT44JstHgS6n0gyv5MG3wzLzl5bSZNdlwqGV7Dwpa3KvBoEtiltaaRlTmeVge4J5JPhE/7
SWTyBpdYdMF/4UdlE304qfMAJ57iEeXE2kM4PxufxdV25/eklBMGTatM9zpYJxIhuHu/0uclD0se
dfu5Z0naVja41clZe4GyoaUdT+EmtIM1OXxkl5dDLkTv6G3TwaEkBLpX86loMS6q7ksaLWf00WJL
8CqTndS6TmJmr0tF4izwwrO0wQzPbhnuwzKoztKn/QdRbtg2bPUh9CGbTbzuqk/VPQndWDNz7vjE
+Az9m/vOgxJHYya8aDzQm6E1ZkfOLjQQl9q6nR3vJbe94XJMLAlsP0DcXLnNMRMy3edtbZ90weGs
96fhokHsR+dibDei9L8xGIzvJ0vQhkvA7GWt+VLCDdk6o3EPuORxqo3uV4z69uMcwT4PNHN3hPDt
/N0fQvVI7YM3EfhksEF4P/cdzShhF7hLLe+6wklPnyXPnX0vyvIUB821N1bDNllcD2dITsLMPkQw
zrgBjNiZvDlGjguJBrmRbwOslNdViV6v8VTLewm1U29tU1pvbVD3t6GorFPBgtdDig31KSqL/ios
OSJh7yhgReUpoxUv3bu1MV/ZZ/FopbJ+y5ms3Lazm1wvYza9W3nwgfTASKgC1nDuaEPfL9qDyJ+H
c7OVuZg/Rdqf7hwn85abVVcuN3NYt0e6oDVo0NGVK5Q0ONhtboeM+nO9k2iO+i0SAwnCFfmcJxLr
xkbVq3CiDzjaEvVkUv8TOwT/sQNYQBCjGU88BwhJ+oEpXRw9z1FAhc8a5zEVDJeGzL2N7CF5q/Ua
G1Qn0dYOHWQK1RpPfDk7bGquKsb0m45MEJAS8agPadC32O3yYDp7DfVnE4yEVhzTBEEtTaIKVze9
MPY0dWBvGg43bO/mVvrbMGj751563WXXkVmwwVQbE5Mm6PEZWeBpoi68Bq2O3RtmUeJJ8QuCXdRN
y8uEHHzDY5zQNKJBnTElNsO1O8npKuTuATciZ9CVXZMDkJSy37FgxZuRiHV2TAYlpO2MRBb047oT
osq81mUQfvH6LOLRnorxJCMcwZ2lOzatEYyeTWpVCmuFqx/9SY40nwSTMvKSiW+XDjSQ6ofwIoMn
S0hKkuodPTXzYEoE4FuXB22/dCslNBw4eGuHJZotaC13ypUfM9vrPSOCe2OxrYeHQ/4FcqmdL6f5
mOZJd69T5bwUBTvwHaq6mvO6b98NXYvnHTlW9DD4Pesptay9AyigXiwvn85u1tGXqRngX/fGGl9K
aYkbggTM0ZHoojm8Du79gJ3nIcbvz5zSTuJLy8qcrwb8wHkcIvXoOKtEVzsTT2nbUFY3tR8Bp4wG
IP9gRAoeyhlv4G6a6Qpu3B718Q0d/pH1JO7dCvOPY/zDGMw+V7ou9snYp8VOl8Pdkg4E+gVGYjCn
DfUkljA9w/kqtw3ssg9ABDb4h4GN2hIAqKHT0aM0R/BGBE/evUyB3x5mi1U3bT0WM26pHYedfC/S
oThCC4gEISr1ZZ/o8ELNYtzDnSmvpN2QEF/im7hqEVx/Ii9zJBJQk3SNwol8md5LKCejdS8hftwg
9I9ONYj1/aAWecT96G1dWXKXWD0y4Ahfyme6txaL2CyfBPu7q77t5sM0svunnRnSpbEyGGGF2kZx
CmKAWcY2lUN9PY3xu6Vse09xAsqc+ePOMot9jcHB37oFtoC8cy/azI7ucJHqi9n46hwQXDNvQGaD
8ubUMbFj3NJv7s9DFk/XcFXLK2KEvsJrsvcKpNWhiMxbCmtn63hkRSdRQVvRTmp6Zb15BieeHMLe
zvbSWYjl4kY/ZgqQiOqNcwFqjZ5NWzbGodG27BBqgShB07kZfeTlllj61xzjx5ajAlkWvcYjEdqM
caOwpQ9s43vfAcBR1YP2s5w5M4tN4a9CknJR5ZUVdrvZZ3xDj9Vmp9FmBxt5ziZulxu/XPj/RXI/
uNrczmNDH1iVz/HgfHZTirVvNfscOfuOTslb3PRwpFIGHjNww91gVWLXYIA5OHaJCcyrj15aPCwR
sZAtcDPkxSDXyUG7Bd/sbqqie5FDV9wFKcIwyzmxsRqPiuzVL5ZmDOJAdXUFwa1iYYcMiQSBDXGQ
G6Qcb3VcdPfz1N2jtqvMRrQRS7u9HgSzyrolZs5s0T9kF10jnCu8ft88K5yu1wCdTU/9xwK5ICwH
ufZ5nJm1p7W+UlJqzMLdy49Z7H/H1n83tvbQzvzV2PrT+Jb9MrX++Rf+MbUmyeEPAQKU5tc/ZcX/
mlrb3h8iwObo24LIQLTC/5pae4iRoS/a0Z8CEX8kTwgBi8pe8yX+QxDAD3rln/xQBNLjtBTEq/2Y
VAe/I1FbBBLso8icjRkrAuGIEEOaww9IV1177kWpV16eSlN5yVgG5acxKGZyBPFmRcf1YNBXgQbu
jWmK94jW9AO8SP+OKjsIMq8qTR4q1tRZTJx1iKrykvnBCo1uOLrECkbCJ3ZKBBLCLyHtEwwTSa8b
USXWbVwzozi3fUGncevAw44+XBmafDrNqL410KpwsvPkAsiKVWC0jjr1KBVf8qPVtCGdOS9zvD0x
az0OcwaO7EhKNmUkVCmWecmMMK2ddDUkLAbDQO3VcAeq/AZsXkYbj0IGCytInprayQCQwdXhQ+GS
BmzwdcYH9RQVHhsEWWfFvW79m1HTpVxQqhyyNpneklx+7xyb9mbO1hT3QoGEtlXoBbGNLMhhzgVK
KD9kWSqZ/uAZF6q7dNgjN/a2oPDeZGmprAs9t/SGy9JKzaNl7GmhVZ6WxTpokb4THp18FdmoRLRj
d7JFCtalgs6lulI/gI3O+2upB5bckhXXwbz2ky7534LwNwWB++gv/Qv/t3obyl98Cz//xj8LghP/
gUSENTQK4XAEq0H1p4yFffAfTIKoGBAr6bkG6Ef+oWIBGuKyM6REEJ+E+2slPv5DxeLzI3Qx/NR1
wbRiXPhPfAvurxaz9e3Yjs0OEOQtnzP6vSxEoTJ1PQnveyYWWXxUuE9dwbLoWB3kg5HY7ueiSvPx
MBi3AvQ0gF1/10klmyv0HW3nHKTl4Ucou8hinW7iRCC4iio0hJ96UVswDnpPBktAXDJ7UqAPruo8
5IcV7A28YsU0OLfEm0rIO6lgE0aszZT0+6qYUvZwHsxD5IALGuTo6A40PfyNzgs/7rc03MlbOzSq
WGd0tBqIJfk78OZqev3/RZORBLk863mdf1M2mHD8qvChI2uTzLX43+Uwq5inDVQHwr3ec93yOk79
mJfUdt7UH12AZ+vJC9Fl9FuQHD2fp7HnVH/601pz9/O1/4f2w12bN+Pwv//nh3H6l7eEFNT2EalF
fuBG8e8kAETeCIqGPv1mV8Ivr1EYpD/QHQDkjpkV5Lj26jDHv7GqGaMJ9aaW5XqUlW0JMWUwGCXC
CRH6uRJqgOmxJOlCs7nSXIr9yBB5ec5Ic7T0PljKLrhZyLDgj9XkZfgdCXtgneK/8R7/6gf2IJuu
92DMmkhqL+Tw32yVSVbCCAOl9l3MaAke/Sa32oe6wiR999ff3q/W//WFoA2QrBL4dsSX97uhkvZO
Fy/wMb7hkEMEvJdVUnokLQiecO2GhXdLmLYP6sAEfmWNW2mnoXoo8WH8XZbrr3a8H+9kdSXh0olc
RtK/p/faMGqw+hfBN4XsILjxmeiCDoEqiJLgnKJkZFb515/9375kGK0Qcn0Q1wIY4O+EZwAZVgjg
yn2vJryGbOeNtHD5qYh4ov/MTL5+OgqXZ6+OcoTBlL9fnxv6DFUp8Zp803bKhPq7w2KY0WqUE/dd
Cs2Sr7gywbqT+E8/JPdQsP4LAQlFl2L7Z0keEa5DHxfl8K4FOcEYs8MqgvnDyIZv969fyv73S4gL
2AHQjYGd4v07u6JoW7tEvlJ/Gxgp1eGJhnLzqXJGatR2JHI1lbc6XhJRX7V53wRi76usXJ6LIcQL
s6krCmJClmJSx/c4dxFAMoxvnOqKrJE+Mqdp9rz676DMvxqYuTBka+PxxrmCZvHfwfhsUlAwOaJ5
b8zY8y4w7pTFh7INHti2rQNOaQmaMSyzf/Nl/fvdtxpPHTqNtgM4+feylVg24c29b31dfMsGthmH
fg54LYxk1iPpd2mGVLTivDJ8M1mV4j3o+r7HvVxb2lFPeb3MHHyg+y7j15TZTox1KXDMpV8bb4h2
f/1ueS64T/5UZUPeYOj/eEwQhET279fWx23U11Pffs0iEFnwiOg7L3cYEXpuqgUTk1Ekc9AfuLHc
JOdpGhrPYzEAm2IolnHppeadG7AuPgKGBPyGPPEwjKPN90g4/lmASV+luviaCNDPQxoD1NyqOiy5
UxWjHq5O048By3Dj0qSFb1Qna4m2aKTwgo7RVXSPI37Ur4tZtxAbWvqoGXYOeZMUebHAfS4Ojtet
7IEum3NshIFX1N+Dme20vXEZESx3PP6x/5lcEm7NnlYD79GWRdxMgGsn+zNHelnQawp0tTwvpEKq
J9V3Afbhgv9n3mRNQQVZA0xarpmTYb/pNmDywERuC1diEwSox+/ghIAwk7mFyRqMe5thLhz+ZMC+
nj+Sk0VaB0df6Wy8H+ljspiZjvbwuB16r4DnVaQxL23RnOWPY4ZcX42NsoTSEZd599pFua9OCcTe
/LryGnw9s02Y1iU6MjOdicDR3Es6StbKl5MVYy4jxTSPjJZkXNfMLoK32tPE60aIHC1zd1rD//gA
Pgp/PmpDGkNQ7ARdU75QXzTcfoNO1yJW1SHZc/sOli7/ADlm6mI7SHq///wdnezgS2Mc9PMMvlfU
0uokx3O1LU5YMXhpLTOKo3FbPlP681v14NDyzfmRxDZymueRdnRT9RNGHTuL11ckLopdmyF/k69F
mhDs5o5Cv94ubYxR+8MtSboc9kUSFPUD4t42hNDmuuvtIv0CuTtSpDjmrkkdJI1QdzSd2HVgYycA
pvBgRzgLPTgn712t0bNusYPCFN76FEY7eYyIq+E7WUKwMvCPgkbRM0oXrCDRrrC1y88Mvaf1QxSx
DPR15yaqSfctdlHecegoqsC+X1CloNCAXs876V1AJKgxI4CO6hwPyuO3tKb1eBSmwgWLwZUfQ9au
3mlH3hJ6t/WF5qlY34sXZ6s/H005j6ABvc+d4i5B4J1UELm8PRxXENS3OiEoLL8ZwOb5n/PJ439A
8jIhbwtv5voddxDvio9JzxNf50KPit9UsQX0TsVILz48MDNcb9F1a62eZNTwn53NmJapVTFSG9g6
LuwyPCB06sH0ZlmLR0Y/663o3H59pL14/aWEINlcCYyhE/+AgO2qpxB1N98CHW45mJPSYijqawUk
ml/Y9QOY9C390Gm9q5llADuTZbzY/gkpga/7XSGe4szPiXO0ocuvlSmrMKIcwJgeSDdOpXsYS5N6
Akn1AhM7VUIud74xmts/GhCSMrtHRoMJrTNzi8rD99WatyzGqgOPlRRufttiVGPMyF59vcJQhg2q
YlRYA6fZfCA4A8Zy340Y6nRFwvF8WSYDXCSaZgPXpvMiFOFvzWDDs8cbV5gUNmHdJR651khbdMRZ
OveQ8lCIKTd7KJ9YpOiFIv2jGc2+XatN4iCePSVuMflE7XHwJzHtfZlBVQPVs4k9Wg5xQWsDg3Gf
6SxjKo+7yg45xWMy4uZBC7jeiTTfsWmXJlnvSzHpgXsocfOuTC9p+y78rHPU1Ns3i+9SKjHC8S3t
6pLr0Wy0sOypu4E07VByCzQrXKXG9lZmHkyVmd8Vd2KtgnCVV7aCyNFyKSw3kkEgEpSh42cgada6
VApV6/t4RNgDdQZWM+VJejrg+0NhQXVQfIs8C7ZDwx30R9e7iOS4+p3xLyMDCvwUVcPCG8+0NfHS
ng0PWR4olyxHysDec6GkMCsY9pFXrYvsOE4dt6PGfAZ5JYx6RpQbE2WWd6uFwQu3oUT53kl2Y8NH
ikju7DHPOesWa21hm3dC1zmNgBBczyFU/fXLmdvOhTOFsCLq4n2aFbNrXUzFsqC0AFqZ7rpkbhK6
tuikHpNO8+GZ41dUe2UA1MtDWNCuV4e2zkIe7IKOCDdPlNPXgU7x87YmQX39mfFalxt3oT/KOw9a
YtSZTVkRi5ZtcVe6ezfsYUbi9alSwfNppTlPLq4KYGvoBe2QwW1O2d0NcQnlnQmmbYIvVjNX/aOo
dfUUO07MHKrvYcifg4ZBO9HQapLvtIU667JPa2aLSDlCd0sSc959yam5y6EMIV1884pq6R/qdUL4
Ni+kOd4S8okABH0GjCjm0DO4y6hoYigkned6Axyd2Y/UTd/RNEOLXIvavnIrltV9Eo0IXzquEe5C
yGXdQoZio3oPAT6amHVLv/SzqTYeAGwn3sjeMuNrTDah9xhUo/HSbdF55SroJzguaTcy5vMn3KdJ
OqKQZyWrtuFSzcuyi/NqEf0hcRa6f5qHg4i4kZQ9IWx863GYujufDdrylDJ9aFn4ghHZAu6raON6
o2NvDTpstJdAWIZ4TQxYTShh6PTb1K/SU+i44w6fPZiOJG6EONqznTmHRGrS7DYjAHyGv4nrW3eS
fFHv0zSQ9NceBc1BCdKmFVo/6VEjH7ZAxVsPnuUNeMsa7moEX0HQf1pCkoJWC20Q9vLIxDRdNLKI
UAY7enNVeUzysdAHbJERgve4bF0nQyTxw6Fg10XUfMtoeiq9Y7pmuu8xoKcJXUgo23DjuIM/Ejad
NP+PvTNZjhvZsu2vXHtzyAB3tIM3iZ5kUOwpURMYKUroO0ePr6/lpLJSpColy/kd3cqSREagcT9+
zt5rN45PRKjpwDkMSSGE1Wh5RpbhO6gpa+NvsY/zBLFn5WcwPDeWg3DV3bqyk0aEiZUvk17+qL7N
OQ9d63rEllG1qxGVLNtSjRe2du6Y59S1vanDUYUD9RTdwewwD55DNRaaIy+MwurO818aKuU1VHLS
gDMHE71+uRviaNlr2cB5HcjU1Stc4Zi6wkyMObRC0K35GCFElm09+mdLExmUpE7cIB4+hx+XsssQ
UBCJZU/+Aj8TSnylqz+3zfTJAdYAkoj1TDcXBFPfFIn72cE4y0exasMDZRoZHb0GRA8Oy6TTtlT2
Pqm2tdgD76AKHk1qN9BPM81p5yz1E71phAZpoOzhRQv1neBbd5GHwBY5JVEpOPEbJyTOmXxR6hKf
fpPjFEoviEUu2KNHnzTlkVlY0HGB6tLTO6ffjBOfVEWxx+/uvcWrlpvBdiDVrKsQnkHJwawKeZda
p1J8/jZI9TqZ2V7OXxGpFfCJyMJsLci2CooSdsZwYLURXa/cp5E5crVzReqVx6hKB7ZFbFi6lipr
T5cscdDpa9RVpdtZ33ujnQHqjLk19CS7WCV9A4QvWKcYbplQt4pz1vBZl0gv7R63LfQu9WMHI4SK
65hVKA+6tUsCLJ/ekqHBhQTInQYV5nvUn9/z3uDCajaC/gR9a6CSPvx1JZaGV2jV13KhIvXKmJ9Y
FZ2LaDOzIEaR/8k0m0uWmNQB104xhc7nXFn0nl5vIxumZd1z/Ou7W78JJ76xhLDOPeph3zOILelx
owxfCNQKCY7OiJnIDjFu/mI8sSlHAa56Qlex1lLr5pNS/UCEaG2WuqgwMYxSgo+Q49gUfbfhYSno
11mE+46mIqcBAQpVSiRCXc0PVa2Uc0Bo0g7+JYoKUSVHF8A2nwdVon4PpFQmX3XIKDJv89bWr0gD
x4mGV5k2/IVwsHWhZgGz+Jw0ln7AZNgnMNsa4YHq30Svu2s8kOhsrBGfUKiuAVRRBbpS6Xqzc/Xz
GOYpfMG1yRUA/Ld4kKvW/P/136YqURByc99ju7QQRLOHxTEiLRqqbh/pYh6LLR/m9fXIOoajt3k/
VtxU1bLwFUc5ySH6MvhjlBDMhp8OxFpB3CmPaYJvgffMRqrPDc9Lkp3Pi9GKhm4T5a1vMfDvikJS
1ALt5d72xlDwu0q0/cOtWQ+JblaAXoTpOlQc+SIvSNTjoPpEu6MyRA0sLvNoy6M9Wl1GxLEjeM4K
UG5c2bR2OLGZFlY5XiM7oLzk4Ml97mZnmc/kiFbyjBCheQJfL2STPQ6xNXFRwtfKp43MgVqjrXzF
t00mvG3z9seJ2F9KwLW7KYoY8myRn0v+K+LMAgvaMIzpK94gzG0mqGFzLWMym/zNEKuI3EnfrWV/
i3JQ9gYgZQghlwZOe12zu2hONKMRLyVz6UDpQj6qK56PsA0j7lpX0NAl88A3FiJRFKYxapTAgeXI
Vdcr7mI1nHlPGq8ux1afH3icXIdfT2sP0z0/tmZNdg+15wBa3pZYcqhoLN+C7jlnGFK+vr565ZDr
0io3Cm1nmBui6YghHQi95cEoR90/Iodj1o8kHtmxvDDtiUEbF2TRJ24nMDou5Gh5+hXntBzV5y65
YBSv85hG+xAfS3/lTt7Snvj9ZOVIyQVnCjY2bC5AVKYOUdyOOJaKHxPYHZ7rfdqUuhIVwKFZZ8bX
U+OUReRwnDQgQVikKPh7FwzvyOq8RbugT4GvB4s8RFRDD2BBW4pBoHEB+q06f+HEaw9+yoPOIcnk
6R/jsuSWJhap5NnBZQmVWO9i1vxua0zIzM69muYIfxEZ03JJtJNesDpuI8BkRCLQEVaugb+eyUCM
u+1RVsjzg+38unIE+Eq5hoWV6afy912j/6Nn5JsS3xcDHc+x3jdY/akikwnoz9MUdvqcqS0MsbMx
7JmM2VULtoNb+vtf+b6rRpsKbqcDRpdwIFia4m27c67L0jc7t3ty3FFPb14fjdxH3/ynb/frr2I8
TY0LNBeMzC/8OBFH9TLQnXgi7EKvT5VrS5gDE4s1a9fvv9ZLN/Bt+00nMUqmmrYk/vD93KU1LSw3
eSafJln0HGT6uBA8idA7Yl7DWMFyK0BQVCwaPfALIHaQDhogvjU0G0gUA5YZunAcefXa87oy/5h9
lCrSRwQ81C17Aqrskf/6/cf/5VIBpyHhMLAYt2MSN/Wf/+QLn1RYdNHoOY+kEU98DjYofSxkc+UI
9ftf9cszJ2kMB4yCmAQJHSXw9ldRRiUCkW79GMS+BL8Xzn463luLp18RIEDjHx+59yMUixuDx0E4
/E7GyO8zBlXTSj+if//I1F2vUd3Ey3ZJkLjeIAR5qzP4K+p9iomZ//6GI85UFxor77wOpP8x7vD9
ZWZq6iCl0FNVXjewtW+/+4gMC7Z7JL/Qk+DoiMydLpVfQlL5E7b5/VUWsJf4tlhI+G00x96NAbEh
Nr6Ed/EF/IkHTbjO9dE8STmpHYZY6Krx97cVJcib9rNwGIP5FkNehwkf7aO3Xw2m5sJiMqsvqmRO
FG+VDPUyx6I4c19D1eSThdMsmmPY7pkTszP+/gNouMLbT+DyEJMX4XgerARHvl9ZcBTlVu2VX5rY
nKNyyyxrybZ0PeIg3b+WLYOKdWns2sib8bS9NsUNp9MtL5LNS/aF8fXiFLCauEa0/mfe4gqlCqeF
BdgAW0KbjZXfbnzZGT4ZD1bWsVp7o6M3ywEcFIS7ODR58VcAIXT/tfN6mkfWqCY8xkNGi27rU8yL
7iRhtIzqrMoMXVu1A57EeW0o4XGKaUl+4565dUJt47VSb/GoPGs+lvfaoG8p7Vk1ycfURVPqdy8V
n7B0sRymBbbolUm+Edffj1JFZ1IME8lIeJYz2rK/v/y/PHCeLVDqIPsJSOj65dHuOVnAP1nmhypu
JDVrVMMKqjbB0ukK4EfL+ve/Ur8tPy+5eqkNXmY0PloA733GJIOyuWtaf3wIIlf3GPskcLNztJ4i
Mz6aLdZC4o9ybLr1biJbiBtBUKP+NL//GO+/uYTTSFaK6QZ8bQbveiL/09pZuk05ci/jh6yi/Xma
FDjX7kQ2CnUUbfeHFOX3DznIQceTdIpcTI7AVd895CgToySu2/bL0NRgWp3U048FkYC6svr99xLv
Xml+OhYfDYf0mLyhxHr3xSLsgXleDuKubDsUwCHtyw4XB21UTrpJOrI7rBh4F/yPR8OG53JyZHDP
Yc1R/otDjBYMRx49v69HmVOHWoutC/WEGI7Pscci8JW8yVi3tSZDtwH8zkX0dQLrR7eJs4LpyO0A
NY8vZ2QOe1EUEfbIsjLAFeNUZfXZ1Jyg503mfEeQXWT/AZ/87npzDQKOcCbvqe3JXyemDkmeQeH2
011fpHpnDitGFbhCx4qT8++vt3z3POt7yuLlIrhw2Rbhg759kJCL01O17PDWt6uX39U7tE61Wkpv
TSz1LEGvs/cckQ5XAROu7pL++C81YKbSSSsmF9exAUPqgUZes9KJog3pKBhZ2hvLseVVBeKS1EU2
7mfZc2Da4vvieJyAwORY8mPwx7RID5GMPBW8O4sP5G8A/VjoG744Kb/FeJmO4yDUv3iw6ICi73Vi
fSdTi6plBKbEwl9tOgUEk5PR6wiNN5JnN2Xmwb4XhnQ5iMq0EG1Xf9hv/be3DwaPzSQf6jUh7eyF
jvnuEW74BoNv1uHXfJDe51Qh1d0JxqMHN/Nrmx4/rGAcU8HZjH023NQ2GQuFyPL7IUrMAUd7XzI0
jQjvMWZAm27cNXch59eWvL52iNew9sUBgsBVwajt61DbwEVdZeBnZpbjXgxOWJ3FZtKesyPFmsQS
D9nGaFP5aWGOPJyGakwdgokC097QNQTQsRgdh4N8isd1G6hLm10p25F8I8+9WQ04iOZmy0w8vwf/
ZxP6IJgSpHVHO6/KRkZ4nZV/QTXhnM0TamFSQBronrJW3q1gf36sY7zyq1C5MS2MqG1hgZXl7ejJ
/j6REiCibwLuRKTt1A9ZTywrKUvqhnSclrIo7AGM9emOMcGs2dMMl9fTGBCWh999OCVybduNwUDD
Jk7TT73vunTNwz7DJqCq2wW3y4by0yAw0DDsNcLTK7ubzScxd+0XUhmRW/ZOv44ntyBKoE22aO6T
PxDK3y7WPBCMlVnMHEoFW1AovHsgKto/XoPV8Jn7NV0GghjXrZu/BLQo0737/Rv99oV+/WUeQjm9
zVPDva9IwsWmtCML49k1vQKN0GTeWiX91VVRAM23pXZJRFVxxYgQR8Dvf/cvT/7L10Srw8iGRfz9
eaR32gDOqiqewR9ycCXtmcTWQiLD/8M28fKT/t6GX74lwd3oc0DMsyG/P0ROQCDEgFbm2RqBH1Hz
sF2sKg48yWaKc++6FEWoE5+NGu2sE9QbOWAa36MvdTdT3iH7QqznXihXBaelAcuC/RZuDX3F7r4o
KF5EVxJxIzrLviIkvfxe9NI/lrRnrwYxi0+BxkuurMoy63WURReS1GOSj7zCpXuTMYuzRri1pgrm
Z0xtHaOEXu2syDEfTVIE1wv37w+1kKZF/1SZcEl0GUAZxHWR7NHvSwILsvxk+/PybPf64iPBj/ey
SvPDtEyPJaaBB2kE06YXEUOPhmz5g13OTrn5/SPg/PIxPC3WRLiNlFdv4+82FCsLC8YHsfcc9QwO
aKdhtp98iB6blilJtxnsYjp4RQfEIjHqgmlPVYAlnILzoXah8+deZFwsVmQfsOvSOFNh8KXA9uKs
VWacJ3PpHWc570tZyFt6oPlFZXDTcG7gAlov3cTYBWd7uPbqAP+N4PC9w0fzfXbT5KP06mRPSC2k
ZHBXF5gb825ThW2PMSfu70xHZFdG6bNBuJM17iT4HmxQEHxvxzyICbtuTL4Azs4AKEbECMBLm5RB
CHviDWxJ/wgx1f5k0dUmgSbL8Aj+/uLqa/fmqefaEm1EDepymvWEfv9+qvp6WsLcdy98bhLb+Wg0
Mr2vE2AwmwwjxEdr5Czxh9/4LluBp8rTYkyOOJaQSPDeJ/FYpshVwdb5La1T+5S2GcjUsJ+NMxqV
mFUhpLDSO5F6rsHv3uME7Y5JEphXxhDI3R++/a+PFqUmy6cAhIYS970YUBGC1/pRWX6LJgYMnNur
8EulFpiFgEKcVQOniA5HUZEm3Tn0Cjdp7BIXgxx2Q58kCNYMPIsYp7pLqFmXD7r1Swu9NNr4HOd2
e2iknD66fUxMLTp0e4VtToACIgr6RSAP3lVZfrX2i8Wp9waXZZdmnXEeuJZW0I+ecXyBkpPsx3YG
MKDeRSO79xo7WXYsGPNSUcpiiPCW5RoQC+tgOzD0vHcGjqbUIu1NJyD6xEWOLV15yGV4EhkXrV26
fpcySEpGrijqoCBMzJXIe8vJ80L7cD7WAUjpKsGAvOb6VdYJ4pRR7U03Ep+gHSSf+xLklJ2IRIO1
Uigbv787v64/PCmvwSiWy/15vyRLwSQ0m8bsm+/SHyAdKEifUHnMTA25ZZypvOel1cCY0niaiYoB
6OYOdfGnj/FWqf3ywPpagszWh1mC3sDbdwSlVFu0hIJ/Cwt37qEvkDjvLn2cH5PchQi8DMEtrux+
B1MQzGoQTg+xr4aa54Qo4z9ck//jhcXjSm+ZpUNbWsTbD7MU/ThUU5Z+izzTvWlcq70WOWZej8bu
Gfti/xGgWHda22Vxkk/SOu9Kj42M9JTpMvFiH0FyOQ44xXv5HeV846zACWc3f/iUv5QMHh4c6fCK
o5nmUPnukg0FJsWgsftvdL2b6I7KAvwenUQwPC12feEOGTMlSMKgApVTfY8X04NcCB1n3JP91t47
QR4dTZJQ7nD990xI2AV2+FRyLneUemvAE1DhXz71f30Wt3NNoOrjc5GUm6TlkPK1+9lHhZiWdfGf
caF//Zv/VN//A1+pL56SN66L13//w3XhuR/Q7vPk0BOVdNIEpesPeKjnfcBqBbaTUzhdBtos/2u7
kP4HUhTRoQc0BdCPuPzRD9sFf0QwEi0xQvgcTwj+6N/AQ/X78feGh9YdzSehrARP2MiyaQe8fX9m
q8xYxyfzgDptXUTfc2qDaQatThJEOXJsSszT1gy3Qdh/BjawSmX7h3omePsKv34E6boQ3fjOIrDe
vRwVHKva9yPzUKnZJBbuJrGIZFx6Dl2iMcdNaphoSPLwvK6jdM+eXW5H8WAPqGziDQVjdG4uxgqM
/q7D+lR71sdGB9TZDlRPYiCNgaQAs/5qT1DmoHP08PzBm2CNx4OKwN4m/TmZ79qF2R4RCa2xnZ3g
YONtYsfJ3GNjDiUUa7OrepyzrZQbM+vBFpb3Mw4nxdNwmFwfqWm0soU8i/rRoyO7cAjiC/gawu6T
DO2kKFE62W7b7Ggb/VUel/0WisgKA3Z35QYPljS2beQ9LujTtkVqrQJXrm0Xak4TrEin3vZVDhOq
WKs+u56M8DZtRs28LrZDV38hqsHcJ3l/GbUexuXyaSHBqEuzdQPoac+Q0V+NRAKtZFl+LSbb3GcI
iVezOX4t7WgTuX17BM4MoYRqu3YBSFTLLsnkRVSk0esR5r/Lyh+WFebTuvfzz+vK4XF8TJKfV6If
/+QvA5dj8+qzWnAoe7Fi8S7/xSF2zQ/MndiM6SE6/BX27B8OLiE+cGShwkRFbuMQ9Zmj/FhKLFYZ
WiiUe3SZGNsF1r9ZSpy3mxznEQnWNNDaelynVNH6kP5T7UwnNQcrG4mbtq1rqIpL0c4oH/mc6yUv
NKMyUldxkquvwO3FbRxnxrUIGk4atkHjIU98Z523E1gnk7bWxnCtdRcY4OymoX6gNc7PcY1I4F8f
quQyVdiJIOY72mg+ZTvgfxgw0eMfhUEPIA7IjE/ou+8rMWfXSyqXQxB58GUso/+mnadISO3RvjB0
GMtU5lgY47YbH1Gkzo9ob2G1RDGXbR1jFktWKlPLzsvN5tSZjfqpF3H6yGxtvjQyIGMCGcXDrBa1
DmpaEWs5L923QUUWHD3CICOmdFekNl5ZnZFAI8hbcddLEuj/sJS+tB7+Xs1fboFLxiR31TQDn3H9
21tQ0IdNjbB1bxYlgxMkYs62FpP2mFcgnTjEg+FaJaIILqloxbHEXUfygusDSE5Qe5L7Qr1Mt6U6
gbQ3kOjqxB9Fb1fPlNfGJ+RlLV5bCnonSYkEdDqigv24y+/zHMpNFKt617eyuvB9ddfl5IJChzuS
riFuRSzApgbPaeM2Tz+9JJev3+5nI5oGaf+0hfGlCbnVDzBOZ5O4wPf1aE3XNQpNcD52VYQPlr77
EZaYz8wpp0uDoR9ST6lOGJx0WzvGW7sqUH/tWpku58jxzaeatJVkFTjjdBEx2D8dAdjdhDP/V0Ol
9g3dnUUepxgv4t5F/Bg106Xjh/d0GMU+gGRFnPA4rN0sNw8JeybuN2Xss0FjCknb2BIWxDMtO3M4
Mxf5XLr9cVTCOmAvdA6zryhH7RAH4jRn28kBVWzWQbxzkoe8DlAl2NX4Fcc0dv8OUk+NXP0EPSVG
6I7wojAm/qMeQA4n43TNS5l99AaDl6nNkkMmNSYnVRzdldtusnRBlmsT2INBeiK5LtHR1l4a7MEh
0I9JiAb3ynK6RsBBUDFzs/ScjPHmiOpKfJq7sv7m502BnXBUQOVIeGvofHgW+oa2PQRTnZwx2TLP
Q+qJS7+0hnMna/hyQvbQjJp4SSEtxClINBsUEUao6aLtLC4oelfyZvzlgFiadxNe+FUxjMQmxW3z
FND8OdoIh9ZmNE1/mLu8W7PoHPu05fUYhBhF3c+Tb18YkiHCMBo84xrM2HLVBTSGQaXn9xww0f97
fbBmRsizo6rl6yj8Zd2yq8M9G+f4OcWE/rF2RXjadGbzyQNCtAFgZu4bv/48BXa2aXq3uCsafko2
KCcH8wd1KOfeHysd+mF20bJtnWjazkTUXk+EtNsr+sHBeu6N+dyOQ1SnqIZ3CAKJkK6BW50qp+6s
LYhnsU3MvuFnTsP0UWXVcvXy2NYpUG8opvO5ahzraNVVCJbbNz/7RtHSVLPaTyDfmo+QxiEBQw/k
uC4JX3oCCrNvCBfCkj4FMK6Ql7p7myR1b5v5sX/hm1g6tr9/dd95SPXll1ougnXNZYSObuTt5R8b
qzWiRYXXQtWusekgEwB0bIybdAn4BlYqUPg3rXGbzgkNAGeqg/ocWWE87X367zPi3okrI/ImPPWz
oX7MBpcIn6AZ6wjPpAoflD3zZeixWCdN0hu7f/8FKOr4WC4CT4/x/NsvUC5ZC4Mk8q5zd+m2NBKm
j00dRbsGr4nS4O4FVvLIeiHQApFh6BhA38r60QxN58wa3fA7755kYZ6rRzl51tFl6HKK1LcPdw3w
sNvcg/SMrDqigvv9Z39nLXu5+Ni6cZjR7gp0+f/2s48FcMXFHp3rqneckuNnG37naQ59QKsqR7uR
LOfp1E4XuTeU+67w+QaiLF0ocMlwSmI0QOJAqJPcGdVJ5TXGLTLNYB+M8HrXqunLi8VvUbYIvv9Y
oPFede3Yfkf+RipMkNhPbTj2J+ayAG/LmmW67O0xK/fe4Kk1MMgFdg8QxA7Y+yeBjfhg+IZ/yvgc
ajUTzl3eymhX5/H0oNxy2atxCMkfi9V2Kb2SpBYhpm/MQlivRGEbw7qthbVdZI1hr8qetCAUZFTZ
QEmv65PcHsKH0uNVpyaYLl9evTAwomcVGvGwRbLGxyOZ5XSZlLjGI0jjo0jlAOC2iZ/Nul12MLrC
B5684ZudF3oF0Zcm9cJTINrEKnBGSVY2Yc3XdUJe7Ux/HWmjgBpukwr02SvSr7IqqpMGyucJY2Zy
RpQYoD3n4oiZrd04Xj59pFPFXvL7B4EikTv9d9nAk4A/lprB8lmzdTn4rmxgrUZuyUTyGqkFnM7Z
5AVbvazNeNub/Rw2tGDjkC8QLzjnKMXqR1d0y9UC4y7bRkV7EtPiBx2T5qcN4a7jai7MJFsD90wK
gDXlroOUyetqeebTTE/zTvtgn8RoD9/6xLONDU7pwtu0sU8KFM3e/HzAI7alPTfzHNilzFe5zEMw
0FZIHF5A3+fgR8YEX7Em0s4u7oBWWJJP2c4kqAtU0I1rXDG8mcdN25v9M64Qlsis1N3JpjpM1tLu
bd7aA/RcXXLq+0puTPepnbKDY2TDvJlEsmwDOX+yavBysvKZiJtzjOQ05YUIIpuHNRUk0qCN877S
2i02CtvDaWWl5mEJ0EmvXGTM+6XBk3AuptAO1iRcxffsA8l9a6Qa1s0I3aerWKSfgHUFSC2xukeH
mLplWheS1WDVIht9NsjLviaWThc4aqpOTX9iq8KruFEQiSIsfH237aa4MPm6GUtejnPJxN0ILRsi
O7a91RyLJSR8trVtkCJWeRthhjgJTdi5q8VK5VOMg3QmPMGtszOj63T5E8xXUYcVZ7tEjflUQCSN
1l1DiOnMyq4JlYt1jJwRlCAPgk+HtqrO0BnG1drhvP/ZqpbE53nqlys8JZg2LC+drhW15YGwHEDn
Lca074KxLfLPxdjSbMmQCxDpBExfLePWHoYAF5iLV9Elu2o1KoOnMEH7BUEzUpsOwLWxAkpubgiz
zL973njdVQ2x6g5la7gasb0AaMiKjx40uktBmPCazQBWWxvMy9XLi/Tfk+0fTrb0gvWg5J9Pth8p
c+P/bB6zqnv8+Xz74x/+ON8G7gfCU/HMYweHK8F06+/zrQmxCEYIUddUCfwPB2nOjV38//+fDebI
5GzJH5skbjK9+N/zre18oH/Gvsw/o2OtT8X/olVGr/3NMon9EmWSRxfPAxKBzvX94JeTSM1s3BPH
xXTsaNknmAe7cFMJc1WA8EPqTCpBQWt5NfhOSvIXmK8HmNocZEViHdqhNo4hZ/Pt3BjFLkJNvcbu
0Z5XUXmIlexP8UB4G7RN7lnVlyTzlC021zIyzrrEt7DeFe4Nke7TXUrUcEmwdmrsrbqpIAunDSxn
Flh+HsbHpkF8HAwhoTFNEJKQWE+r2CE4JonPXWRcp+himF824RXI1QtYPRvESSa7U20dmhbZBkeq
bO3l7im6FRRCWELiqHnuHWvE+ApkjUD6dK1kOZ+HKoq2Y2dupsH8qrEfqyangRWmqbWb2dv3oFkI
oInE3iid8lPAXGKLHzlBdWdv80ldqIwQNyPKukclOrnLvcJf106tDrJw+f2F1a64UjZ+Hz+A49on
114UV4QoW8uhzgCIYxngPa/r4RB16YWaA3PdtNlCugbW8p7yH7xkjc/IdOQGr52zGoueJAEO4adZ
4p3HFpGcliyuyVsB5B96+4C9paYUWYW50Jk49B1sGZkbEZp7AzwmRqT53umGeT10+kuQbLTpeuJo
8pmcL9AC7jb3+6cCo5mcpuK0Lq3krIbKspZi2laLtzPIydw5S1Ni1gJWDpLJWzXEMgRhcNrNlbn2
MyIQkiU07meZkFFgcpDHu04LsZ+mnbCjgCZIMZ+IKk5vvbReTlrLHwjPG5tdO1nOTrQGKIAJ/QlW
Ps5qfrSfetdeNUzht6T8fKmn2j5rDP9kLsNiTWHbbPpWjSgKiMeQcF0DjOKbPDe2Wdrcwp+596fl
SBiRt4oG194ZZWJuLXOJ9x7QUHRDX9Kms/d4ldR6ZPS0NYMUxDe6W3Jk0EoOgbPhmcDgArJw5JHw
VXQVVGm167WhQUQk9mSM8QefWRx5ADCpO+ekweD0ZbYXIoJVe0YL42mZ7Wk7xX69TYHXH5yS4yzR
Nz56Jp6FBMcMcZ61fYhxgHLan6FvgcnDO6Q+4yuClepN4cYldpyh3tzsGZ/Z2wr5ww5bOv5Cmd4p
4UbnmEuLnfSfoqA1T6fIg0DLAeUW1zM59cSZ2hvKhuS6GDJ/XUK9JE+HKM86CdStWU5YaLyAppPn
2xt2uHNmEPnOJ3JnK8LY3S1ZDweQMfO2BEuy6mhYXSauWrbmkhVbq/XjNe5csYk7meoDuntiEeC4
TiJ/OAgRnXTOIM5ImSVzXsT1Xe9IrqJPC0HYjILcKBg3zkjyoOnoLDonNe/mELhMZ1g4coZm2XVx
DRKsX4CFL1l5kxlyvgSJYp5aVOgOnWeX3M/RyOItnflxM3WFS5oUmho5t9mOjwqq1CAYKHAN8tNR
fVRYDQ07e0oGN9YksfxkaMCM9f7AJG7hetZL6xxAFpE/IM3vJIL6Gwo257QeyFJJ3e7G9JOTvhzc
U3/xqJOVc42zu0GxLgk7CSbIS2Pubmwb4r9ogq99l18ntBlCq7/MezyaZppY2MuMb4W9zLscAJvq
vCNNkW7VeuV+BIexKu2y3CF+UOtCtfVmDgfagR7ll2Unj00Vke3rLzdtJZBP6JoqzzxjNfo9xnrT
n7ciIZ9SlQ2PVOSq81l4Owhyj0Ej6fMnsNaGoqVvhEFhXXjBlhH+ipober3dfBsYj2PlncOPjkrl
3swt6zQETrVLczFss7luCejIgBMHhX+IpXlR5eKL67bHFOPcSetM9/5I7KCXuN06n6V70ptJeRsE
wyfCbcdNXXvf3Jhw5QEb6Rrr5C0u2zPP7pSOYjolzatYOVWVn+fky5emIrInLJGmxf46bJrvWNyo
nwI7BJ3dV3ubCeMmdOZ024xdfpxzptw2wJGVI8PgkKdwZWX8hfzn4Ha250OVl9bZ4qb9DuFOs+v8
HFaoz28sl+W2GezkElfmMbXYhJhbkPo24kDNrCjfKQ6eK7NwbuqMNoTbNQmJq+1JpBriygZprKKu
B5BOb2YT42B6yLPp8xj2AKVn77nqBdzdKCcHBxXJHtGkAak7hM1bDMEF4oNLE0jWqqEpxgcfz2ug
GOvOEZBcwmvwItV2dJPd1CSwUFw7P7Fi4xPy1FSjc58lXGLWwr4/8TExs9YkGLrCkCjjaUpO48GG
bmuwyo2+4ax75RdMeoQkq1Y62L9GuROACNaTXVv7yEs/jciiThbDv0UTd0YGEEkLRvRdGrWHvC4P
dwYO4xV0MmsHF8PfWnZhnvo1cHhslmRMsqruEFJVmxH1kSyfyDQpuzs7gZuS8cwaTUBaxWgkNgyG
rgHpcd8BZPd4FRsSHtAi8fQV/kXoqGAkXD3Gq8RLVqWoPSQhl3h7LdQ8nP3vZD+W0iUfZFYIQbZY
U1i9gZJwTEHVUIrQuZZ24bnqAS9yuZSn6M9boPFpxRHIIS0tT4w4X5U1vXD1Ktr9b3n9h/Ka6loL
Bv65vP70re3+c5+oKCnfTqJ//Mu/RtHeB4yrLroNi3EvYDF+6I/5kS8+uCga0SqjTmAQrafUf9XX
5geU0loV5DFxRFnC1OmvUTQDbKbQpgk3TCdcwg38F/U1PpY39TWNezxEL/MrelK0Vd+7W6IZxAZ5
e/FJW3j9WeWXDiwPUk3O5Iz9N7fhd0C4ltZ1axk0GFCHERMO4Nu0xkMWK9KIwrD3dqoL1A3TEbgC
Mg/uE7/L9zG9nJUE2FCdVZPT7GjMdhk2vdg5aXHCql2f9uGyBtYxMizxndxZ2RlKxiGYs41TI6iD
BnIK0rIfVmomKiwq/OiOQFuKxwEF3RpDyOdgxPHUYpunn9/Od+iqKWVG9DnJYIA3we17xQHZOsVs
jYxsYuBKvanZ3IsRNtfO3CRH/gmh6Mr0hj3ZnFdJWKftJp7S8QCMpjpfRgR7UyvNT7xew1lKRNRt
WMOi53XldBu09O2Br2iiAtj8rSjcZJNYab4DMjVArRrn4iaKSWMScqrXKefqDWB66yywkjtyssk3
87vh3Ldnctbybm2ACsE3WaGnAp7W3WR16l0S4yWvQluaSKRATlu7Cq8l83m8qJugD4MVKEd7K+Ci
QshuctJjuISy7ey1XQUF826K3XCScNCz+mAl8dGzZ7HHUXTB7osjWMymnW887Exr2xlJKMmjxT52
hhoIecOlzuFk6Ygs7g4Bzqs7u53TdFUni7U1BngOdjpjClZt6XA/nP64+OLQpeZDkgqHGGLi2LKw
uw8xc58Go7qbOX5g8zfLL2i251OLyojDnB9vnGwGb905mzyNouuWFlS5GeDWnftp0XzMSzYkrjKY
jVUNTuMi6luXfC8j1PFAw0OoQnHFAS/dQhOYjnSpvnUC1B6ZdAAXwiaJtAG9PZ1gOaqUST9ux+mY
u2Q/55Ybbjj+hVeW7D5HgFSxG3rZCQHBYXTGUSsfribsbc0jR6/2C7gForixvV65oBnOUizIN//D
3Zk0t41kW/ivVPSeDMzDojvicZIoSrIlu8rDhkFLNAFiJEaCv76/JCAXSdmuepVeIDqrVpaUBJKZ
N+9w7jkB7Fog9uPylp74nTUuqoglq9Mouys15XO9N8r7AdTvU61W1iCjPtt1DTcOoke7ebU1SjRJ
cEGgylPzCRQGzidn45XvDwMhpVwtw6m1W4YlYoJlGV0rRmmiTmUlcQgUta4/e5tDokzUBg3CaY7O
Mhf+NlNHB77lqWkXsFLhfSsPVXLA41c85TbduXCVQLqC7lKqva1N9dMhdz8pGWBA2lynGd3yKZRs
fko1xvZ22VWVs2OUjWZ9MJfO+80yXSuofzSCZC+dZvS+XJtI2jtv0GhNYQIlUQ1OUbveYHMemWEz
slE7us9xN2BLreeQfAD8oI/U26O0ktfaXe7mqFQ6y3224XZPP0UAacvHrGhsHimfbQfl8i2C8Mko
2wXpXQOV6CSvrP2sVOD/N3RvHsATvnvQDpoTXZdLNSKJVTbbRaAr22Dq5yn6eXslMe9yXKqpraN+
AqmaOt2lBRTpNvg1larsB4DeoC6LwyJW7AHhbe5dBU64GaHiBnnSsqlGrtLUs9jYInK5D4OPdOo0
5KV39cLx7ZkRF9EoXcLgC+k9ap9BtjUfvCRC3stCq8SCUnjsVIGBmxDtbrYBpORJWaZXFUBt+j6i
zV1dmTUrAFPO+x0sn3OzcLK7PXrDf9RodZfholSCzSQK8zQcAfh1pnvQl7NturCa/UdtubcmkFZo
c+jgDlOT31qEppLcqaG+80emMdhnox3MrcrEJIax54FVOViqbPegQ8D/3jEJhAQ2aOKBNa3HtFk3
V8sBGmxjNwwCNGxdhAP2dr2AVhaZ4az6HAYOHDRVSfoaPHQ2gzHvqA17Hx42zdfSO+AxVhCPkQyB
mcX20/Jqv8yf0LXcTSzq0wgAWbEqMjrlHKZ5ODiIZ4E1lp+5WKwZ3nB1HR92Nad0mQzoOU3rmpgK
9PSTFnPbTKm35LfQ0LqzaqO+29iWcw2eV1n4ip2Os9jZXoU2+F7vQPUhheZf5YKl+z6BiT4eEN1l
sTJXGlAHSzfw5ha1iKkFXndhFTW6DUnmzHLcwtvSVt3FPrZ99KTCR+h96EwBPHQlMKoOfSD+15IO
eCGhh6ZelGJ7a7UKJ5RAd/Odq0b0lm1QolT2+ttMTcaDBPFkFGaN5s5LN/69j0T6OAhTdGgO5H5M
slc3NOUtZ3W5WyCLtiNS3efPMJJA9ROl9ZRMdnpb6ECgDqXhzbOD+4UUVQTIN3veuZtyWgb1F9i9
y6miNnD/l1w3aubNKX5v4JcMBQ2Uc1+py8cij/V7PSLx4pSV+QCwPJplg/x+02wfSyUfPNTe9u2e
db1Z7k2N0xjeb+zoMNtbgcvV6NMAMLKq3CK9kmdwcbgbEO4VIRy0RM3vRkAYCPdDbTzuSn9j3Ry2
RVPeNbmySaYaNyfFIn9PPFcoOq09I4PkkjJF8+qgTL0lgOx34OHcwUeaL/fQ99GJchBSEhqC1kFs
U6kI1JCEgk1ZW8hvbd4FAfH75FAdcGXyIDTuKzIRbCuy4yPoEbfIzKhZtG5QDCUSoq3njUa7oTdJ
t9nhg56W+w8R5EI3NooJi5J84NWuGdRHdsa9JcReqhvFCmpMfxizBpVXXFN4OUxVurlQfBlYqwaB
uwn+3PamgogU9jvNRrvoUPo3MDnllH5N8B5uPWtQcHtGrntwBQjGfJvDVwdjzQ7yFATY4lEUY16D
nc4CBQ0tJ56y2fxhNEvknLdCjCQNcpyOiDZkUVOsJsrBLCENKpE943ajYywxUn2RQR/oTQuKvWT1
tKZ0AcfBSQMBD3fbyGk8B7JCG42tQxB6Nw38MwgEOXlFldBrykUIYmiOxoGF47dEbmlE27v7RiXh
VoyT4rDzZ4EJv1fiuAdkDPQS5UGqFoj7bj11st8q2wfHy3aPW3db5+QuGh/YuGte5fCfzjI6La4P
qgeRG0R9lTKCbczOR3bWFB9C13UnS2TsbiFiioSM1775eNB9kka5eaUjvIqK5KEom5ET1zp/7y/J
LqFuS7qxrkaQQKCysx9E9wY9EgLxZ6MGGAHVmhu+oXwACiB0NaCrHm/ogQlm6E7HKJoFhQK3R1F8
xHgfpjqLtEhc9QsyI8RntqlEpBcgLCNNIZSO3Ix0TV2U22ZEWK2Ni8I6pAAIvehNTDutCj7FQ/7W
9O5Ss05nLqKGt3Vpm3OLZBqCpoC7HnIoHemtNuPwyoitbEqWWL9xynxXTcLYaJ73S4e4H5/7d62x
7MUSNI0Fwr+yb3MF12yy3Kgb9y4i0zrWGvtjEen5h2ZJJsXamMYsHBw2Y21vKvNMa4BK5ZDNfhIs
NfTEOSR8fYBv3CWaexdum2atDZai1uSrK+ypf+PXA5XEuWF9pMSWNyQEI5vAeeeTSgK7oZErIIHX
xIX+WKqJPoWIIh4ljR1MA8OnKr2PSoEkqxYwcdX3DQ3UjzkKTgL+vR+j7UGsHaTeqqFavxtpSWLM
VB/561GqptkUxr1iHAnBYZ2+xunAIounVeDttVjb36a5f7h3iJHfpTCdmGPs+fZrUqjo+8ZK+HGj
KuFmQjrFvUkQ8brxgZHd0L24Q0HK3C0UKIQe9ENRj2slTebaQeED6FCnVmakU7pxVHx/xZqa5rIc
oz/qBZjmKJ7VVmpebcNBPN8r+OKpG9bvkyzUZwMlmxYweb3xN4jebLdRdb+1bW2BkagmHEAOi40y
XE5T+50uhAKo3aaIrW+taUN+MwGs0uxGiLZz1uE8XdAAs5yGkbLDgSrCJy+wTFE19WpUXkrra1Uk
9bOFzjx5+9Dd31UU3vVZnRlJC7b4n4n/uxeZrIrVNC78onko11nzuM7pjspfAmPx0yOl+ntEl//J
L/18ot/Wx0nbjMITVaJCPMHGT+KzuptgWTjLJxwf6fi8P5shhCikKJ8Bz+vu0BScDPT8/uu3kBpU
9+8Dl3IcrCy6To/acfBzPulkbX709j9/sXYZf/47Z4/+Q3g/GAcKe3/n7S+mOHl7e6iZBpkUFZyl
GAAmThcBr21oqbbo0VG5Gxh9WwSNloK/uQd+uAqGOuSOAljstO/okk86XQW0I0wByrTotj8OAEb9
2goUc9vt2VK9fDubrw/CDxfh2KkBbob81/e3gmIORVe+bvXu7VVFaZ9J4u21odhIIL67g8CEp1vA
sYagc0HZ0JnVjr5tATRvSUPKWQNjCHAUAiKSlscBivF0EVSVgyIOgQA3dNaiX+cALxcLJrsImAFo
x2D1P44LY+AiMYMYmgnKsz0n7ar36F4gzLnMsv/gVvyhMcAimrZJpx+tfi/f9OlOQGeHcmLXBdav
LaBxVZHZl9oDhoVY0JEtoPuOL65F1xD1Al3hrPTNDMDyLH0CBBAJ4KkmKBOO49wM2OYQBJNFr113
X/buBEB0JDBNUntAc4ZgSE162fF5Tvc+JSbDsXUDJFZ7Nvp3H3KDy/pEOoU0+ANAanK7inFxBBx9
aBigyAylOyL9WwUQ4bJugWEMaQ1XaMXs3N+Ly4DyHvVGmBXp2u6bJaCf/VW19f99DyhDmotUA7ew
tQQX7++4Qz4GlKPzp6no13XA4zmypoAYkQAJipxuEUQUdGYRrCFXIfEBrYnH0R6+HrkEOHQOzpyU
QRSKmrCJAGjtAuILF9nViaQBsKqo3h1H7wJm1YJoVXIVCJPgtaML1bbbt7ywi66DxSBxQE6hPTHt
svdoL1Aq0qTtojJ0AM/hJnfjYhVgBKCJFpwxAj7H0TqkPVoFKGEEuZbUidDtIVUGmLoESeyZQTAx
CLw7bcrt6/fPILi4L7KvrwwBn3Diwdq043wVXJVNIhiOoXk4jt6tArB9wWIktwlIi9ByacPf177l
RdBsc0XC9kpjYBszC8R/z65I0XgsuQp0KECHSG7gxOydngjLHWqYXxqcu9RC7/YCjCECLCa7Fxzg
Yy4God0Ll3ZBxJU6GdeXLFPvwkeotaUdBZFJFHbRvHCTYJCxIQ5yAaG3q9MaoB5dCrTdGLJWETeJ
hDmBkd2Fh5dXIzk0hZIDnFp9MwRYaqGYLHUEROaIcoEOx2DrGrDFTw0BZRXuDPynF9+hd3GTRtFD
NplO3OiwAxBO/37c6JjkzxQiChFXiNG7S4HOMEU6biJLCOIXsvP2JV/FTRSXcEapOHQlh96tAhSZ
grxO6kToOuQ02Dz2VXsisDCnJ8IRvjRpFLLr7TL1bhXYC9IpVS4FQNHkzFnQ47i0C2TVbJvi0ksR
roerQL+m5F4w7CGWH0lu8mbHcbEXIIIm7cZqW4jQ98xNhFtJl3aQ3KFuIl/wzVm+cJBU1cIk4C0j
p3xcn9Y775OLIMy27C7Qh/QMEDW9VFcudoGoN3N/wqTaFSP75ybSeSG9CuQWdV7RpCP3OC4sgk1q
lasDRqnu9ujdieDr6wpA/7zwjKegwMHNf5ebgAQ8DGRw7cMmKEb/HCW4hqRdBGPIxYgADk3vx3Gx
CihWDOlJZJ8ICrB+xc3Q5Viy2QOiBeIhzRDIgu+9P7U2HCTASS8l+f5di9AGybpIhjJElc2k5tol
VS92ASU3Eom4BlAptKN3e4Gwn4eWcxTJJCGdSYq93QqXJTeXdCNHgS414obj6N8qsFElV8HAXSZb
RlGpy51eZBFQ/xqCvUAwp3cGAfI1eQyOSnFdaOe8RAu85Wm0QPwMJlGUHzogUu8y6+QBtdZK/fNb
kYobxNzCB+rOwoVvcEQi2aSWBWtwz64FOE2lEYmiskCmTBGB4XevBWdosQUgJ+2ujd45Bxhrwc4l
ZRCJllD7A5xLx+5xXKTWW1MgCjldUNk/iwCJaeu2/vOzgIeIhANuMtjEdpxbBGrw1KCAqiCT+bJX
/q6j9DcCq2+A7zGMts9HqLe/zr+HCP/RL7xgnV//vMM5z5///S8NJPfZLwrkd/vZfyLB/3MGWDti
sU9++ILNPn5O9+fdC77+6LPPenmrl3+89tfZKnvyUL8VyPbuMe9XEYDx/wtXX1bR6hSFTvzC3f/n
k7yiZP92Cv5i4jy4mFfUZaTnzXxkE84nPmJF5ScOVnG+yl8eUXyNLQBTdubxKvS/JtkFCUCLd5ee
OwmTbPWcnD51C5+WnxlxiqfCh7PlbPIjHFN28sk6hFU7W5/O3GL9pGf2W+WAv1ABOGnHODuFJzb+
Z7t7xqr7z+e7sEXpyT7/1TqBMOJ8Zm5FzK7szD/mMZdcjPnzyjvbgGqLVZN94HkY+tAUnZ/IFgYm
PXX87K8urEgLrZKeOanPv7wWqyQ77eK1bWrhP9ITM0H5FDQv++to9lo0iezUt0kJXfHlMrdQDdm5
71Z+fGY9QDD/iuvlbpU14Sp+Pl2Oroos/8h5vnryynxdFGd7uqvTSs/vP6HouzrvKGurf/JTcxfk
lyyRLTRdfu489/k/Tf2zRW8rdr9i9qTMLqcWBSDpqZO4uNjcmtCNkZ/5fv0lW114T101W/ah79fV
6vze6goh8hPXv12vojT3/PNrnflFieFXzH+zzvL1maUiaSky979i8rv13n86u8aYXGSEf8Xkn5Is
eJnpGB+0yVbpqY8EruNVlnBTnl07HRbs13zAjxliJT2HN55/vuJt9lX2qd8EIR7JeVSDAKlIaUpP
na03l027xyyh7MRv13EMB3a1uggTOnyr7PSPXvK8/m2ev7rb2oZT2enfJSVMwt/biB3m4Nd8wOuN
KKYnZyg7/XtWf42q7plL0WHo5Ofen0eVXWJVdt7fi5X38ubCpnSZStlp/1hnETfb2cxtZVB65u9R
4bXpRdmpP6y4d+INDG3nz33M2klP/lc8fpJW8IOfPyVx7p8/e5trk372JkFOb3O2KpYrxOd/PvP3
Mk3f6AJe559eaAC+92fnyTXxG0/hepX9578AAAD//w==</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_xlchart.v2.5</cx:f>
      </cx:numDim>
    </cx:data>
  </cx:chartData>
  <cx:chart>
    <cx:plotArea>
      <cx:plotAreaRegion>
        <cx:series layoutId="funnel" uniqueId="{BC2FFFE6-2B86-4485-A556-28C7C3BA0AC1}">
          <cx:spPr>
            <a:solidFill>
              <a:schemeClr val="tx2">
                <a:lumMod val="75000"/>
                <a:lumOff val="25000"/>
              </a:schemeClr>
            </a:solidFill>
          </cx:spPr>
          <cx:dataLabels>
            <cx:spPr>
              <a:noFill/>
            </cx:spPr>
            <cx:txPr>
              <a:bodyPr spcFirstLastPara="1" vertOverflow="ellipsis" horzOverflow="overflow" wrap="square" lIns="0" tIns="0" rIns="0" bIns="0" anchor="ctr" anchorCtr="1"/>
              <a:lstStyle/>
              <a:p>
                <a:pPr algn="ctr" rtl="0">
                  <a:defRPr sz="1000" b="1">
                    <a:solidFill>
                      <a:schemeClr val="bg1"/>
                    </a:solidFill>
                  </a:defRPr>
                </a:pPr>
                <a:endParaRPr lang="en-US" sz="1000" b="1" i="0" u="none" strike="noStrike" baseline="0">
                  <a:solidFill>
                    <a:schemeClr val="bg1"/>
                  </a:solidFill>
                  <a:latin typeface="Aptos Narrow" panose="0211000402020202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Aptos Narrow" panose="02110004020202020204"/>
            </a:endParaRPr>
          </a:p>
        </cx:txPr>
      </cx:axis>
    </cx:plotArea>
  </cx:chart>
  <cx:spPr>
    <a:noFill/>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_xlchart.v5.7</cx:f>
        <cx:nf>_xlchart.v5.6</cx:nf>
      </cx:strDim>
      <cx:numDim type="colorVal">
        <cx:f>_xlchart.v5.9</cx:f>
        <cx:nf>_xlchart.v5.8</cx:nf>
      </cx:numDim>
    </cx:data>
  </cx:chartData>
  <cx:chart>
    <cx:plotArea>
      <cx:plotAreaRegion>
        <cx:series layoutId="regionMap" uniqueId="{11854537-E2C7-44D5-AD42-4B0203128BC1}">
          <cx:spPr>
            <a:solidFill>
              <a:srgbClr val="0070C0"/>
            </a:solidFill>
          </cx:spPr>
          <cx:dataId val="0"/>
          <cx:layoutPr>
            <cx:geography cultureLanguage="en-US" cultureRegion="US" attribution="Powered by Bing">
              <cx:geoCache provider="{E9337A44-BEBE-4D9F-B70C-5C5E7DAFC167}">
                <cx:binary>7H1pb9w4lO1fCfL5yU2KFEkNpgdoqVZvsRNn/SKUl0jUvm+//h15SWx1JfFgPHgw8KqDTmwVi5c8
vPu9rP+86v/jKr7ZlW/6JE6r/7jq/34b1HX+H3/9VV0FN8muOkj0VZlV2ff64CpL/sq+f9dXN39d
l7tOp/5fJqH8r6tgV9Y3/dv/+k98mn+THWdXu1pn6XlzUw7vb6omrqvfPNv76M3uOtHpQld1qa9q
+vfbo5u0bq6i4e0b/EPXw8WQ3/z99sm73r75a/5Z/5r3TQzS6uYaY5k8sEzJTC7U2zdxlvr3vzeU
dWAqKQnnwr598YdJT3cJBj6HlFtCdtfX5U1VYS23fz8e+YRwPPj69s1V1qT1tGE+9u7vtx9TXd9c
v/lQ7+qb6u0bXWXu3RvcbKL+44fb5f71dMv/6z9nv8AGzH7zCJX5bv3p0b9A+SfeXe6S3cP2vAAm
5oEUgpuC2OT2xWbQiAPFCWMmMe+gsR/mvoPmGQTtR+bHwBkw/xy/SmDcLE1vrmp91dQPG/Q/B4fT
A0ta1GLMugOHPgVHAjymTEVN62HSO1SeSc1+ZJ4MnqHjXrxKdE50VU1/8lw/bNT/HB2G3TeJksq6
5wywxhOpZh8IS5iEm+YdeuJh7juQnknUfpCeDJ6BdAJJ9RplW6nHLH1J2cYPTJuZ4A9+h5B8ChCl
9ACyz7IB0y1CYK87XXcv2/5M0H5w/nkYOAPmn2+vEpjTrKyDN+6uzGL9ovhYBxazmbQY2YuPtA+o
spgS4g4eMmOg59O1H6b5+Blap+6rRMvN4qzcXWcPZ/kFBJ06sG1lWZBke9UQJQCSS8UEjIfHDPQc
UvZD83PkDBT33asE5Z8y2qXVrnrYnxcAhR8ooEIYvVc/M5vaNg84s6llWeoOtJmJ8ByK9mPzc+QM
m3/ev0ps3F2sv2dlql9S9cgD0+JC2PTerJ5ZbpTCOKDSlJTTO9n3cDLuDbhn0bQfn8frmSHk/vMq
EVrcxLtuV9487NELcI99QGC6CZM9GG9PTQNpHcBLFZxRMNn0mnHPcyjaj87PkTNsFstXic0K2kZf
vyDrmOrAsi2LmmxuT0OiKcm4qdidRJtpm2dQsh+SHwNniKxepyu6vslK/0WFmXkgONxMbtO9+l+x
A845k5zcq5oZMM8gaD8wPwbOgFm/TjG2jWE/Z/oFjQBODqjJKYdtdiemZkaAggXNlWDWDx/1QYTe
qZnnULQfmp8jZ9hsXyfTbK93wQuazJwfMGUTCXD2AkMpR3AAvo8iM83yR0J+gccd/XMwFq9Sp2zT
a717UU/TPoAlZkv7nk3suWoRCEBTRYR9H2ibBaCfQdAvYHlYyRyY09cJTNa9oKbn5gGRXFiS8x8K
/XEAzWYHExyCkvvnM/9/+wdqfgHJ7ag5Hq9Toxy9tFOpYGJxadpIxty+6FOz2FYQawSM8mA2I6L2
2OH/Mz37MXkYN0Pl6MOr5JLjrNHVCwswcmArWF9C3OuTmQCzKaIBVCHWeS/hZgLsWSTtx+bR0Bk8
x6+TaU52On1BV5JbBwyePrce8cRjKSbsA5MKyiHq7kyBGTR/JGc/LPfDZpCcvE4n8l0Uw/x60bwm
QpKKIaF8r9DJXJIhF00mR1LKO1TAUI8l2XMo2g/Mz5EzbN4dvUppdrIrh3iXXj/szwsEXxBPngoB
rJkQk+JAEoqUjX3PKTM/8jmU7Mfk58gZJieLV4pJVe2ugqa6qeuXdCfNA8Qk4cjL+wjLjGkk8mXE
QjWAmun9k90z6fkVPE+GzzF6pWpGXwXa36UvxzdwKhWwsaXa71SijAbAwcuZfJ3pNbOXT55B0S8A
+jFyjs32VfLPZ11dZWmlXxYcwRAnZqikuXs9NZ0RikHpEwKb9v7o5bNI2o/Oo6EzeD6/TnhONIpp
qqzevSDvCFhpNkVK7D5GORNtNj+gNuwBlAs8TPpQpfEMWvbj8mgZM1xOXqf7/6688bOX5Bl2YCO9
jwDlfd3fzCCgJjlA/pJSBrSeWGd/JGQ/Ig8LmMHx7nUmLqcaoKwp9cPevIhlxoRExpjfR/rBDI99
mSmpLCXy/NZ9WuxfGubPFO1H5udaZticvM6E/+lN92azS/Iq0C+Zt+TsQCgLQYCHikCYyI8BgoVm
SaQ1Eei8C+DMpNmzydqP0mz4DKrTzas0Bk6ytH7RaDOXB7CRLWojI3b7moFECZL/HBlOweaxgD+T
sh+YH2uYQXJy8SohOb25LHdV9JL6H4yBagsG5vjBGI8Zx7YPEF9D5PPBPpilZZ5D0X5ofo6cYXP6
OmI1v68kvdPKd5rnyTv/u70BNuIxzJLEgkqZAYOAM2OI5dwBN1M5s6r9X9OzH53Z8CdLeB0tAac3
7e4l6y+YfcAswRHP3J9TplQgdYmyTKnuTOmZbfZnevYj8TBuziWfXqkE694c3pTVzfBy1tmU7WfQ
7Bbbb51J5JRRjY4WoXsPdKZdJu39Z5p+hc7PsXOEDl8tQic3vb56wbQ/4wfchJKh/F7L/EvziwOK
sLNN1L+4pnvzZ2p+jc3D2Dk2J68Sm083ZQJT6AVZhyPVbJn4b4YIWmiEMIUtAMrta6b3n0HJflB+
DJwh8um1WmTdm69ZGb0gJCacf9vkU2/ZPisZJZhonoE98NC9MVP8kzT7E0X7ofk5cobN6ddXyS3v
Av2CMgxahqNsHNGy+xqAGccotD0R+J/KfFAzD2fiLmD2J2r2Y3I3aobHu9fpUJ7dpGk1xO3uRUvK
gYuyUVF+H78k84ymlAeKKTWVbtxJMtQCPo6ZPZeq/fg8HT3D6eyfV8k37wM09r7ZVi+b3UTTpjAV
Iv33ITJ7VpM5hWgoTOep8ez2Bf56jNNzqdqP09PRM5zeb18lTusS6ec3F8gHxA9b9atQ5/9i6/WH
rPnf6YJDEJwg5W3Se6t+Lm8nvkdpNboV787LTA8+n679J2Y+fnZmPriv8sxcQAbjJoCbmz+dmKft
/L+9vsBCKzwCRGgM+SFgH0cq1JRiYmj7+UXs9Vkk7cfo0dAZPBevM5N0cdO/aDMcRbsOUxxMcmdL
wrt6DA2ie4ggTWWN97cYzHTjH8n5FSy3q5hD8uVVcszHehe8ILNgx1FJglTEfQHWLJN023stUbBo
ipk8+xMd+6G4GzVD4uPr9LU+afTvvKjtON28gsIqMimSvb6WOhBgDsUfOnznXvAzKNqPy8+1zLD5
9Dptxs87ZPRSv37RNLiEx0UR/Fb3tYjzewpu0+BowXpIy85iR8+jaT8+j8fOEPr8/wihX9twP7Tz
Ylfvlre3Ej26Qef3T2+Xj7uSZkPvTe+99uSdVb69/vstikShMX5cdjR9xhOb/cmVKfNhN7uq/vut
AbtfoiWIClTYCTZd2vL2TXdz94jhJhHkPgj6gTiVtrDfvkmnSxf+fjv1SFhT8x16UUEE/vH2TTVZ
ong01YTj7grFLEtSE/XfPy6EOsviAZUaP3bk/uc3aZOcZTqtK4zmiA7nd++blohJJEM8hpjQohJC
2yR4frV7j9OOt9P/Y5kDwmSZbje4uYkuzEDHy2BMbdeq6y+DiC4VaUMnz8Z6mTa97UahqJy+H6JD
RaPcJbW6UK2KDo24jk76Jj5uFa8caYhTsyiZExMjdWTY2u7Q8N5RTTquOEvIovBz5gSqsFe5bWjX
Fo3tSts8z72WLEjgpU7IVbSkhewdn2JOwyetG9IUc5KCLMKo+tLG9kVj6cwp8sx0hRVeCiMnizjB
2yM6tm7WynKbt+UXqoLcHa2WOeFoGcvEk5+MjrwPGb1sS0wvrPxLnKFf3K+Z02dSu1Bx5zRQlWOm
WI/I+3pJyuKLoKHt1KVMnc7A8rCJptsnKVm0htyWpdr6aV0vvQpb09re0q8T5oxh9N2MjN4RAluZ
qbJakAIfGrfYAh75H7EEbANR2wSlHwuvxLtaAhranBvLwDMrpwnMbBPyMl9lsR8vRCHwNOLnnWrq
5TQy5J5ytN2EzmiK1PEHbEEes3pp1XQ897P43EboYhlXmDL2R+vI4gXI75i5bAoQxHIRLcjof4wq
u3c82aiFnaXfh7TINgUrTdfyhmjRRYPpO3bsX3mxQbEP9gUKEuolS+PcrUgYukESAuBaKScjremW
oV1deMqLjgtbeG5uxOMqH8m46RR2j1WYtLPkVlHj4vaQ6GJQi4EX1SKXOAd0YOdJq7RbEvuiU7R1
zQj/S4h13moQ5YcR3zKjtFc0bKpF5if9obRrc9nm0ymq8V4UTp7qikaLIqvMpWyD0BWe6LFNOFhN
nORuYlmnOM/feztiDlotlBN3+pJxCexH/BR6Vu+01EgXXa0qV7YZxiTYpYrmamHKfDwhRWW7ZVV+
ucU78VXqtDGOVd1hvX6AIyPtEtAXReA0QsWHhPrfweQ41QLvVQFOp5I4KtnEC35RDx/jAD8KFV4y
CkLAecpp80ifNtguVIteDCOQ7wrwiZSdd9ipZDwJJLjDltUXGeEDhQTCqsFhUuDG281IczBFZ+Ct
eZRcJllnLj0ii8PYrKwl93Bo46jyDofUpu+TKsxdM+9CpyuH1mV1nq/GxDSXZZSRRVJybClpQYMf
VEeqMvq1L0x6zApPu0U9mstIgimHjh3rLkydtMlwylI87Ls0OlEmGJURCALVBvEyGvx4ScAnJG71
eRtYp7fsxcJx3BDamMuex2rRZKp3sibMHJIAbh7Y0aEfkHTdExYtWzqxYaQy9xZbI8HyDS89Fq03
iRAcgTQvbJd12JvbUz7KaFxleWmvK59HyyGJ7ZVgQbzoDBzn2wMwnXCw+LnmY7pmA8SY3YK/+WiP
m1uY66Zj4AMcoz4y62UbUm+Xa8vYWAGWOhqYK22osfFsBull6Us94B8djb77EehD1SjkigFuTlht
u2ZKvUNSNumx1KQ/tXprrbrw0vD14BiyS4+9yIyWsQRHNCMxNr4FPs1Gix4PMrBXUuCQpQlLj43K
xuwpxJcME3STQTjQMXV0z9d2EFcOMXp8GO1al1dMuLImbFGWVuUUZlVuO1GphUxbteh1QjYks9jS
iH0IRZ9CuHWAzpCRvfYa8zxA6eV6pOmwzmsIk5y3rWsVWLbXgoSuoeAimWebREGCJTJmd7LJtHtz
ecu0rRata/jGBT47OLNKHInS4ufmEA5r4RnKsepsUjsdDlPR56tKaOCXxWQRFCQ97gXvTxsZfbe5
ha0ZwAG3e42ez2gRJfjIhgJXnopoyfu6WuBaQohAbhWOjA3vzKRjshBZEa+VV3wvJH6dNOESTJ87
voY84UasV7QsrxQxrGVqUN/NCvkpyXi2jIzgzOiaU5nVocM65R8OuvdDx4irmC5EM5ClGXUZcdLe
EM1ijMdvkRUnrYOELhdL9H5VhjOOZXhphlm/oHloW64m5oXlR/GiUl0engx+1RzqjgBCRjzfczyf
8mYZkiJ0gkzXZ4HPhec7gsa+XJVV34buENVk2Q92WS1HHuTUFUVhHOZeszPqLLuu7PaKa5I1js/6
6LsqmDEKSIlxrFyI/25Tp2W2spOot3OnNArm5mEJng95ayx8qKKFSZV3YnfZaKxilnbVaWQGSm5T
m1fJph7G2vgy+Lx1g8Zv42MvsFntlGVMhVsMUaFPrVaYw9I3U894nzYwHwIp4NX9MMX2WDawkOZ2
zRQcYEJIgtANg9312K6JbcMceVY2G6mHYV2OwXcdQbmwVF00ZcZwrMB1XOOk/35e+LH/npejWdIU
ikwdFU/ntQduDnadNxva3Qo78CDT0XXaGZHT59H3388GD+3fs0lBxdRyTpAleDrb2PkG12PabOIB
B2SyBOzIM5a+UZG7dd2b3fcbemc6XmX5UGo/uL9O9MeP/3WRJfhze9Plz19Ot5H+/AndBnfXmP72
XbjiYUobVfM3TdT8+CwQc0/dZHk/+eFfXsAv7Py7W1F/8fB5TgC1LTheP07ev5yAn/ci/fQA7sbc
ewBoAUDQX6DLHDFE2OvTfWb3HgDKzwEd0jsml6h4tmwY5/ceABOojBK2ifZBYiLAKIH8vQfA2AGh
uCINbsCDc/Cwwicwwu25//mxB4AM3tMzhOAZ/jACbwIJQFAKIh5zSqELk+dmw7dWrJTbWEZ7WqZ1
ux69oD+M/cLajEYWDm7WdcO1lVXy2Ip44TsIy3Xvs6whTlPlxi6WMTmJLG6fjqnHLkQYakilXKQL
v+LyNIjb6v0Qtvoiqax4HTWt3ia+oN+y3FPLOJThoTLFsh6q4rKtwnDTG6rUjg67vnSqJh+vSB4Z
rvZgZrgetO2HstLRoZ3G6ZEnWbxuGDitr9OTzDLhUMResjDCJDikbdVtU50kiZsYgi1Mw5eHSdHk
sePF/bssV/E6j5V9PFQ+jCUpevO8Nxr7VOqInNBBk5OBDUbrtBkrVqg2jNc0M/0v1Nb2KTWiM9qL
5sQz6cVIhmxBhdc4acFtwyFFzr6zYQicLhmEC/s1hUmclPWZPVDu0FCyJeNWXzllrJu1FZP8uusw
CStZ5BS6jNcwm6KPBQ9F4fQxD9d50ocbu6rrRce7ZEHkQN2ams3nTGnvXd0E3Xmd6fHKHrrhS1o2
7NyP1LBhQ1ieChb257i6UrvENPWq8KzmiPSiuExY0y/aFOojb+N2LWmEZfh9D+ckjTdt2plOEfHm
2rCZo0trcJmdH5mpv+We0S8bHRMnIlm6qCzvJInyZGsoYxtHMlr4RTZ+5m1ZrIuitb77Nmy3Kqz1
US14t0ZPjbc1kyA5o6MczZVthNAEQwUBxsawOcr5EH7yB21/lYVIlqEW+aGXi+5D3nbFhe1xfTIS
QU66ivSt05RMf/ZqXh2HDYk/8Izn6wQ+tu10RUY2Vh/L0Ilixs7HQeoT3+fjapAyjh0jV/J9qnPa
OmldKNyWzNpj0WlyZpc4K3AK4buEI4+vmr7PTz0h4s3QN+xI1Hm8TnKhvzZK6i9FHtDT1M+t80TF
46YPhv6UGC07Mjsr25RN5r+reVZdhCOz4TVW8TYxmm2eep3n2Kml4DLn5lcY3+KkgEW61TTON2EY
88RJoipedTyw3sV5d2QGHcdxLMqNAfuxCXwEeRtFBmfoI7o0c0/uCtbdWEWfbP0hb51kSKxtVnh8
JRWclkGm5ifGoyuY57kP64ubX6VKL7KWjZ+qKh/WI0nJeRYI+JJ94BmHFhRKAHNVkdOgpRaFFyGK
XeWV4ZmEJRs7KPiwr7SngnXaTg7oqOOPSpPEbeGfLUkbJUehDxA7xvRWNLFYKB4nHySr6kvcqdKW
Th3RCwTgtr7ZicOsK9ZpqoQ7CpnAcI3D6JxRGr+3vHgjhq4+FN6YbnmUZIsqbyKngbD8CktRb6WV
eKtBs2Ihqxq+bNqH7/OK8JuxLzKXRWHgjsEQOWFuRV8kLOGPcJuM89xMMheASuKUQWQuCkHzM6Ps
V10siqOibFXo2vbKqsNk7VUdOUFSPl4X8Xnree0Xw+uyRSQYPQ+JzzYp7IPKjTvSnqakLa9YPYAS
ThYd6eU6o12/bGPawLvHTb9fajkUOZT3GGunk0O2TMfBfzdWWbQ2+nrUzjBY0i3bXtiuMrrM8b1h
iUhKVTlj1kyuut1+9MeBh04c2fkiLv0CYq7SsRM3yXiUGX1xMqQeWVJqfAnNqFSO749sqWNbOpAA
xLXLVLhwWT9HqiPbmFRkmZGwcMwwyi5jEYxHXhbY51aixLaqrD5xRt+oz3VtRAspU9dK82onQtmv
Q2KpM1KJpHbzhJHTVmXEVV4yxo6pYrFMWGZ/sqE1TmGaBp9LxfVxMrbf7LEWG2jE0R3Cqj2FS6Zx
lLrwuApF6taDYR8nDS/P6tArTkLSFZ8MT8enVZTky4xW/oramb8YzSBfWlXBPkddYm5EjVWWnspW
QR+aN6P0m5POsvMdZ8WkXJqRfwmSWH+sTdrGjtCRvWKh7a+bMYiW2eB3rkG94IxSDSEOF8Np/aL/
QBpsfRpY42IY6nxZ9aY6wj1aVrjo4yx4x2TY4aDRzrWNydHISTOuB58161T39Tayx/xj3HhrDYMf
rq83nkUt48u8bUnuDDUZQ7cxUu5Yfr8SRdae0tY3D23qR9+6wkTIBKYnIhJQtxosflR5Zr6RVPWZ
ExWl/TUSQi+StCNfYq/0NpBMwdarzcVgCutsbELjKueSHOa1MlaJL6t3VKfx1uKGtxLcr87joVMf
/U55K4pI24eg1QTTSc9wh8EQKxbI8rQcisu0GocrMjYQ/01Zjwho9dxf96yjixGGuWNWxpGVErOt
nbTUfeE0WWclhkPThmhINE3O0ZpXQveHoY9AHgwRJ2yKeHBTZtfnhV/EmywAS8NullHkjFXZIdzh
qeK7XebRto0D0+F9ZxxrM1kOKk3O2jaNNrXVfLVKy3cgaxFwUU3XXEa1+GrpYEe85ruMx68q69+n
cP1cY+zgorMi2ZapHJZloS9MxCYP80DKC0RczE9wPdMrZov+c+lhYJsKA0ddD3UZHeY+VtEc5kVV
tPU6Fn0xihOYWqkvEGGKiLXUZlbzJQKswXGPYPCi6fpGnRV1MYgvlfC+NwgIqE3cdgDOGAIzXxkt
gjReRtbNAKtnnQR5dqLzwsi+5hCgsL3sdkF7L1oViJokh8qIykXVheYCRl50RP0hPUT3mPxqDVbx
jUjPD8+8PoiPZGDR8qIJxsBbx2MUj6nbV92YVY5fW+G1CvrK+GgVXm8tadAisJQZOsq2hdRskRoE
PhQigqtWVJ8r6XdO2SMQSQYgWfv8c2+Y3QaeuXSHpG5O8c5+ZSNQ4TZxcKhLftzYpvIRd8gsJ/Kh
ZQzZGhvYIh/TEfGfQJjyEBrE+BAY2j/uZUxdP6XDaRv4xWkJNA/HunPqQHc7HtnDYWkLw6m40axp
2g+ILk3mFhvNxkEddXmk9TbyVpEUw6LNvHqjYsbdqFB6XeHqCHfw+HkyBtUiLAx/O3K/3jae5x2W
iakPa+Ifw5mOXSJpfhx4ol4Mviy+NUzEruqtYa2LVq/CurKXCEp7y1LH2bLzeI7gVBBBkXl55VqA
edOQ3HTq2EzWFvHId954MKPzKNe9dtCWSq8R/RPqc0WaVFZXDZdFZH30Cg6Lw9VFrJPYuXVN/r8T
t7cV5adDZk5pj1/7cLN2kNm4ez9OiAMbuRJcXIWgAnqKf/pxuD3hIdGKpAwKRRCLuHfjkP5huCT5
PvXz04ejuAwDRSOo7aHwGGxcCfvfyeIwFAs9CgNMM6Jp1haUmVLACJvSRY9duJiGZUq7yLpR1Ksb
GyYgR6zdJXmrx0+W1eTRjhuI763SYqgGvqjN3gp618g8cumnJU8NNzP7SB7agTU0i8g20mLT2Ulc
ncRWkhuDk0W9lV9aUR322cKABRwy15eS0xvZZ0PzPg7AtDulrNy7YgkrxKkvNPwfJ6G6Aik8R2jv
XUBJ3cEhjK0yyp1JHSTHFNYPSPaThA5HJqKX4XejajOMeQTpHkcX6dQne4TwiAkdLPhUTontmrm5
kia6CUSgbmCqpWGxqRMe803M26qUm7Hya925o85xa3BMPG16q99PPyX6ns6PFlrcBcCh+oAUiHmK
0RgyVSFKoK9DGrEIyYGMWQw2tW0aRbgq+84v60UZQJoGjsGNMU/POs4GJJgoH0XHDmsRpFXkZBkS
MvQUlYgFnv2eyKfBK2j9qeNK4QhN5dfTsXxKYx9owwxKZlwLo2yJufBhMcliFSteM0Qxy1oIRDCJ
V6Pk8Ae7/RmbaV5u4wYylI2YEHzzefNmyGRmMHXtIwpfCaS/8rj6EnAPXqbThbrR71IPX6hTO0GQ
objkTizeFXntmR6J1sfQYHqJ9OfkC3KER8BDT5ftW602SB+wa0PGyJq4VkeEtQMjGfU2G7WMT7VB
M3rComJoPkQVIWPgoGIgxqb8fiP+TQkarATuL8KNXlN54CyeF8jAi8OBlNdcdGC51UDFSKOVVXZN
xZdaeVx8gyNpmoVTCdThfMvI0Jb2stUZybs/oPI0uIjTYJkoP0BgavpCC/RQzE4DAqQkHKLUu/Ls
MbXKdVbkCTwPw0sqe1gPquxxRH6/fjqTZJjTJiinmxgVbh/8yRkU9hjCPq+Ny0CXMjE2fY34duAk
fRbgm3uaLuQjd3VSDWbu9LbJsBGWJkHzAW44lCvi82X6wUZMoUwXhZWV5vuk1Wl1+XsynwaXOSJl
DF9bRNDNiy9qAbfMZEnTeaokxdhf9mVd4hCQJiLAh/QdswynL1lrfMhNZHjANHWXTX/p3G/+gM+/
NgtNebhJkcErUhyBojkZCtkaxMtEdpnGlgEZHkJ6jZ3TDqQerCOGHEa0q/wGt9QnoZVCopZ5UlJr
o4zQaBFhQo7xVvIPAUaleozbI95HeZb8QazQ+bFGEStuGDCR1jCnXs/pm6Ae6yf4BGlupyO7hK8i
DIRy6iqPm7NirHWeul0xFCDOkEmLZ9lQJNmwUNE4GB+6PPe2lV3Goe8mIwJsR0lQpLXnpIizejWi
lcSI34vE9mHL427pHiLRNMKBpodktGN8aqS9rij+wKYUIeAnEsMUuCIckVuCAh7c6Dq1rz5eEE5m
WrRpm3+TVmaFlovIu4Wj6HmNbZcuwlkGRLs33EnPuOF41tyKk5x6Co/6rmaiWCF7+Gce4nMpjg5z
VH1ZNsVt2hPvzk5n1EdV4gVZ/i0vwUXFklWR4icmDdhwxKpmwHbYXhuPn5KgHwaJ6oKyKwIXAr8T
7/1i9IxNmfBw/FQaTSVOlRaTgdDzFhlSBG6tCZ6sYjaO0NBKq32fl2E0fhpjEXWRQ+J4Uloauw+A
stQO8EuGhMP4SSV9D+yYFQ74qxqJX6tFblWsWgnZTNhFva9hYBS309vKN4bOga8W4iMyGA+gXBvp
ZBvUuZVEu74SaZGvED6i7QfOUKVyXJaRVzpxnJQmvDvfS/qNDyfR/5qq1OOfWoJUfrKUyoed0RZp
BhPl97JhLjWx+xL3y6F7mUuBps3Z0WDegEIaO4+/jTSpSt/pTSLzyumyMIu3rCk6CIrfzziXRkgS
cIKU22SVQnfPZ6xKUgVdwrqvbGymw9g1fBJ/ZiUjKG/RFpb45oXwjgqnM5u68k8kBAvO6e/JmL5+
6glTMHynmCmhK9CMinoiNlv5yNqmMGyRfEp4mqCQps6QTLjJiqCANAqiKqWIxchMn7WV8iFx8sDK
/KWvarPNHHxTXBe3Tm36xVHsKfGhZ2WsBqfqqGjfI1ZBUFdgjX12hEOEWGRIuKdzh3uCTsweEJzD
rA1gXWy9MKonzm/R7fwOtagyHxwWlaxv179f8VyuoUEdeT7Uspq3X4MCn+CpGIiEF6RdUcmPbZMS
GLFWWZowYttxOrccRhbfBAj24dj2kc3wl1/fWraGyKcjzRqktb0PXi+mI20WekzKjc5NNonIYqwI
XRWoEqr0erSGCFzndclkU9MB5R6fSkkLsNHvl2TOJJuCBaSgNiHVgCASQzNRXbA0GbMwNT+qOmDg
rTr3JwJqgzUT697yMRr4BtCG/NDE4pCVk0gp8/9L2bf2yIlrXf8iJAzm4q9AVfU9ne50nyRfrHQy
gzEXX8Bg8+ufRTpHmsmRZt43Gk0pneoCG3t777XXWmVw0ESCII0nKJPxI2V62D0MTBb0qtuGYx5M
2FT+wI3HuzqRHkMEipHP5z4qbHrWpV3TGbSRSWO4/zK03yoADI0RfJEAwVYBuw753t+f1gJwvBic
Ci9pux6RarEGSwtd+U59X+KyTyagb8rsr0UyHefjGCmCB+LzcWjDaR9zsrRnlkZue0GWajEdWwEK
2XSTrjuiydRFDEuMboM+optD2LzqwKBBWFuQkeCC3cJj/A01FsFUjC3FVCxLIaKlzgYnsSUESyT+
9j4/Ryg83DL+KdP+bY+CVgBGPDLtrETZGf9Pqku2neYhN9GndSwUosN7eovuvV/7GpWlaKd/Cwu/
HUfHJSmMa5IYxxL0T78XXrFUyFq1Lz7NjmCFLAHuht0FZz/mh0pNVQZOSaTQBsuHNGDCB6BPSFkQ
9DBLm/XD8liAksLlGe2dEsEAG3J9spAC4AQYI2z8xU84qH49ttZsE6bSD+WEvYJddDyOtvfHg4hk
R/DCgmTrU6xGhTvJ+h5nU58vR536z7NNWfr3mIjBH4cAggS835EF/V7ZIB2cARL58EmIkA+8Wlyf
gqICPod8yMFQsOFkhM11WbEkYVKAJgEc9CYeXOqzSiPbiW5tO0b0no9oFtRmU779HqPndrVxR/Om
LyY1/KBy2O3TqPIR3yi6k2H7QFcS+70p5cQyXRvkj7M7b1tWortrBAdYnI/xCMJWbAlrpskyUku/
OMsr5Uuzg10yrZb6uvX9is2w7nYLQ+WjTFJ5Zglx9DkflkDbOvYEGOtFs00QjvyNA09bBForQ13s
w7bvKGuxFPW1B9jtKjNrmZ9XVrRpAzzY75+2XCXdq6NDy5uUAouv0R9lKlR5C5StYV2y9XWbDe0V
WLYLqHzxhoYEm+L4QjYikjP4DqWIT7pXI30J2dr20QtTsfef/OLT5T6alyl6wolRuB+ZzXP7shdr
OykQWxUR80fm96G/8A7oxnlXtBxVxXqVJqIu7D6b8o2Mspx+AJ5Vq0efZwnmD+aWbYvrfthmIq8W
PpkMFDVgvkN+4WPU5w+MFFHfX9ZcJ/Mg/hDllC6YZU/S0tL7PVUrlvRO7KzFRxgMLnl8miaqdXHt
GO/EcDdlvjftSa7tsq13W8bbrjtzOm4ue+JTkprrXFLRlmeslRwtY73uMY71YS67jVWghuRmaQS3
uwzXWztHorts4DTlqu7ZRhFgV9257LOKXJ7N11gcW8TrLUXaQh6cRtYFrivgaZ9/GJKiwMvy/sOo
6wb8G/TCFJcDhEzN2+4MS9YbmVvdJlfER1EBMFhmvSsufpIEWGYG/hDOxTiLOgynTTMcKt88D+gD
gxsnWNZ+CJvedPEoeSS34Vz0aZTo694FVq4fcplmHasMYwcmUdglE/1r0XIe7beUDjNmKgoGIfse
UduI7DZKuS2GO9IZdFIfpdxkyU+bRCBoT6qD6YatEbKOWwprNMTJKW5F6EwDooG0ZTMtYHxNnxPQ
lHC9UQ6Mvbi2NKa2KL0xs0npOpwgNcnF8SG4f6QslTHsyOmpmDH6Gi3hKc3PUmzHjKVgSeNFzWKJ
nqexOEI+XZe2LGq2LQoLYJ+Qb1wWZke8T78PVSzZjukzssAfnCUzx9UGQVBkTqQ7Hg/RVCTZf8jg
j3meKJPAkiIXWTyKaOpLQf8wBgWNOduuQ6ZVg0wbClN3pchchCdInXGvi5xcN2G+IrGri0BzjPj7
UhbHLXd40np/zrGycIUU/2Te0P0/Flhuo+PJZyHCzwY2HlOzrgRvxRFbmg33sMKVE2P8NR5r09S8
AXAT+FnmtcqfwRsBba+mGwMAVOlCEMzFr9XD95nhIwsZHYPjoJfhxTisGlv/ynFZtmfH39I569F/
6Wz0/Guqo/e3/3eS398HpCDp74tEj7gBMkVifetBLujspZvSgEGbZMcXOVdtkrZd/IwCvFWsyt4f
lNrXBUsNlbez7fVEWOBZRXqxhvwDG53CLK3JOOAtiQbGZmvAHCBDgiIRjqS3HbMEPxyKNjZv7H0G
lcYOQlx7H5NIOtRotVZTvpGr4MqjOo/fH+378sh5P2B+ctrhN05ZMRyD93kQWKctscdlBBU5fhiU
iQvxskcddcsNRpoe0/u+kHY0mHCXGOTxKaSzM34PepUUq2texHHr7xOKHtmOv6ghVbQ4RWhv9fJ6
RzfL60t7gEjxaevQ3FvvmGwP5GMGieWtW4vEvJG8nbB85gwZKwZvQcbNP8zAso8PTNbjha5tiZdh
io/tMO7Zcf+Ty1uxvTjQ3dvuPLUlPleYlKC53s+hIMtt+r5WOjmzpbj8mnImV4vb8V3a40NwAihc
XOquxzm/EnTn4hdkbrJcG3TUlglUmLnluHgmBb4rrlkGDWxzAGAAyAaPSbjrQrXHdnY4X/GzPrhc
luceyaIPNymbB6+uQOqIwS4aGD24nXxGZ/yaMOLwfrGYGS9IGrPhAaQj/D+MG3C7LN4IoCIDLH94
WPuFAxTYrMTViWjV+ppP3KMK4GE/1j5azzlAYp+aBBGmtGJw4EyNOGLHk48mzubrjOGo8l/i3EvE
m3ZQqu+vfsHJchmElWcnBtS73wOdwda40lJgOi7pzz1jFBgreOx86/n+mopSbcsLOCRiy6+W96F7
1s6YolT7vceI+nYDaTzfY4Iot1hQLaeGeH2sGuBVxxJ/x0/Lud8wAyBxH+Ndui7Bi8UCx/tNB/Qx
ArtjB64MrXQ/MZAvupCP96kmFu/IAzlq2DVzM9bVO8iyk2yw/OwmY3ly3XIDSUe1v0NvHGU5UEOT
HV3CCyc9St9xRO0ECsEAYCK7HXuwGdBKpFsHEB7sqAWhMs15wJk3B0QaeUZle0ye69IDKkjATwUW
L4epxa/DNR2j/LIhPQMtZuOztd0DS+UBUoKajvBT9DzNl48UMFbgJ88l2rrnfNPZMDeALkhOqwIg
UP6VtilBSY7DkOHh7xHdMap8Go9jY8z4sdxsYgkW3/tMykUBiU67uEvXm20HzaX42O9ui54tkmmg
Cjv47flXxFusr2jTO2ZA0vgYA9cT+Drg79sDpRpAMT6wAAYFgP6asyAMeaN+yIeHPDc68DNN1LxE
f24dkZ6fcKKlQ1bNA/DvqC4HUthXIJJbv3yKWyPbtuZZSIV/2grkNuYHW7vVJF/AOgc0cbGg+o2s
Bh137l936hKqKofTAZSthRCFnLIoMuaIwyofJUvqFT9Ee7gC4R35Z/NrJO/P0mgJgLiGkUk4hvUz
3AzDesQ/FtojmiD7PzZvN4/HO6af6D2XyfGzjMQR3hGgjsELT4FOjCdU7kdvoxu4xlZukS3yh30J
RJ8kNuqxK9l4/MuvJYucEpGIwY4T//QOwR/hNGpr64NNi4okNi4fnUCPXFVbPAGwp2HnLLneDHiR
AmnZfsCBM/pEeAHhAtHC7DHWN43Rf3gAbnnced+h0/j114Uyy3CkGSyV6Pm9Yps6uRcgMU3a0Y/9
e8Dq34FGA8tDrIZoMAcIOdvcUtqM7WgUr4TJXfTsukxjzJCnSCylLmmPNE5Qj2sU63Dclvu54SLV
4xypQBQ8NrlOjjZjM23+WJMFB8GhqzIxT+N4EnLAbgQ5/+hJAAc+gl5f5keKRWcSyVuRpKAD/Avw
9VtBDywH8QErOEFwA5H2d1hZLOghAK9OnoVSOe66aFuP3bAphFkT0WMHDSuAF1GtnTnu/V+qu7/X
dsfl8Q0gIAwcX1yI6/+Gs1rnVbTNBaCq99AogQHjLlAHYCf986V+A9Cxm2IIBXEtQFb4f36U9X9R
6W0lyAscqeR/10jce6VqozmlH2Adf6xulovjobpO4gkraike2a/g+M/38ncIIYthSoH/jm9oRjsc
6zz5+73wNU0A38r2GU6oCGNdRo58fJ6hNDztCqnzv83z/14Q+n0AB6DxJwAXD4P7vw6+FzYmwxjz
J+MnHBQt1DvLdRFA7wCs+XNn//MAyQHb/UUTiRECuz0I0XB0wddQ/Q5k+kFS6PiG/OlXxNjEfoD2
IU9Dlp09ncv1LDXf7Ue3gVrbjA5Uxa80tQgN0bxTnEf/ckd/X+mYc5RSx1f9gPCdwaTx97ZYYHEE
ZmBqnob3TbUhr8Me967niOtduXZ4BIJCcZI0LMXhgNQiEseNSJ0at9erQWV/zsC+y+LKI7QEiEK0
wduxPzh5AA0J9WS9vfez9HuY/edB/P4Y8eDowTNHxwQ+APga1t8eYy7Mkniwy8XcH5Fp/5kI6Tmb
3McQlY7iOwb/36GuDA0Q8O5jPMjjz/Ft4n+/XgGuLh5w7B5+HXu+FdDMxAqRVVUgj7f/X9BaBjoQ
vkwOyCICN7bq/4SDdONAotdOPrwfS0iSj6dR9AP2xTSb48D45wEe8eUvyxQLAu2nw5kbfBR66IX/
PsAt7L6ze9ZfFVNk+6wuxrFIv+YWG+bftuD/XgqPrkQHD14oKDJ/D3UjT8bg2ry9ek9F1gzoCNZR
Yka8/POoflEx/jIwYIW4FANB5mdjHlbxfx9YHKMvA9biDNlOEov5lGT+YCM4fFW5U3/O+4Qeeq3m
Ftgqq0a+o1qslqxdyHiL0xoyCmi0eg3k5y6hwB7ix5FnbauuAnKDTD1w3/XEh5onaDl9mY0ZUQZZ
mdDJnMbB7clSxyrO57EpbQao7S71RKU5WPs/+3l9jmIk/cCnkRh/37diZaDMuDXvCDARCarGFQqN
ohubIZIaj+JXglJE+DVR9e9pBTL0EodF/jOMvZca/RYjdG9iTBC6URoeacC2JhESWgVd6vAwJQ5v
QIqVu+IhnYcjmYveI6BGcxS7PdYlAWG4n5eR7NU0WzZ1Ta6LQbrqv5CHwbEpql+JzM8MCp21DfO7
m/I4xAuzAllCbdHnEPSVCpeEFOzIFGJ0K7q2HsBdRz0FPH+Qw0uKtJelD3lYGNXXMo+jAwyYVwuc
FTTsow5jW5jBxxa9GwG7AoEp0GWopFhKxesIvPgtHisDm7MseWSG6WI7tQab23zKAlt39Qn9hqOj
hRwQsqsHtcxoInzqNNDmFvRjCjrBWVhDiKxHgqTzz4DScy5vstxvyVeS+bCUD4DNuP44MSb75CSn
OYpRCSNw+KWGJh+99NOkAp5ts/lkt+HQSALtq5GakaysAw18u+shvZh3yDXk1qGaZqVFX7QT8Xyh
8bBsb3k89kE0nCLhnqqxmEb7eQLyEjmoZfKj5fYrFhn0w9v8rhwRt+V5EkOeOGTRP/MsAN9Hnhim
5Th03pfG8DMbnIqhR8lmGRgxulptnI8EkaxVBW4j6fuk2vpoZZ8QxFX5rCcWDeexy9qsEm27PWeh
A0U5dBuox3RNrzowJq9H69crIBnqqbBQ1niWCShfliEGZrzaTxyL+oq2kP1U2H3iTVo9fG7jTjVg
8cZTxYWloF4TQErJlN2WOv6qemzHadP5oaHQTQGaN55uHNkz+OH0JFXnPuxygEQRZ/dyKkOcDlix
+fhdaPecEKpvLY3a23GdoV+fAUGD+9JercqxRrCt/FhoYdDX192Pbja8GYRuq0Cnqck4Mzflnozn
wCd0gSedUXx0Gaaayqk4b/jI6xL12Jv1yl2SIPgPw3qokTwZ9iowmZ2FjNWzhpJrh1Aewu4qSlX7
svm9/DZEU4ZS3o3QoifdKU6W+Aa2UKIDVTZK7yhgurNdZjhUyYJ/BHjYga+0pOwHQasH9QzR5GlN
pOjOOkzRiczj8jSvFIADQkEzQ1Jyk84W0oRs3MqaF4yL8nO3Jixcg4Hgvs8JleSknF5Q5nSjCNUK
w8Y/yiUroHXikb0ZGegIDSWL/OjXtEedNKrbbF6IqSHNUN9iOWuwa2l8O+fkWKE8O3qo7brdeKSz
93HRr9dAv6Obrk9F0pSIfj/ItqUTZKolESibdfRl02b7w0SRr5OO7N/mWaoEjAIN+iAkpFi5YoC4
Cowp6xq9b72/yV0LwVhMdPcQSIFAjJKqXrd0SG/gfzLoG+uNPSfaJbfQx/oKSO9rtoFdDlruAyXY
PuvslgbQIvjGrR/XosmCSk+0WKYHLaj9ErRHThajvd1CLt+DA9HXRddCxRu5lH5DZ1pVaTJMFwWg
oEricfnoydR/nEVY+rpflvbFiGA+W69HyJ288zUnVstK4v7QcS2BuWHjebHX1JfbI0tmMdTTvspv
ctT7YU8xvuJroMH21yv5yNBEuNaJBQHaxvyGdhP9Npe5v5PA+1e0HajDRflScRcZVKQOnOMyUl01
kJ59sxGSmqZEfiarTM7mMd/y/oxAn+c16/biaiFKPIKnA27HJuxLoiZ9WZ0nF6nX/JtN+cuGOvll
N+NeXoymoZJmbP8ImJCLWArnTkgDwzPk7RmvLDXo2PbtUsViXa9z1uuLQR5KKogD2AubFvaWep1+
kparN7DT9z8cFnizQuB/T0EsuMQ4KRrjzfKM/DKqsm1a7yI79193yMIu6UA4mFmAkx9EiCnOMo+I
FMuuBB6U9flVgcZMredJXvrM2Rdwu1Lc/5rckHhKzzJP5y/A5cwjm4S9ImFgz+No99t2lubkC4Rc
lMFj9zDReLmxjm6PELzbT7Ys6fe0XxEcEhPWBxpGbB5gWh9Iurhbb4vtutt8qoDblNOF5yOFpDwH
wxKwB7veI8vvOMLbxz0pxUsJ6OSL2cvlEw789gqbrbjfSbSAw5R354HxDD4HA0nrZWRDU+5hSrHe
7XSGTkY99oDgH1uvtKnBDInPdpPmi14cbVFc7/udZdTdgqjUAx0Y1ScQ5NmImD36U1r05RVBzw9u
IDv9UK5tCmTeRj8inoCDdhcyundwVxk9ct2mcIC0y7s+S9cCxgJw9h2WamCa322Rbh+BsgwPEQ3T
67DYb/idFkBvR17nERmMdIV88EyCfplp0t0wpZOvLuJuqwcBvROoPu6lS9bVXERy8OmZIMUt5cqW
ZxaPE7sZRakb9HHpXq3odzcl28cCjisLgwIt5dODitDvvw2RKTDXebwtFr4gKxo9xFsCkSY144fU
0+hjMTGo/HNvhToJpu2TbLt1PKHlG8TtCFlC10R2AhU/cE6iS7HO8/4EBYh14nKkHnHDjFeD6jFr
amv7mx41uR1qUiBzqbPR8fUeaImc69SR9tNW7Ar61njI70DX46TZCFJEiBSzfHmFbGQvLeKI1UuW
I3FqJ9CKrtYlL26yxMeT/LSngScr1HcmZu4mQbCLr0uKjgD0YWGyjVjnzD2zqO3hppG0A7OQ1fN2
6OuIMv/cpWDNVImgw0cVSLRfthxVJfQHJonvNib9VCcWOP59MSCcNiDI7Y0CsnUjkwXeNaTob5Yo
+Fl+GCDQYXuK6Z9iP0IRkoz9wdLSSTZ+WBYqS4gZcpkPCQD2WWE/lGhv1o4EKGgogVjjDtYhMq/G
CTBvvS/eTFU6BjR+Cif7q6mjmTq1aBTe9x1g0kb6zl+lLfTwDeTwogAkJi257lsIdCoNs5JQJRu6
3/mSLA9RxnxRj5LD/KagfQooDpjdK9GR/bEe6qnU6pBclOIkPbWrSBx8Z3IvIlWjNw8q2lYVIn8K
EVUFEjNXhm6oEUkXvEHFEVQV34FbEFmeUj5/zlpDPDv1Y0EKcdKJV1l2T6I1dy/o5Y78SpqSfmvX
9eu+i/alFfpry3QmK1QJ4/MGascJzjX2EuPsiBEjcovuV7HfDiEZHqA1dedVWFZro3ddFWBp6moc
s/HZThA3WpsHaBI7ivC6LuP3peX7uVAQm5rWc9iv4FipCfQ3ptlx1tBHNov0uQB/yDbdCqgHywHr
pQIdbvtBlO4/ajPN5WkuivZuVpN6dmZe2pPz7cqvARq3RRWNnl2PSkL7N5nh3EPg+zz1MTmxRajb
nmfRfdJ7epto9CxVO6N3zVAVNUnCYWrsCnfZfZIMFSzVB0iL2Wrmkya5gsau3JZrbQ+ZKpSPvjZ9
K2uaz6uuGBkhDFPgQ7rrOcfgTgEY9/PObfcDzkWDuUi01xqLPblVe+jtAw55nP1dDoeLTiK9wC3w
Jxw63dnBI6t2kxavkI6TrwDe/BmcHXZRMRvPhS7kYyRjW69jLj7H0/gySBDBWtRt5yLh8gv8bBZV
ZalSX2CVYW9cksL6hVsvy7oDNgrxcIJBQ7Nzpp1fa9S66QeJquRm3Uj3vRdp8bWHvcbnnqTbHfxk
wE/QRl2nQIxfgb1DeoeQ5nWVwn3jPuc8RdqK2HisQfodWlTUwmEaj0PbJ/ObWsuoOw15hz4osGSV
X0/Z1Kl6hhhuQatpV8AKi02SOh0QRqo86mR2P+g5eRNCLH2VDLiHSg6FKOsen1sD/cKaEEFn12Pu
kqJZBHicFqlW396MWi3/0SjaRN3rNI2/4tzdbMWicluvoqXPm0XL6KozWfJy0AbOZF97V3Uh0h+y
zMs3t5YapwMKz7NyHGQoxbP0Dp07e6sDOCWVbZHR3HmI8d9gduO7egbKuFbdOvjvyxKwV7AnUaY5
DRDzx4qm1VqhIbeeJrmmN8Co4V6ydX5HLg/W6B/41r6Vn8dCLLc0oHyrImQjSzNwA6OVyIyg/Mb7
mr0u8zB8KfTqYduTzg0sxUz84LaCPKO5VjKQgpDCVfmyieGyIae6QfCbtpM3QkhkcgyZJ0gckXpI
xUai2vGDiBdgIqVPVkP2fhBSsIhqKkYhab+e2zVHJ2Xsa9kjR7Ono4qFJC+YLkFKDROj/fM0u6n/
kEDJOzcoKniPiAYbtV3Xlrh2CJcoTuREP+QuhS9HT0yXfhvAGo2meo1KL/kZ/bLewzBBqBz+Nii2
PdUVZKfj7OoC520WGoH2VTlUDmRuGpppDXzsb0PJkzSuZ1hCEf04rACHYFkGljdzZ+u06T63bQ8F
WbNhq6CLAjFOOtlqhfg5X84tUrXp2gkXjX/OBmYx2UmA/jROp8yg1fbM4wStl4sGT2qZGhtoFMtH
6XSP50AjsKXgMOYcWgArWO4Y/h9jxIoY8zjLKTRMC599hlovEc/vWG2kj37DMrADGU0I9/oWLrtH
5x50gaMNgn24Fz9ayuFEcAGtesd+MwT2RV+c3kQkqqkEzhWhsOVyy3FCIBwvr04ATyjvFuSTkNhL
FgdaOxjlmP6yo7mFp4UTTyq4Z8Fxbh2bbFhcmG5Th+HtVadAsphrcF7SkT+nS6a7HBJNI7r0JnbO
BAUaUrcgxUHp0Jqz1qVEPIZ3TgP7nvY+AZcLmbtmiJgB8tR5KemlW4oxBA0QdgWQ2tVgVLlho6d2
8hSeenoD4YYBOphUebcj8ytPPBpyjibYypl2FaGG0VMR9pRe0PYbX3XphpcI5JqlShRMPivqsHdO
IJuMP+KpR5IF8ruwkCnnMxPNakFTOXzNDHqPO7yHfpLsb1jXro/AStcrwMDdnYp5WvcJDCskCWE8
6XQEV2tl6APraHiWcP8prg0yuKJKJx1o5aetny52iUFi9KWGABcM6v4HTNx4j9BKR17lOEdds6R7
eJq7CNL2FgZaJySgKBC51Fl2sTldxoaPpX+Ldu6Drki7GfJU9l2fNRu+F/S7hVEbfD7kispg2iNo
hmMriTghm7DzlRNZv/5oI38ALkiok6nee9GeIdNaOVTMjpTg5iSGTTWPqVInGuL5isyq+DKsAyWw
beNJq2rgiV2GArUI8wOk7LFrkjhzy2cwH8CaqKwGya4GpcPACcKRBLQiYFsPLQrvsaIGafi9R7/N
V1vaF6eiz4ebqJ1haQHeNbQVoNbpEcyNJMCdrJwyho5UtAiYKUD9vxe+jaoU1LorowcDiTfwsrcd
fAWsDc4+uihWGOeuzzAe8I8BD7uhjJfsJEGt+CMCdwnYodTtXYQwPH9FbbmJj7D3skfSlSbdFTKY
/MbCaaZ7Q4hMwyVdqXxSW8rvwZJsf7SWYObLbfdgq3EHYGTfO1/pLt5eoGt1j5sdBIYAFRuaw8Wo
EE2LEVqFPmNPBOhh0cC/Y7smwCy6ZgM15j9bSiEjzPqZXk0U9n9ms9mz4a06L8kUf87tTCpWgIYo
7LCDoD/voYLiKDxAUpl0TeJm2KlVA8wDKtatbL1ucwty2jztYIO2fINj5MaGgxmBYrjWUGgnZzSI
0GaNU+gKm3ZNV4TeCHIH6JB1AXZh2h6i73YK833qtLtroewvmzhrdQHN7qA/bb5YQDpeIPquQAYo
vlIrIE0ekX9/MHBKmKoZltNThZQ6dFXecwY2CkyrRIMDXYJ4BbTkcR8BAFR7rnV+6lfw65o0HrvT
bjx+p83ApgNrZNTNmuo/t1lMp4TPvt6WLHwpEC3WWxjVWDg1mLV8mjO7OFwuywzqgQ4g0Jio+3Tg
yW0pYKMClhAPY2UJZ7dRJJK3MMD4xkd6fgRVT9aggCXfIIpxE9oMBQt1l83S1sVGu9C4LUgo8225
cBiFdOWA+GvT4VaSJGTnJd8y+CgI7R8AXMH/EDyOMVSDHsmXjoHwUI3gYTwoEEziU7FlATUBSyBq
MDzOxtNIpPjUZ95uNc5NZHVIzxuRWlMe85Z/2NINKHSaKP5QDmP62YBk0VarG76k86g+W5iRVfDd
BfQIQiV4Uu2KJT/YLy3MOVvkVj6qI2Qe99ZB3TMDdvk6tS66thKburFdX8DxZlE3S2Yg9bBFfwdY
oLiKeFy+AjDuCiyDNn/TCUwgPI3np9WG5LrHVxAntVxhdIFsLR7BnJmA8BRoYF7NqZjyZmcREqex
Y/4yZck6PEEs2zUW2FZjsdRpbdLMnZC+kNspKAFq4EY+Cx78Z8YXUunZxVBOwo4ONjD8T7CK44Zm
dHkpke5fCOXkTYGA/hkupyGrIo+JA+P/MyQ35b1Hj/+i1wW7rnTfwE9eHrWLA6/KRcUE+2B/ZG3U
I6MhdLzgPLATyow5bcoC3BT89t1mEvsfCayjKT0KFQNj2B0eLkS9RuVAn6VI6VhTgPrXWk8EnTAQ
Lfs0/R4cwH976jXgIPuGA6of1wYtcIiYPqOgVaN+snRWNPuwSGEQ5WcYoICaZA3kz+AI+CBHg1YD
+o3qAw1g0oTLlkCqkTSpiv0irmN3uINeg8cdlhfe+S37nk1U9VdSleNCa05tvEQwhMzoZhG8epBZ
0NICPUIy0uUwd1wM2ZE2wukGlqB9bmN/7YIHiFnlic/OlE5b+TWfYMG6VEb3gx8QxzIRZw3yPNAU
mijkbQs+CwXFCmzkw0Tv7AOk0Ng0YLHD3yOsQqs/YhOFYm7QzwRP7zTrLfQCDcuu7UEW0i0/OORY
gwZdkFa2e2w+rmm5oITpUp9b+6rKja+yQR+2RN0HxVD3f+yd2XLcxrZtf+X+ABRI9Pl4UT2r2Bcp
US8ISpTQJvr+688AJXuL9N7y8XnedoRCtsQCCshm5VpzjjUmV0lSNB24moHWyGKjl2bXVF+6dO7F
5PMpZTythsIiJPPnMmJl2AcLUmRBvkzLN7GcUIc4E4Vj71YfOy2cDduHuJPyZ0jh4VYdtbbhvHxM
QChlzmqEF+f227+pzr31h1D7wz8tscpS40Slh+7hbW0u1zlzJGMpv+oJJpKfRW/DSW2qT7WpQsSe
A5AMtdKVVRuu79YZPiQ/o4zSrFozH92H5LXO9fv7eltc5rZcyvS4VcE7UDukVPT2tmJ7wpkUxu5L
WpRLnUX90H2oVGYMRK2gWvY3dcq3Jfnliri4eRqLdZiK7ytY+RdJBjlDr9WxS3xTP67Y/xDVmHZe
U5lv3Mjq0MD1OmiMVRQn1Cp/vIr/whz+Bstt2uCyfxkdf0Hy/Uo3/xfL4eeP/aQ5LP0scQPZDlZr
2lrZFq/3J5VPGNaHX4gNfyC55QddhyMhdX6IlWBpTk4l+RXJbX9Al4NeHL0eVjyMHv8E5vB2JBP9
0JWOghlyF6FDzH1f1Z+Lueq0pnMgH2dqXoEM6m6ZQ62DabRqPv/yYG5+1NR/pf8t0+JflfbXi4Gg
4IimoyBFR2W8nTahPVqkF1rrFgV7+cRqbJwnjgOPadzWDquqXj6FTIJn2Sf1/v9w6WUV8RASOTzU
t5eONWrwbSGs21kiqMwRuGFjn5AQbtzOEWeUXcLwG702zFUTIGD+m+m7fPzbb+4aeMFojkBfF1O8
v7xhxmEuk8y8zfBqxCyy7C4rve3m8iKGawp0aMmk//4r/8Vch06NIWQzQlwEY3+RTuWw3rqwlMat
beTGOUdJcjCUM+NmQA7xWLa2d7LIBscIJLu6oVTTtS/OYr/LNIfnUMER2pVumIz7Bm1/sJnn2Xp2
PIMcbmD35Nb7MpjEOp7xE/pNKVQEkSo3zb+xNb1d+pZRgxIEJKWNGguq0Hvbozd4Zje6kXErOo2x
0mXWYcw6cAVeM4pzFk/FkUND8/L7p/dOA/fjqpLp4dJG668yMEfT3WS0axBrohfnXJsxkbl59F1P
xup2EvN4Z1uluLJdGVHLjbp49/vr/3ViuiYrPcIlXTJu3s+VXkqOAVSKbx3NGe/iZcJMshtvwr4S
fyP3e+8vX76riT+PvWWR3WDJfDs5CLpa3E2duLWIQu+0MsrTbR+LAP8Dgu2XMbWoaerOMjsX6TmK
CSaLRn39Jkkj7W9e97/74mxwrJbgDhaGydubMUj8yAqA0W3XVkwSyw2y4mS0Sif3l6fy/zBJXJY9
5iX/urbxTlYJFE2PNbM3bmsSK+ucajI1V4pnx87Vcf/WCcz3vimOVRUzymU2iyvVSypkUyK0wRfJ
XBw1px+xsttjuEEyQqYo7eVGtM54E0V9NfCpCbPM9vJxgHmjd9mPvfk/EkVew6B3y4tr8P50wVYh
GbFvn1mClY36hBS3QUCUuZ3dut6/jpuxVeVTXSttlcF3fsonHqDilLsJ4S+QUp1ktS8nRYgfQ1nN
dvMwZ/VaYBx9od433v1+TP+bVdAlrkVeisAUtdy729RGA91SYIlbG2RBjBKAxyzKunwSeiDOVYYo
/vcXfG8SJ6liM6rZc5HNLErSd1dUbWgkejo1twMHhaPdKvs5kOPyCyJ6v9PN8aY2HYqQQRyQe6X7
RESzhWGS93GH5oO01NS+YJ1jpOusAMDTy6cY8eQJkE9xfH1EDbuG44Psk6eGIvVxEqZ30rDAHAyX
LzRPXXH8/bfiG7zbTtis4bW4SxNg7LXI5N6+79lLpVvFU3hbMEoo8k5zvU5cLbmuzGxq93kf9cMq
cfsE25hN4m9FPTOItjIKY6iNfDZUMqLqlZEY/QZ1grvtF8LiPnKaTpCSCqeFZm8H8xrRjkRLEQ3a
Q6mpsF3rblHU/hBOkb0iXAVrhheXmZE0Q7dhC3BK8kZZQeKlzG9Ru0dHr1HJyVBecdUngVutvaLW
O780Mu0TtrD0elHlf9XTRqwz4gBqUdNMZnsa++hlsovJuWinKF/HLfv3BeJoOhVUZlLeVHoEOmSM
aPWwsPf0tU3logId6GrlY5cjmlqbgeveS1lFOna2MHVwOPQk25Qd1jMKZjlhyWsN7ws8ELQTuWra
dD+Pc4sko+us+kAlP9YOATCfkxF2EdTMHmI+6OX7aegFmXPMRPWtNpjwdRO7ze0VkKQ0WqkoLEtQ
pSrDKCWtKMAYO8jHMOrYdulUcHSnjinnFJPcVNSuMV1mpty4op25OyqHz420CBNyj9WGEJCFuC/Z
BZp44sc4K2aovhaYisfRi6ypoGpz8kDgduzMIhIe7UcQTLnlhRkC1bl0zKI6aSME+G04FSqiWBqP
3sEK4wg3kGy/ennqAPo0In2nx0mNqFeFV7Vh1duajHNRFXhQwBB9Eng9L4zeG9fIKEkNkVJZ2XHV
7GimEmzJfBSflWzweOJA8iunjF4YKOO3EBRd61P3zNd6x+tZRUFLmjcs7bUSFFcZWEo3USfk4+j5
kwYBzCvaF6vSOVfacVieNRt/37Gnx0BqXeQ5vr+z24MthGwbZeCcEOso2IQYSC3UmqmPOR/2S4o/
YjAwJKcWSKVoqT7h9gH2AjHjE4VCx+R204Sa+VRNyttq+hL8zPZ4hyOHJ40vvzjqIcdTVnvNeq68
AXVtkw0gHlQYZA8j+msq8eRhrkjHmx05KUxpvsQ1sYsnRiVNZ9D90BCg4jPQrZVPYPJ5s46Yealx
UmgrXcf9OeBmLpcGL7x6RCRPdWyFt53rze1qnhzrObAH/GyxTrzaZh6rkRpszKyzfBwoLrw0c2TB
uXVYeOhTcXItJTeqjtCTVcxQb6WUycdPlc3NceIojoR1wWPnkKtMJ0RbaZ4a50q3l79UZPLUtj3r
M8tZEPiZJVW4FqLl/4QQMRrsDQQ+UBn4H7hCinTr2Twcjt98pRbbHoTpSCRXWKZYYtCSeaewUvIk
XTCYnOLZ1GONFfV1jSSG806oUpgTCYThoPCal0ouj1LWljg3TcdvX+9WdR3NDszKGm8Kwk6DgkQ8
3VDS5LcYFK36OldpvQ/DHjvxzBvpLSLDyRjEuRczlDojme468r6PZpYY5yQw2J7bsRzW0xI9TgbP
XmDjiX2mJFfCY9m8xAWDIVl+RzaPvHEIH/mgU5969nDYbuQSHpUZu20lw+opoShrItFsprvXQGFO
q3y6GJPMeTZG4vukyXi1FTcDwzV5sTCp8CxQXENL1vQrPWJKO1Dyrpo6S4sTw4h3Zyx3mxcVG09T
1PuGBjF3eqIThMNmAwJCY6Qn8uvs5lNqQD8O4I49O81MraQvnIkCV0PBjEJKQgRVFMM0nirkLGr1
GuB0S6iSzkn78uPwYy57MryCBD2xPVmg9LSUErNLZc26JCXrnSJlW8/AAeCFs+1wg4gdkpmGDvmQ
bEjlBl8yLeLi+esUEoGNy70f6yUMYuchhTfc4uZqXjLZ8I7AsRPc8Z8yFGzAuWWzthXLUSWNVLwT
kyAwgPVwcHjTV3ljuge+TnE0e825i6duoldJlHG3fRfX+2Fgx4XyRFyeZ+JKDxN2JmDifHLSE65a
XjJ1lyV9DKK9gjRNlIb1kaLnYrnYePxzMoJFfdpaKc+spdDzOOJ2OCepV2WbFkHgDhoSYySLMvs5
UgPPFA0f3/91EQD4Pd5NEMA8etvE8uRMtnmguMuEc5bLq6H1VmTmCMdaUT4loiiOMuStEu5TqQlM
3mps0CUiYyPnOQyEoGiqg0cNuvfNiH7lmdw681XPsEEZ8aw56xAvOxyihjt5HYnWmIjmiPN+GRvE
6BtRZyw+lBbD5kaOgTEcvGJ5QUllsTSRLq/2cLrkY9zOIxZ8jqM08oBPgUgIy3mJpCZU95Oe2M9m
koizoXmcAWTCMQRtojgPZs1DxqUjoKIHicx8GOrlkxOWTPRKDCM5ZL4hOxExMoIdsslFHe9eD7wz
QrGnWZhM0ZAjaszSrfsDR9pzh/v2XNCtzNy0S5Q2k+MkK7mMztdtcyINOqzLTDMPJjCG3p/tUp5y
A5Vf0hlqXXcdJ5nlqVF1H+WapHkGGWK5ncjhWwDqsp7LrmW+5lEoT1maM63myQzWrjmb246eKnSD
aUKWozhlchkWXb38qKlp6BIx5MHup8F4F8WBY6Kbd6s9eudMbTAXZvYdRYq8XuWDlc7UCnT72UJf
H1N+CORjPuocW1GIHNKq0IqNlN6QXaje4aczem9V9yipBoZIkPKg52VzwWW1rH0juJZdEQoWeUKR
cDmSWyg76IPFmHh9AD/WouXg3icG68KysEKVZ8d5HbsBeA1kPm0JZ4ZOJV9qtqHb1/GJ1yHYJSQC
dj3tBPCVdh5DBD9LvafVTX8RhRMc7x8DQg3K+07LLArfCqnNXoP6QTOc0n4OHXIpr6PCId89+6mB
2QeeFxO5ysVVYi/ZhrTR0KWQOEdu0tpkylfTTK8F9GckIWo7iamZL19IGxSjjxYAkOTI0Te7iUCo
Ri1niCtk2/WeISfOduQUw5p2NMwsF5LNnUHC1qTTEoOG5k2s9mYsrm3XmG85qTOodY0OBqt2YNF+
XQGttE3VughI/q9aSBBs323CUzLdgWmzbECAekJs6isqJSwKxWIr31YaLnKa1C13m3Qt08ysJq4b
ltN4pyardnx0KfJR0hjnMbRDvnc39R6j27AoOyRWPSKmJxbCvy88ZG1t1+fRtWgQhB9yltErtAfc
he21XCGMC0a7LjCBnQFOE4RQlpGP+lDGO7Rzy/d15XCD3dW977xRXRum/TVCpI3oKmn2doamzEWF
fhzQUn0PTarIeBYALDkcqVe0mmACj2yPCUxlBMLxMK9aGlQCYkgmByb1xHOOcWn5hU1Bd6d1ibnV
c2/qfWo1yM570P8xNq5LE/+lWLFrqgMn+xE0fZlPq6ws88ugMIvvEmR5uqV+wmJIkIlerTFabzOO
Der2aln8L5IgJBEpo4iYqrMKTjAZwHCq8GRhyBR1qyoD4HMfJgavh15Y/FpRsaHyB6/rhgwgDDdz
YMGpl8W/6olxcPmPdxXUoTt0x69WEoQ5sG2OrwflNGOVHUzJVJXg/gK0ANxeMLskm4yC+MAKBu6U
Vkt8HrZIVix66KXfCmJMdhdZUjRf9nCMp8EjIj5G0OvBMES7WV5kGVV0v25Z0wpndIMj+bR670Ia
P8UytA5DKcVVONryUVBQeTFm2gZBV7FopQA+dZs7BvtnnbC5dSpktUIAbJzp9petXtdN/CUsjpIN
czNVOXMiW+LNMpAe5UkPV1BQkr4akPs8UaECUtCy7tUVU4jqNEFqoNFNsbC3TriszDMCkGrF2S7a
G1Qhv1m9ozdHu+yYcS0iI99OK3nSfkQYFTkSjZ1ZpblnHVx31t0DB7ax3TecbyChd0A8WzhAmWUY
HmeV1n7W01mc4QuTsrMR4a3I8/BI3ERj2wgCbDQ75bCxOOAtzviEqI5Wrnko7ZH5MIfLcvAaMtu6
+u6ExgjPNlf6NkR26W3wBBlbrhydI9wFD2PkzKfImuKHsgvTNeoMyerMaQfbRGZ01IpAEmEawmNw
U2tOgXxkljlqztoc90Zoa1+70rRfEtnN3zKiyu9FNjaE20MW+sRVBpmLRgdf0hS7jOTKJ4vbrddY
CFAQVBXM301VjNWFbY7xVezSByNMnPijKtvwHtk3ZdhOZdM6bWwduCkiBWmWwUNEq7OvBbj2eg3M
Pm6IlHMZ3sxY7nCI6OEglvZpNF6rZe88vaYV/lvh+ZsKz5JL+SUB85cCz//Pnr88K+yZ/6ru/PiR
n8Udz/pA6pBCjIPPVFClJe31s7jjeR8sVxjkaegmRBb+F1a3aVPhcUkPk3O1aBsmSXv/rPCY+gfD
sEzJ0YiCEYmef1TheW+mXA5Y+DYFlMTF4vg+uZuI0rAa09L2UtPo2cGKPu87aTXnX57Jv6ntvE3b
0miJy7hLiyiupoM1fpdDngVeItwa2h5HMuEVwo41AjjvWg1gVv9RNeX1WhIoLnQ9kmAOKc+36S/e
BRiW3gz2kyjkNdOuv6R2jLtn1seb0lG0z/j9l6NC8ybjtlzSXUDaNhlWT4DcXArVv9RfR+ZpJVwa
XMRTTf+7gG3vhOMoxM+Bh8JGTkKCR8cubWx12tCh5WXhp6cgKuF8V9lht7L73hr8biQYKpflXBYj
QQFt8/QvOc5avAmN3KFmkrthJj5WLDErsCz5BTIWdZul0FAzrW4fyCvnFzBI6d0Q4EMJpja+skKI
u2szzKPdVCEyicMG0lvbqFsD0Mc3HHzzY5Ra9aNbhpd6N8Wbwc3yFV2p9P1smOmlZWHGXUWJ2d0a
Tae+z+ZcXM/mkDwYJIT8XA+yrV1FOfIf1a+6Ih9o1BiATp0rY+f1OhZnWIu0chhLP2vN5kguq7hC
pAb7BMHHs56F2j5zFgF6rQ37akLp4FujDGhUpRnF14YzxcmZ1YiXaY46n+AelRTtWrZ6Y9RPcarJ
IV2PUe02yNymARzMk7QNe2pOUV4mWzd3UeMNAeN8RV4QdbxuqvxLV5NxIXb2PiYyNe4kmoZoNeiN
fEk8uHA+/Bia6ypjKlLqGTEbLSEaKRKskF/SKPPoj5hb2bWeIVZeYf8sTi7sueOEJvXRm2aon0Fc
I2lfnGXJjBfMQlR9HZviLhpjncZhxFQRmJRNI/T6CQZivy1Gvd16vUOCbASg91IrFe2iPPo61Um5
DmFQHEPpYbgUsx2pTcPDiTiiXlaUZz/CstZuTdjJJ32Gd+JTAEvR4/e6tk7jJNB9rQDs4cT2gfY/
FtqIvNmYU5ye9CTsXjh9tV9SMSXZZg5nJ99obSwveAQN2Dbna9VmqwER9xXndE61bvbCwWtAW2Ud
A43eRmTEHiSxO4OURlRa6aFRwQWAVGrIoStZ9PUJYodUQXtMtNpCJ9yG+P51L3kGMRDwl93PZtCZ
a0TIE1Yqp7oLhsw4OVFzY4/DIHzPcy2GNrNnRAkFAN3COyv6b6Nyta1da+0l1Mz5S0sPgBVv1v5S
Yry7RjoGV2Bu27vKbrUVRtY7GDLxprPnT1pXm1fGHBkbssrNlebO82aQNPXKc9mtQiH77aSs23xQ
H10zKIx9jPugt+gy0kfT15wWPYYf9B1CGoeKY8LZ1isN2h4jHV2noUrtDVbaKV1NWUW0wTluGg+Z
1AHLryJ8ObofaEhnHtNmIFWMg71rBqIsrajWnAaa5GxBhwrbjDLS6PXD2Z3aaCMFLU9wHKK2XWkB
/ADfJgPCqcTL893QY/b+NGoWHD6gFAbafG8g+R1n2uRtm6SJKwvqVwuUKR3m8K5P7YXYV8Z9eOVU
OJb8QtX5cBOi7fdMv3SqJjrKgEQn+b5gsJ+MEsMX4AKaZUaboYZ6/phA/bG3aNtt98UdkbX7UQtS
7iKdoIzX96nCnI7UTDbpk2aX6b3sydzUes4yXCjX3vd6mz26waQtGBwjmPyhc8wLe+zpVTrM/dD5
thbJnc1h/ALPd3US42jvDUUJFjnohK5QzZLEQ1RwCG7IlBG7BU5wP03d8NWhrafnc5Yst5h8yKRl
WKT9zkIg/loqJkjLL5B/yU2rOrrQqCpAS4xNgZKeZRHtur0rtsJpCjpZxSjTS9mu8kan+S/WXZR+
QSA/Yw1Tq6rV8vu5gaXp27nWIbfsB3U7mlb5zUIrdOJG4nCbGhbZnkmqeQ1ULIs2NQzaA7ZOeZ3Z
sfOcKcSdoPl6iLaNq6gekLdfpQDL8hXVJf7M1lr1Hbtd9mjq7XiT0QQdsuasivtQRYTADWGEYPFI
afIKwH/93ygwb+N2+pso0IM//EtQ8JcocP0tex6e62+/hoE/fuZnGOgS0NFWguCHYIt4zkFR8DMM
5I9cCvm4/l6VNgbBxR+NN+UHjGsGYSBEfRcZMdXuP6JAYkdLEHEQAxrQmQhS/0HjTRD47yMYUPgE
qNSIiVal/h5QkiZ0IycPTp4KdN+nNmnzEgGlyewbGVur0a1Vuy2r6SYrjHlxYdLOXHclMYhebumk
mbPsmbP4FMQdMu2cihHUdX34NrbOIqOk1bkXQAUlEXOTe9pCXcs+Wxq1DZMkIkw9SQLH1EFfjBK3
Gg8x3gd0Q79P6NFyGuk8d5VRQ+Pw3tGx3a2aAI0mevMLR+gpzbjxVsGrwhO+eHcI1eojJu7EdxS5
C220k93AzRm+Cd324M5xcCgIlu44PFkX0Fc+J26lfYpR35zDKnd8C8PIji5R4QbgNMsg0cA1KnBS
BWNz23vhi62lfEkE+j7E11vLmNKtlGm0JqFLhhFez04P0+8lzrwBMilejVyf4QeUMQLMqi231czV
I2QFDsx9P3bbS1jPpt8ZtPcW3pk95RKFde5HY34/VLM4jbRfpqFe3pNkG5Zf1KmY1Iky6qdAISGe
RTuy4oafqXeSDC96f2kumU7p58peGokWxf2YaDOnfBqTl2YUrVOv7LbIeftVHNMzz5Xn0Qw2gYvh
Ern0cgsAQWw+GvequXNnV782U03btn3KUtPI7JFWO9ajGE1c1TlNynFUmfgFWBnRvFZ+xCG8mcsb
uBgz6lHtooVC91xYoj6zhvZLspPcjFlmGwAGmIcGex94s+d7dltdo3ytP1mpd3aauMAmT8Qrmglf
eoDXgdSL2MvK8fDgeg/ZXGqgy8zhAeNOeGGBUXZpDr4EtzLovmo6cD+yh7p52xKIXam4ivDUGhGl
xCKq5k0W5femJsjQ1XkdrY3CvGuyVm4bLyBmNiMHNZMj/CTu43WUaT2Ov7GSu7oyafsWlgJnOhoj
PwHM4bdEbsWVIcbuGFIwh3Fca/aDC97vaClH/2zxxdcNIflKxQmeA5tnWWyFV8OHMMdJPw4U4Wjz
kujs6nbSTt+hPMzazqvxoX6fpDtcZkaNwjnMaRKf0Q2t9slt0twwEff/Xej/Nws9WuLlrP0n2+kv
K/3Vt+H/7Z9VSUudt8v9z5/8Y73XP/x54F9W9D/WeuODTTYZ1BO7g7sstH8u9pb9AXirsCXKDWD8
b0SdxgeH8AmhCrkCugL9s8X+/ZEfpi4fhCzE07kL/T3RyEIxFla4h/dpbkcrc0YhYTjh4y8P5X9x
4H+9iGRLA39ITf19h6m26DUIux7JhBRn3eg2+G6Ipeg4Z7Wb31/qrRbPtpZLWTwWF/wepLT3krBC
BSP6DZMmtz2QkxhDypHkb+BjVVZsOHG7V6LWduNsW3S6o6Xp7y//l8fpoVVFIuYKtuN/I97MZs8e
HKPaJ/lwNpT70cMM9PtLvFVG8eHLJWxpuAh+UU6835zrWps6NFDV3hbDebTNx0YKGhAZwvX1ufr2
+4uh6XsXC3A5y0BUSFzq0ir0fTbDDCvLGWXT7K3BrC5In4pyVUhNQS4I1EXWWw/kvCtcaGHVQrI0
iwSmTiZnfCppregAWQQxFQTOT36UeOmhG0iuUkfoZbUas4ysSNPIJAeFIUoguxGgVVibByNR5hcj
GXYhsJ3vuYVjmcy4bjxOjSwx38hOrVMtN68ierStzSg11+xf4+OUBPUpdkLOTvSkYw3HvajODu7I
j/HkQk9XtXmLD8y+RoST3jm2lvi9VSu/C9vwisIKS7iSwbrw2PKwJ4J47eb5kHrhJQ1K+62p1HfL
ze6K2PrqzN4tQCO1GgCzX5T6+Dlc8jbAQp2NZvOZykzmdVrO1S6tbJwhuVjjgBq+1ZGEY5VE1+VE
QBTLot5Yhuo2QzE4V+MIH0dqTnBhhOajS5vXC8g8LXohl5x2338zHY39GXD1ehJJckWcFp5bh/o7
PNgV7njIUwWG5hGnx55ux8EmoYXYZd7Yqy6iYhF403C0Q91JObNBoV6FwxTKQ+sl3biNSX2fK5dC
SOTZYmV4sXsq9STRj3kpArHNx7p2Hqzc1T5GaY+OohB8jjeOxrkQaX/kXNTtkY00FOPqVvFW7egY
qKq+LDKajuL/T7cKFBrCiSq5qQpO53QxFeirOwMdaaY/4rvx1lNf0QQwio3uqYv1SmC4nsRJm93w
HC/7NG514f9nMEo55/WNqptTgDzkBxzF6sx0D3lQXBKkOHuVMxZeCSldm+OmUuYTHTLtyU/jLgQH
RV7famJ5C2A72WlmWV++4lI60vAkvaZListvkCmFA8fNjx3qN7QY4Uj7JzcFCJxzE7vNFld+oaCE
uzgPRfg56dLowI99HPslUAmqNfqS23JKH6jJh77WU7+1VN4fqa7ToANdCf60cLilobPYIRLX94Je
dACLWutgl011nLDQwkiAiHWtJvYNRjSJOrR5oX5rBtX0jNNcR2ug5aee+tSxpV/9zhxx6DoZOPl1
oqgGpUHlriu94mphCq8Al75mkrEZg21QRghUNC948tIWO6tH+hHG/XAcaZO7cgtwLI7Uol3Tk8BR
Kf10yfOQuQsgFimKKVQQs+FiNiICWIpQ2yBx5GNRFKDR0higshs9m4H5UYp52oRtq9/FBEF7ozc/
k0s94REL79NCpzs9MFXfjGdiyAIVVUBj09nSWlrQ9Om6ggW1cuaExgpVeZtUnHnzan6JQ6/xiEJT
ThNB2B8CLUSBqOm349RtyRGF+4RCpV/IctjNKR8bQq98qIXmKpanQQPKXRfbjnjwuemzpeUT9spm
3FZlaJ5t8gAIIdM6P+Ru39x0Wmk+s257h1gNMIgEPCYUisYmijreEFrw+SrIUqSDZlBOD4XwshML
0nwQI45O/OFPdTE08NUQKNDsuKAmGkDh0qNTCA4oYgPwVa9jRA5Dao2ZEvlVo7xD1hsPqUK/SCE9
X4VefWHVnraeZy1YB6nmXYZB+i2Ao7Oa4We4nWE9wy0svySd2V+XFqgd386YeywJznU8JeOJJHd2
cJRBgRRJHRKTefhULJQqoiGurMtkomDrMIF8jWbm3yVVz49iqPRz4M7WrTkn+OIzGkuITOH1BH7L
2SGL2g1pyIZ54owvILC1a6RPmAKafJXWbvJoR3a+x71eZKuqzrqVsEZrlVisHhnCGhpgu9Yp4yzF
0a6c+2vVeNqevjrOqqrcr64wwUUtNc81lJHk4CWee87IfWKYjOH0GNZEFmeK98aSMBSOjPZdjLKm
GDt7b7e2fQ0sMd1HWhh+9uyNIpzfZRPAsaaPxgfByrWG6Yf8r50ynCChWFEGWJhibWrcWxVu/UGp
j+2UWp/H3omunNqZPzbwOoB7DrEPdbG+6kTZblOVMPImN9lbKaAM8t3ams3ze542pBFpWESZNWgO
7I/DoaeXj79wg1znCEoSzAuF7qb7bzbnRxXub7I5NFxdgp7/HORfPsNOf85ffk3n/PyhP+L7JZ/j
uqRfUKtThPulrOfKDwRNyDdsW3eXyO3PEN+UH5bYH8W55dj0Ploqi3/kc9wP5K9NQR7IBRNLsuef
5HPeB4xSJ6wnuqdxJz1bsYi9rUfR/yupEfKSKQmFPZOjtvJTOIbTgxKwZkJM4atfHs+/CfeXD/yX
xYACGMke4nzdpqeiSaOhd/W9NpOkfGdn2o9jUoMb7PuVA3Fx9/urvI/0uQpxtoFJANubMIx3ev3W
RsZGdDHup7aifYyB1yYtajIYrlVuoBKTKW9qFBlVot01uLcefn95WnT95WsKR1+6wmI65Tu/P9V0
3eTFPX6YfQGgHiAQMOYtnjV931vYpUb61aLnHBcxEoIh3NcB8Ce/LmMNMwUh0n1BhIU+gHjsshmW
bG0ogEJ6cAm3dAHh7wIVQ2hkZhrC4RH4Ve7bQTPR1MCbpu8Vi8ydSUS9nkdOViCVIcFQKLlQjl2R
eavoMtArouYyFJj0yShV5HAMTno6Pc7OVB/Lq3pIyZXj875pzS64GJymfKa6RjmqKfrpe9Twjfo8
6x+zLp92DbyvE1QzNFZB7Ak8wUZOG3K9+ExnhPJJAN/UV8OIlrGpxmVxdYI72buKpitNiVRpsQ4p
CimYL4geLMvcGTCiwHe6jbEhD4fDr0DR4tJR9dqu5vxUWPTX5NAG+ql04/q2ACqDS98d2lXSuh50
iWi+nBFN7ANdLRL+uL5IO6O6bVQbXMydO+5QiGSHqp25HbPtHxNd9Y9VMjv3vB1jQ4YeuKqBaqxz
xurrVAzMB1cwhoZ8eojaoHgiw8ibqcpc3zuDZA4NdXBhtjmCTaHF+wo24/ehYxvXa36EBrnNR6dA
GxqMCHaqsEWemM3Nxx+ZywIlj1J4yuFVVBTYEXlS8Ha6GSZ9lpX4udHqwCg0NkVlpHelw2kIDJyz
Soyi/moF/GeYUu1eoWgCVgR1pKGnTld9BbMzPXhsSjsn7rID1M7yanLRI41dgji0AbSTbwAHZ4cS
d7zfwgAAf6ohzxJBeodUhO3Gi6orztQ27ULC/htNYZYWsS3hOlJcFg1RfI7Hqn8MqLpewiHho8xo
2pWKkooY+cYSgeZVkC6TXavsa7iTPa4PvotjJWhFJWWRPkVC7vdR3n8TKTvrFBvWdYgbexP0Eo4M
YJe10uAArLOy47mmYfnsZtJecZZJknVLFTxfF1EAlksPqq907J0v8yGaHgz0fzsANimFGU4YWpq3
LwCPxTm24mEdhdm8FRrPtgl5j0m3POpliGb52H+jZp5u53QygEfMvAkL0ejOEoz/epHXZ6EbXGTU
qwa8rxdL5HMdet/1TlL4jDWAX9TClHGIGvuzbsDpNCCYPIYGY9M38G/uDL3w1nSB+kyPr/5ba7nl
VZnYDMrR6HEk8KIcWCzboLLK61KZ1rVsB/u6m3A55XFTPnW2U3zWWqIVBPTokYyg+GwqezomGCfu
R48qI/VoDzd+PhTPoecSR8U0ofBlLdP165fzIiZBUzT/w955bceNbFv2V/oHUAMIIGAeO5GenpSh
9IJBSSV4IODN1/cMUnWuRFVJXff5vB0zxMyEidix91pzGfcQbqp+OxPRcDX5S/dedUZ+v9SIlzcj
JoXQ6jltQpkvQ3cy02NfC49YMLDUB4nu4LMi3IfbVOYDCVo4aB6tFJNYZi6oDLGBNte9K7BAvMdz
ZOXuh5HZf/85hXz5IbVQ3IPXsteK7MF+NaqdjfxuuIJpF8nzFNuDc2/nSLQR7S9vLX8hodUdcFhZ
UDy2DUe1Pc8hiPieNDoIYAwBOJlX10MdCCTYWXBGfX7bk1ZxBy7x3pADXGVV7v3Ek3drK1k7vdm+
bmX8gFnpuoRDgz+Jlyhm5HsqRf62k461G4po2A3O8in1OY874/AlT0R5MqoYDoWTnJLVxethDeqy
LsdpV0jEWR2xcl8QdzU45Tr4KU20LxCXn4mjCbbW0npkKsl4G6sY9cXqLFdGoEam0mt0JrLnbOSq
YSbbQMNQQdSc6MZQ3xkUvQ2HOWgfOSGkZVF8jdXa+0gXK+8wdNSxgVPdL5WX7hh/BhcZRqIrNNPT
3k14YZustC7SJZp3A2m1p5VkolBYo3kycaockRcsoeptf1dPUACU7fNaVlZ2SHAChYC96T4TaXYc
YusB6WWwpznUXVoVcSs7wbX/DHlickPZBFCrypV7uImLfjwKlXq0/cGh1LRhhk5AohXmcIqnwAIs
F3CSlZystkvUfbbraTggd2XPYwP3gRayzSVi7mFgM+/Hl21trD7voJ4NybxJcjo1gT9TljPDgHM0
X1QwBjd+kecfANHUHlhOdzmA60mn0CO4cEsSPTl5o2NTIdrNHdWZv3cGWpQnxfpqbhcWEQR4uYKY
o3ivrpyiUxfTGq27GonUScyqo7WU8FZ1O+BlzabSIQVLb8mzctv57TrZWdhmyFz8rjpOxRarQX22
qPmfkMvIk1jK9Q3gkToOrS440nQMTiA+l1sgxut2jIbmnJfKCV1RlDzuOYMamKC7zrGdO69zOGfi
XhkIp5pKDVBHSQxrFP3jupnImQFJY2ePnhuniK+Xae9EiGwHgGb7JsFVN8RIgTjjhl1qApQFAGJv
nHHcxkYcvCs4uhyKlCfetevk5I+k6QRT5FzVQe2gu56M+7Kf/WuSqZYzgeojgnoZJM6ucdvyT3p9
1wmq18tg7oUbOngp4g3QdzxaTpJfqW61TioBihymCdO3Yo3sD5B5oXZ5EnwlNoGiu0iWOMfhYGXm
n6osy2LreJU7b7X35LSiymCQYbQHwLDyw1QMabpd0a1cOmCUP9NXc80rq3OwIm4sPIjyQzCaBE8m
xGltQPt2GYM+2hleIsdPNd4JQpYmXReo5o75YbF1Ccmudz7qgwuDLiTEMI5iHo9fmZwISW8vgwak
TNjOHXgOYlvS41z5URdm6JVvFmDzxxUx0SehfKMLgYPm+t6YYMIokbLMZh8qrPWYya66xO6G5qtS
/RcfkK6i3SbQNWNiZMNRrMJfKzShW7UY0T2GP/0O5JQJHqPUCMPGQEGUpCgKEiVv1jQ17o1aYQ0b
UzvZ4zvlwB7TvQUvv+Cpp1WrPkECW9UuATN6jWYfk9xAVfhSfAEKtN4AWMOJlHmZj+Mz4fdByiQA
lMRtWhSpch/IdqQs0wUjeKjRybcZXN0TIcvVZQFs6AixaNoS0cRi3GboLBBWQztPZMfmjoHFuGeC
O7xLyai7IVQu31bSVdeoiPS3CJpH2wAoyRm30YvyWi5f+4yaJA3wKp6CprFuWQarL7Zy63FrxCBB
O8rEsxtrDXjZ8nWWTi2HBPj2uyQ1uXcWCvsKrEu7HGK0cBdYc/n9wzhtQXguh5pi64PqYkhNiy5/
wSF+8Pq5OImOn6AZsW/I/16++gsq53mNarCQxDla6dQtm0VCHtxgEShOuQiau18fIqy/O0OgABCc
l0hqZgX68WzWCtI89XTwGBuiOUcEtely2KvCBovbHfh1ynu78bcjN+Zjh6+ClKOKiz308ncHGutH
p7A+tr18E/gJyBZRJfz4XQZE96XKmv7okHChu2iDvPEwvdKNm6LzArmOFGCubI89B8dqTRR0J+3j
2tcf44gUU7rxzbmzx+UCxn7ziC3WuRlTMb+dqLj3v7lwP0sULGgkRL+4IAmw0b76sr6Hh5XUiu5o
pMBNx65yHxbFi0bqW3JjDDx1bEU8YNbIE5/3jOtN9qkz1p36KWOGD+eXIujXX+r5yPnjwddmnqcD
xn0O7j8dfGMwjwKuYXfERNlg4iTAZtsxSLjEvDQeWiRVW5bmdYdcn40HH37zmAHGPHiJfk2dMb/P
Jqc524XLqAxz2ReVFt6djz8KVG7D5NxoNZq1l8ZL7+cfqQDybx5ETBY+zQsO1bbrvU7XlgNN7mLB
CzHjmA4XDwsHfuNg2dfLzOqUVtM2AEP7dRTLeISwHO/xxjz5mXo/VbG9S0FXM/OYYhirZX010mj7
MGorR7ra+QUoCPujcPJkvkJDQU+7TRL/REB6vjUdZBDpzAsNVjU7xkEqb+iYQkAFDXg/F5hBKSBX
Bg/2cuEkVPNtM4Ca1iuMcAbjHlu1+2BIb/la+jGjclE5DjjDTntHHJe6d6qL0zCwgCWYgDlI+yvn
EkikRPOBJKw2bVyyEj/X6nO1NndV0eg1JdBle05BH5RMMxwzdR8cO1c7WuHqOofHcZkNDTUo1PwQ
BeD4Ll6NOCFrVRQfW3vI8aIXqzdeNtEUc5HSlJ4+1pV5J+M8MdHT2lFhHG2b9ivMUdEbnUNrcajE
O1KpLbRrWlLguWsRn3ItN4hW/T/oNMBoa3aIy0MUlJY/bhDtiYvAdLovHpZCxW5MTd+aSUYsSaTt
buBk6t3MIpxsiplSniw81J9Q0UKO0+aR0zdLrO9071F+uqGAvRZ20qhBVQVqvXrWs5HTqj4tjCyI
acUVM4xUVyaiwWO09hwoYNMN7/q0oFPP+XGd8b2gb7RB0y0pfHt97YJ8wg8OFmYM2XSMe1JtsMGw
cdzl9pgeojxh0UPuUZx66ddPWODqJ2eB7YtQQwAFR8O2t3u/veUk6l+iXMaJOXHod4uqe080Yfd+
JuLvBM+t/tjrs12VBIV2u0E3cNYCLOxSTMPeWuPy1HYZp5bKs4lxTr270m6Hd6Y1IPysRP0kwSAf
TIcTlrI4PW/bamUHAAjUvRcZDaWmKdR176Ueb7DDakLAMsIlkFs+/93pvZBWPu9IZw7MEoly8Lc9
c9nPdQVMCOkenW5OhxuZooSpEvZEwhToyomJLYc5K1uohtHt5eLRACpF8zgtnn9pYe/8SBxzcBlb
qj0zyqwu3ZgL17KBHipTyLD2q/EdE1yO99OSHnzdAQJjoq7LnP4QqUV0CMgf/8qAOl53qb9i83HL
23H2FFQ95CWgfeMbq4KBXk4oXRgLy7AydOGsv/WMtxvZLc1yHbiq74E9FSdLv6pM3FcKmhyTJc2S
j7KZh/3cMgXdZOYkdsOY0hnRh9d0NjnAJ7PT3JlVy52pIcJ9ed6LVRVjp6LXs1zkts+jStFLX8d2
uVS6KVEX3nKxxu5yBYfOv3x+DMVMC4bHuzGP82AsV05Mx8PulubuueNT2Tw+ZBoVWOjpnDQlp+CC
XOJj4VBQkVfmXw6RK1Hf0h4wYoPL4DScbGk4cul1I29N/WWfKxpCU5J8bQlPuCIElloDey3FyDTT
C/Njulcm6uJ74ixm5uAJo66AxCCk7/h4m2GkOVeRwLKJJ7M4zSu/yEQiQRNn5RWsA0znIiIij9aO
SZbhoG2eGY9gReNu2lUlb0w8l/JG5K58oOAxodG6Y/e+z1o6gquTN4+geWmUoYhrPsfEU+w6s1/e
VgaveUQs68nQzRWbxBmgB7WIzs+dGsNnP/cpNfCeril/qRQ0e5qVJc62+Pjn/s3zJjnn9G6rGmyA
YRp/wnbQ5TKZUQj/SoqlpjPz/cujmdK6VA6tIcbC0T3ZeNWlqoGTk3rqX/p91zzWFj005pv01AZd
K0/QBm5Gh5NWGJs9i7sBogCsQP1xjil2WhMP2eSxztZTwiVMZNN+JnuDG5Lng7XrOD7tOpfyvM94
p/Xz3LR6Ge6iursoOgJFwyD1qHkZ7sLx6AkUgclivUl015u6RO8CHNA+4qsEPrkO3Zehieon4uLj
G29QtI0I6g7RtXMAYCViTsPPiXT367m89fGJop5GSIB3hS4SnEcGmRbIAL03WAgQz4MfJzceSz59
J5qooyGdGy82gP1iA/GxclCGNKiz30yYYsKgdOif1VTCDsfh8Nl/rMgZ2aQDNxLJaHFaCrO6XO2h
upSCIrbU9yChPPzAoBKnR7vicS0ni9XMicd3y0SZrHL6c2ZdiDdGiackYh17rDtffUjcIjrTv3DD
55YgOdLOyRcqOmMPmchQoPzsWE0Uzosu38dkWu5xqlGcgA/clLzYB4TYdEHrgpdiMcf6YyEMGtQT
PWM7jTgq9BTOtosjVdBc3rHZ8/A8L7Ozx9Wgc7RctLUTv+dUv0CUEKU+T3QzXSi8dbctTZu3Cr/g
kahnWhYjY7gbD8rmASJHh6HSZtdyR8UZz+ZZM4hinCf6ZYIksPQEIaA5T6qgiaiXSsA/Ytfmdn6z
+gL1Kd4Hul442G2C0Tl20TLhnWzpTle9t1whLLTe2I03/OnhrTngrSXAnALPRsvKIUQVtfrUlRi2
wbSvxQljM4cYRNk3wqs+jqPkqq0ennNCWnhVxpxrQHgVp6Fxah6pSjIHh88COxlPaUDdAqPiejJM
FtmpoZxA5EcFuYzLdhy44Yufr1gaaKk//9fnF3MpM7YYAyLbZwmS/F6xqZyqFSH4LIxlDzQ+PdRT
zQudUlXGAEfJ5pI82Y7yVmCeMl2vFJC3R5sIx/3c5V8HZ63dXdJxgH1uFHud+ugITqaTVrUvoNrJ
pxbrcKCRwC+eTuS3TcfBdz6sbZxsVz2J6WmoYKjw+DAm6f4Z8H394rH6r/3wN6NKK3CYH/7zpPL/
tgD0qqfvB5Uv/+TbnNIyYUUyKbehLb3ICv+jRbQsrIn4EoFg0QZjgslJ9C/huYf9kH/1l0hRzzD/
GlRaf3BqYLLocXZlQub/mzkljdofJ2pgX7HOWWyOwuT7OK/jTcvG67o5dyessooQPxfIdl8WFTJg
tzYvajX6ogyzxut5AnOi7EvzPVF0MGtzbPAdejunR3emoaj09tusVRPCFCAFyn9gh1N4msIhq1Jw
TAqbc7VHKMxECn/Pgv5jmgwQ61KIcjwhSC87NArw8KteXVXFQjU9jinnxgBY1aWENHvGzUc/NUup
SRYnit5kdqPI3nMfDaZnh6kePWRL8CRg5arLrIQXVGYzdgwpWe0TN8XFkSb4ZeiZMOnACA5eBY0d
6wRdFnRxbgHHadUAGZPuZM40phuvUuDM7U4kPWL8FpAJmxpFfHFgklEc5hER9FYGdYpsI2686wCN
cUbbAxYJsWjIeVy19IeewcawMQqql6R08qOK2mmfra23goWv+MMg0yNEO2M03ggZVR/YAqz7yWVu
g0sbUFjSdViU4BcQmMLkad2wD0MVk8342LfO8i5akSqEbdyo+TTX7BoA+SU/lDCFQTxGRdZcTtIq
Dp1wUb6hG9txxG049Fjt5VTXls7mI2rRJA4SyVs+yZOLAeYdepNZE2CwB6SZ0/R7EBucA0Ye9a1h
EzF71yBG4yhVlQe7LyI2UjkT+cSwkNjtLDMwVpLQtvEhANXgpaAqkzhTsn1F4ChpM/t7MU3Tbuqz
OgQYPMYMYnsAZOCnlKSFW0xfvSg1n1YGt/tc8jYimEphwVXO8lRaTN/3QVvKw1DP6sFCQX6Ru33x
WDOK2kTmaMGFMOL+WIxJbG5F690gf8EHLpJoR6AU7VLwylrrZs3WSMO5aPbLGM+7xGuDm1k2pJ9F
7QCOwInPSRDN3qa2y/zBLWypNjIZcOFlRn0iAlmceihXW+QF0UfeBoLdqswKPkXlaOEj7ZDtH+K+
EW+iIh1OU1t6eyJdONAEVdQ9QIH/bE70GMbFX7eR33Im4Q1IT7WnbHaBeB6DMKY7c1m6hXPOE+l/
0G7Ww9glyIcl3V90jiOH6o7JhL3touYNxWd73fjm+qnoS9pXTby8w+tRcoDEERYaBmKijTLgoY/K
6G6Weq6uQVBBte/rLEs3YkyjUJL3s7U4xr91EZtuJiNAcUW/5X2P4xEifx8V97mjRNhRxR5INzr0
tc9z6EUOvjEnN+8katFwIX812NeVI3CQyMiKLpTO0Rhkr27QNaH2d83iTwRdCzyeDrsLlcFmBM6B
yaP/DAPS2YL4mEI4Y84xK4IgrB3xNE/Le1m0HJnyOJi3DD69lsrXRhdYoOqifzu4t1OHHI+PzaU7
LO1/d8X/LwEPr7fuZf7ztvigacj/Z/uU1/0Pe+O3f/htcwxcTFT0Tb5hl13tfv8m1Cdq+w+sKSg9
ZOBAmJV0G/+iL8s/MHJpFYiNsZ/W6X/2Rkf8AZBWaIRwgFBEg3z/hSkLA8HrzZE/ASkNPrQVCBPi
6Y/t2cDsKtIxGoPsD2u8Q7BdgvRpMXUWa77zFMkehBKJe5qH48GvHQJZxiU4gQhPtnFeT28WTkcX
Nq9kaDW9f8xTE6A7Y/Uq5LTGPulWyS7v43tMTmjSMOWAvYfp5VTvpiG/nWDRMBaK/dDIBU4nNwOC
0TkcdUst3uPlYnzuFOKhr2htKiW8cLXj8tqZxg6ecMCRzOud7cIx5otJbObi22/Jwflqq77Bojnc
LcHS32cIYg/NJB3C3bKhvGdQPZxr5aNu9RIUj3NT5geGyOk2Y3Z/uUyudyo5He8ywvzQO/Ly9lB4
yEeqV3BXXM7r1jWAf0zOQi4kwdvlxqPDSdKKWS3H1WxNzu465FE28tJs/WNRiHtloqW3+8C6KnOS
FCIC67I5YA7n0wzPE0SkDaH3+95UZcgDwxypslry0/JpgywxRDjbhtys8mKFDbb3pOGdyyyjYVdH
6MxRAOxnEc8VIyUcBKxqmgVLCgnzkGY7Lcm7AGTd26mU7ml2vPFDZZFimnRNsDUXm8QKRViEuStq
tAhBqCXNJrTDyF4fqtbmVLxLp9o3PoNwsdjQ62Iw1v3gEryxGaq6W0NT1sRfGQ7I3E0vs+W+sSv/
OogD08B91djzhoNoMx1K0cGI8eR88MqKSNbUcrybuaz6ewOuSA+6yyiTHr0SLX9M0Km89PLWZKBH
QuHOyFeNWByDEtwnkQ3XBllVythiAp/j9VCrdm3RhGdFCpKNcwJyOLnhDxETAjuJPmx19qKqd9sP
NCzkfbuqibAyVuPUyHKMAHWbTXcRNKZD1dS+F9/YTM7GaU8yrTmsB2dVeOroponFfQvUvzMfDDgx
fsz0NKOnHIq4HGb4CxS9c8oXoFIw5ysCfxbV7DEUVuhOC9N6X/tqvpvmZi03lIANIS+pRXGQG/G8
TamIdUo0/oVduowG2ASJTFas5C1terckgttCw7apguaLXGOdjdiI6L4qErCWrCSN2mQ5mXKRrPLy
2sgWYYWlWsybdZzccV8Y3hSx2Sc1U4y+Au5A7NCxrgpjl66eHYeTPywPbZR4yKGNdn6fp0XAfL0B
VdkkjtgWcRnf6OzYG5f5+q6nHx+6iVVNB76AebWanRa4Nia94WIFVlGpW7drKzhUNPA2XmOR5OQQ
0sKAMLBaHBlZdEqImz35ygNnLLue+IS4n+XWMqx+3ZhW5XHL15wEbWn3C7MXLXo2u/5+GL3qtvFV
fPDwnCfWKG/IX4upP9R8wQGdwIgG8/uH51X+v8fE3xwThWXpedg/b4hX6eckjZ+q7w+K3/7Rt83Q
Z/OyRECPA545MlR9HPy2GQbmHw4SvYCBoeS46Gjz8l+bof8HjmE0kS4zJCSMGj797aToWNq1ZiIL
BTEP+IWN8l/shs+b3XeTNkzOmunCyBnfmuOYr0+KzWygsyk6Vmf6jcADx7gEjNZK2jysAJWL4DGB
VnqZ5ZC336ZzBQheLYmidxoAn/PSsRIWAhDC4+eNxDVPNQa+w8kuYgHil9BoyrgNyZbIN7+70rcv
3/H7YAM9mPzhmzt8YZ9LC/lGSuaXP27jfjdMRcTqd/FMObQ0x1NO9C6X0TPp/yw4BH79gbbPvXr1
kTi5LSjatFldTcH58SONtGDpJcz+wnWDy7oH/hzCFLDcQ+ag5EB72BjN0WpNZAVTg848HJzRc46B
O0CvkzERPafIQ7a6WUePq1K5EUus6N351q9SpF91BWw+0W3VQrAQHJyoqi+yTkM6Y0J+xo2VR627
aVpSn0M5E1C4jyfOmC8w9GJlvi2sVT5hM687WJPa6xUQIIkB3MPXvZ0o0kmQdw1YmaxQgBhKdvkB
KAJN/0VDzlrL5iEgtluSMY0UkHhAkHtrD92z9ZHe4wEGgb1jxgJAGSoO8DdCbdGVJbF4YzFFgCPo
dfy2rkUr8MyCjFHkk7UgUh83sBTqgxgnsG9uLZrkZk5KvlGwgOxcVkg2b1uUyCs4WKIE3xCkDlVT
1FSS12s+wSNxvcVVj4KebXLuW+CxWJJhMRrsruM9SUn0Ze1CzO+Vb83GR1vobMeUTggA576e61Or
UOWGI6HJaxi5DF4JwtLEPzXkfDuR6VSbeW2Y9ZGKmCV6Rga9kCBHLQlBKpVSEFXyKZs0yXfBdjMO
Lf+c0UNbbpvUvUtcVKqh2TVcpBcYsev0ffeYIEZVR1hJIES5jvB15XMKBHx72hQz7uz1YVlrbuso
pLAu4pVQtPMzd87TFycAiMn900D1gOQiAiCK3qAyZKu+SuJpvTPI5iVV/X/CemHnW/0OQBQvIdYR
vmXrepO3rUdR7JBQxrBmG0tLiP4uvHeVAxrIrJdXiw7wNUbPup5GVdzadh4/CYLHjgRQOKSukkn4
VMX5+F7ZxDQwF+SRTSaEDeM0godMMnwcYQlXczmL2ZWMbXHGvTPcpuvvXmCqcvR4bEbSvdIQhKrb
3oDgkPa+g+BYFWE5NDYZYwss0NXeZjyR4vNUztw7CiFn+rqAl1Uf+I9l9lXNE7kNJaxPEpABiJKB
K5862uRDCPzPeoMcnNuDdYuWGP4v7i2zVxCgqwdtmyvDy+Vl5JgfckKlo31nGqp7fKb/oqDnRcA4
x+qYCiXcQ64RhhLRoyIaiwovHjNGq8+IY8eWjU76o8tiV5o6jqmLT3nhc1q8bcCI54zrgqWY8dcg
2/qiSnLRviGwzzDeGYO3Npe9aI32dsHLhA5ysVl+1xJK/tvUIRD9nvQpNAYou8CPjzBY1tFhgVgJ
RSPlELlxGs7mxHQoCGIuhELUc4wKH3m9w6qSnFWDIwDLIA9yPhvcuBo5XLt1R/1S0Hvir2BQYg19
ToxJBwOxtD4CuY9z4Q/iJouYATGzs/L6s2dP1nXi+hrCWGh+KPFlBJh4UdxmH1urZW6/kdhCv5CU
2ufvW1YIzGWQtGV7U1MSY66bYyMCxg6xip5cbvGXEFhk567xuOe9DinIegTq7/0havI/pUe8J3iC
BTrCjpAKIW5K9p+1ofnP6P0UwaQtERvVrmmeEmHTy+QYuIKgSWMT9fXKGAgn23WFbf1RjkMU1qv1
4NEimkKrrIe36OcNznBdggNU6QjxODlhwCI0NIoon8t0JIXCthaJ/bqUR4PErwmVfdYY6fuYWKhu
7yjpQu+o1RJVLDL1idaI+a6TNFXs0vxoVCNxhhUznHypsFcn0+wfrVzEn4ou8v6cY5zWnIWqm57E
8mEC9MXJpp3v3NqLP0p7rHZgPBwywjv73m+i6qNFtu1eVGYchd5aErHZey0QYDBJnsqBYIg1L65S
FRdvRdZ5Gw7B/X7VhCmo4HNYkY25G8tJ3YzFWl5K9Lo7/MXFHcu6+giOMXkYneJ28sw5O7RN5+yb
pZk3ZlZXhzGtU9AVbsFJy+nifUuJfRmwgW2LvFnPhREAK7fRQnIWqvQ82Etx39r1GzYd9VjJUiXb
bO2qvZ+a9fsEgwuXlmg+uotyqEJiyedr5aK51AHx2zjyuq9p67VbYL7OUaxZvAdoJa5l3HnONjFl
taDAoxzYdq0YLxpiCA9+AfwshPdfn7yE00osiZiJanXAzztsW37jI3NNXNNIyclwRjI+7pbSG66b
3okeApW4B6Dz+V6S4h4aED/8/bK47rWR9M0FC/ZyNKtqOU2GFZzWPp92S9eSDIYKJWyGJWNs3blv
xnRcv5hmkV2Ailkv4GIE3zhC/6g+0p2LH0siD/2b7RH3hCSK9v+P9QkRfrafYXI8z5o2nIMwC81J
s+GfmTDoQeuLiLf8+Ou66JVLSfg4tqTECKvdQ57z2r7jYMwlzlgG54ZJ3geMAiwMqhfUGL/+HDpA
P/06FH4u5bLA5WW+qr5GEGZDF8TR2cl1heGZLWu2FoPIWfNf//2HeTSJuJyWjbPs1aW0eIeBdbnB
+Zk5X+uhPU3ZIjTSIdj9+qN+LmSZ+6AnoRaHE+Tpntj3mMMmDjxlzKZ7tt3Fuq70MFiSiYqUCCBz
5yGf+tefRw8NjAHxQy4Oqld+L8uveW2LUp7XOYnevWxBFZbeNJRVRzXyknjx68/Ul+vHJ5MfB55D
28y4ea+L9aWMnT5oe7hAbkV15SGAgOceROzA1SzYAx363jahFGSmQIvO2D5+/QV+fkiZbUmus+lh
FpSvQ2loUjfmXCAmG16Y9cyTZwse2f/iU4CJBK5Lj/En8R+BrhNAss49xygWgJOjEfCgBPzm2fy7
38KB0pcSvSYv3qtn0+1t0cBKcs9oqwEXpwgr0H38Lx4Tem62Cf2Qhu1P+UY5YAGm8LU8iwgVS9om
vHMv6W3P2P1ekev9myPdz+sXazqrCT+LmSUf++ObUKVjtEyF60BHjtxHC8XHeTVHSpGhqIMd7Gv0
Yy8pC7++bT+vLH4gAhvDl2kH4qc3IkAzZq5KCkxvvN1RzTrZu6Ab8F3/LiDub34iDwetbFrtHkd+
fcT8jmnqYWjho0qBLEMLAUqozGvX445yeGByfYKb9VPz73+fJtMQOSghm71muYyIxewEE/q5cMn7
qErHPhWmnxw46HBTf/1Zr3KxwKahf6bp5jgOfF3/5zct8VvfZD05E1SBkiOzSkmPyzOLezWuJA3j
o6twCZAEMk/UdRO1Vnc9Nhgn9g7aTQ4XtXxCv9Z9sdBPUHWuNPpu/dwFgPnrr/rzwoua0/YEGjEB
Je51DFmVyol0GlxTgggR1CgR2p9sNtgvR2zyYpMFlPW//kjr53c3IIaLutKG06OT5n68/3FBv4SU
HB5xeG3tboZ6qjY9Vgqyv0j6CRMV6ec9S63rZiiaD+hfVousejLimk5g22/igTRBqiQEIsg6k3+9
OQS4HOgG8TJw716bgU3QlOvo89aXq0/RbcrsoxUb9rkrQKAiqDF/18b56d1jqqPfBlo5PKJ4sn68
IE3a6aJ/Wc+jAyW9QzqbEZoDVZ2dndP4ry//330YND6IUC4UpZ+eTX8VcEKJujnPMbj5rMJ0hwRY
syRAgKS/+bCfbjW/zPdp05m23vHkq1e9zA1LdZG5nN1IcrAEmcSTxYvIKfHXv0q8Mj8I5uy2q4sH
clPZ0l9XRoWdpLOrvIkKogXs+pK2YAB/z99GBoE2Fyob6YQ4MerBZEoY8RbKs5m06CiPuSbAIYH2
C3xh4rAUdhaK1lXH2T1HrwV0vUgeKHT3Y2pyDseTiJfbvsLh9DvI9M/3h+TMQNIwDaSNGvXV28HU
gJZ42XVnoZH8U0WMGxJaIphNUrt+fdF+evmhU/MMOB4RoeR0vq6C8F6IfgRufG5RR6DVew4u0OE+
TLnqC6eaf9s/1LvXdzWQw7bm+c88MyQ+6ID08/Ld0l+tpW01rXTObjM7f7quGM+tQzbJc0PE9Tq6
Os1ayLc1EKDfrHTi9SMCcoo8T9dlDgaSnEpI20C++3CniPoUYl52trCawkk1M3JfcNRjTrEFZvPI
/4SLIHe2Y91ZHVMs4mMqu40BfPQLguLnJCdzKOkirrnu1zStpw8WA9qNzbM8ry2ZjWEzs9Jbr18M
ZD71lMpjYMQ50Ofct+s7mXXrO/JP2O4MNoPD0reWOr+kPCFrnG/lNNMa66Kcvl9O4yjapM0Ye1sf
r1d+JU0jb0nkyMs7ErYzJpI9ADIndW/rxTIYhnkVKWRjjwHU9PAlXtKWNquw8+QAM8tpFSGRcERD
r1ArzodFD5KQ7J4R1Fshals5oIW3YEeTuN6kEuoSPge8wPBXqpp3hsi3Fb+BVVhfptYnLCozEN+H
AbwhmqG48JLbcZn5z57RrPXJrWlRHnAPR8nRHXNORRB0+H9XHa/wXHyOOfKnfVDouqZRLjLSigCo
r3TLcV7mVtxycF/aOQCJ6BvzvQIamtzaZU04Zx43Y3/X2R03RCiPt7u2SpXf16vJftEOvdXsCUcg
fcMkHDN23Tq/95RFsGhn8ivwW8r1T9utSJhqG0u3oqaC24yunH/IT5dPEn/U+qDQxRFWJTLncnxJ
s1IYP/cpAS7zHhEUH08fhM5VvyY0wv1yIZoHTDx/cXCTyPqEtbM6NXM2GA9znfLRTb6yawVIfWjh
JAWD9JtqGmV/bzHC7CA85zReYZgijyeqEJ+foXMdx7ElZHyLXtYIV1WhT3d1oAnjQJ6gCgwOyUne
BGTLGSNrOiUoyiP2VWtMr+u2oKcFmLNbD3PBGXYj0oAuYzyYc/vGqiSpWn4qecAqpnLi2khb9obn
OoCePU8fanlaDWTe0DfD+YV/JqIRQu7hirzmK+EW0S1eGCJBnltwshj4MnYCG8LJhHxKowRZUgeF
Wh1fXitXsLaYWtJKtF3mP0HU0Rk7ksQXBEtJCoYTE3Qoeoe+ZetKnqLGdzmZkX/FdRWd7pnbWTd8
WlJIC/s5pQ//MpqBRUtuna0LidihtvNrop1LK9OdWChMQCw0Bh/fCh345+3PcweajAm9K+8SkdNA
fpBJlP0ewxwpJCUEg/VQKoNJQ7E4XFgH6om9BywXp3dd1fBFLJPeyV4VoruvVquZPw6zZxs4cD2Z
5/d+HczDlZwLSBlIJJxwgHmx/EluII9s5jfCuVssRaRWslAbA2u1Jo9RNyqCJKk3Ce0KnhWHaU7O
G9zb3nsKc8QVG8noGohskSJzyogxWUt680Yhs3PRdnTrl4KmJKLzavVpSWROdC5Nc6bVRoe892mQ
rcOYTS87/n/npL+Zk0JRZHb5z2PS8KlIvzIlSX9QDb38q78UtchmabQ4EsEs4zy8iP+Zk1KYMyil
WKOyoeOCSOl/5qTiDyQkGExMR4sCn7M+/lLUwgS1+YMcXF/0tv8q0MN6VWKZHOktgVOS19ukhaHl
w9/vnzSf4dQNtCKridTQcYoo22s70xhxbxoJjJbLOZvHKt+ZZt7/P/bOZDtu5NqiP/RQK9ADU2Tf
MNmLkiZYlCihbwNAAPj6t8GqeqaoetKyxx54YFtSZqKJuHHvOft86pCGPGaWHJtA+mXz9Obq3fxZ
M7wdfb6f2i7fxoKT47ouZQQ7+/Jt3+7mqCsyH2PuxVgivqJsZunu3cqhqz50lR8Myuo/ubwasB4L
j52nSZc5VTjTI10xyihf/K4T1/wb9D8NLNaPs615OuWAHX7TJ00ff1eiviuGX78xx97lnM1ZD13y
u2+My4t7O3UXc0TIt3bGOX8c8FiZWywCFf6BiUTVdeLi35xdZ0JcmQlzV1AbsJsNBJPGo5SkXGnk
l8ouAcXcgWijk9TaWbSJKvaMrPePhfTZQ2js+R9k3JwyAMgjE0DNuaKBMRS/KatcvvSbio4ftRzl
yFl1aafRoHpX0bmTFsFqyeUFQRkIvghbcmCh6iK0dpnkqrH17+tQzz/++va/q5KFq7su3QNaFa/9
CnP5Wm/uPgKbyMKGXV5es2r1LO4JaWxXiRfGH379Se9K1tdPQobAidVDLAd268dPqpHjzg2K2otX
C6JYFVvpLoSaRPpnHW8EJ9R5ZYrJq1apaavidw/Ne6UevxI8hG2AaaChhjL+x4+n2Z3EUUngittk
9jOgN/s5y5fvgNtdbhz4zcjPuPU7xRSVEiqr3G/AMeRB+ZN1Hh0TGRV5KlVGLnNZPJotwWXwOKfp
W60N9Vpoc+EiPKusdm+bVMK/a4X8fKM44LNsmPR5aGtZrGlvb5Rweru07VC70vuweE7aDh6lrgF9
tAJzmsroyNkm+xJ5fn1meBVvncoaST3UB/d7R2pGBRsmwkZXpcO3pDXdl8GuY/f461tMw5dv8fYp
dtF/EJdE0421lbfz3dHAIbJMtHFnXiEFX0LM1iCGqJRexb0dORzAGxpxO8DC7IM4jt1Vq5coztt6
ly8a4SxviruaymQM2MGjJ5UWIKpk1wVoAetHZ9Eah0S8YeNbBMhJZyJGDlNZXtSiUG4WrXIU6ciW
tVcJszHExd5G7n1npNFNNJUI6fLehYmD/Ll7FUI7iyZaT9B5rVsLqmwglJee80U/jTDeOjKL1M/z
q7xaoU/AHLiorrVXAbZatNi6QpU9p+PXWjbdfS80JNtqieQOZdNT4xjGQxPrKtthz0PoPcdZ+MV/
lX8nZaN97hdNeF1L45BVZX3QGz9/oRAhhrtedOTJq6R8WNTlMMjRSXMddrhA/euGwfXGYpy31V+l
6Tkmkmg1oAZFebOo1wtpomOv/WuCUpG263rV7dlqDLUqF+2717n5x7EQ8clo/foecRgaeWiRxlY6
xfzsOVW7kczosFMD2t1q4yiejUVtL6NFeD+/ivDLV0H+uGjzzUWlP70K9ttFu0+MULEv+aMkdS/S
fkT9yPzTV8m/GyoyQF6NANbiCTBf7QEtRoHIWiwDCpXwOnk1EqQ8SR0u48VgMJrueHaYa+fhba+a
rkAAmORT2b7EYWwY8yeooKML899vWcqrr6Be0s5EY9n1fS0uXdYV2Xj0k2beDX7fhYeiTRgxp0Ze
3b/W0CkQgEXL71PwY2f2R25X4cF3CDGDrkhCUs3GQXArVi0BsOF1TLCLW+0zzhaUiWPud2dH0lKP
AhXiTVarnr1w62hxGl4PvDpOtEJwRzKSbmay2JY5atEgb9i8wg1sbAaCoY/IizBajjSrCogVOTR+
z9Be5S5TfxlSFWztcklY9GabFbM0iMclsHzJcB0A8MsbiQS02FRR4n3XkPglYi0qo9slltd7Fxup
e3gsTbdz7XRVjhKUDK5oVreYJAUG0JtQDvQE/VaWyXbKnYJ5pATRght+oqvljvaU79qkSbQVt9V4
0upi6SmaDpIS/iO06zwVmuSSl+UTsgS/OJit3+VIdDvnbu6xJm7xQyBLoXmE0TVwY3wzu7Ad6vKe
zdg8ptFsZNu+5htsqi5nmIwAZwallU61uiq8iUdb41Vp16Gu98fWtO2cUa4Z9WuXSTjelFfRUDmn
JsF/GR3DtccX4GwJjKU56FgF9jjMib8wMqbZa0bO4Xruw8ymZ9XW/k0aqtRamQkGaigq6aydYPha
W70OIT+5MRM2Dugxh/I40TmCZwTE4yXgzyHJJMuIxycywWirBAxTNybaZyB0aAAYVGeeAf2F+Cfg
QIOlgUDKldFfnNqfCKDwm+6KKTVbEuPnbIGFLa3kbZggD/0049uNj6Sco7qQyp6Tk95F3Z+nQmaW
dDc8nYd325ecmHDfzrRSil7nSJ2bTSZXxO9uEj1pPuVKUVnQGR3upe2oL3Ubm3vwfagfvIyGTwBS
h3/HzivaCfjB9cs81qCPSH/kSPkaIvmn6KvjRD1uBqNIk307GsQSlyiojOtEQ5NTimZ5ONOUREg3
lzQSx8ni4EguGLUjCia+WIUSWD+xg5Hx6hGIvClYJds1KkfUVZ0kAP4mbXvOfYZX+kgFrVT1V93Y
LcXnEgxsZ3DyYWUVfHRVATFg5F6gdBOvPSWSbRkIsD7xvWriWC275Ff0jc2lAuazhIVmA69OnUdZ
clviKCbMtKcqiPj/WFONjjhX5LZTi+y9jkElxqQp9VeFFtdIPkTfQJdcKKEbhNmcrfnvnLP5RSwg
o68vdTJkxQ+hYTL3HZKE3IyY9M3Fpe48q3LR6owtQm+zGzkcR5S5KWa6MkvvIcOpnSwFXfsllJzp
gUNzA8yGcazgO/enkCClAYqc2ygK3MncQWxQUMbdZkJhntk3Yy9FtW+IDsmeFKYzuS9Crfg+IQRj
DUkazsGcA4gcTYwpllsS9/wnbLoFFPA6QvlvscxNrYrvkqqTJ7/IUnttG60RsewxcwMWaPgfWsjr
0SY3Sl4TcMamf7DwLDTfSMUkNN3TeaQ2tOB4RlJb44oy4hs2bDKqOeltD6GK83g3sNOa2JbdtkHe
4w/+gzZRph9nn3beSyfLCfABPdfhkCiDf2os9HiGphE50aHmtiicD76znath6K5Gjv336SCbwHPl
3iqAEuxn5XBzMqHTsKkJZa+u4FlZZ60TWARIiy2GUzSpOgZzwVH/gUpEvggiuzHluokcSJGXYJ99
NXgNu8DU3OdRoycf9Wo2PSRSVGDTY92ZqLBiFOottjAES0ctrNUX/GSEkeQuqPADSTv67YjRaN61
fSMT1OKLTTAxutS8GRGS2ZeCoRR5t/UgnCtLj61xNVHdyI2Ka+6aQtWJ7A4ZO2sH/KsNxHQYfENO
0NRu9hqe/swaaTBN4STkKqyl0zy9toHSeOFCs9P5H3jWC3lT+tio4GbXfrr1ihiNzNh/MrxeeToZ
cYP7aBslDSJlR511ZSH0Gu5AT6FYmyKe6E2dmNxNDg4o0hKzo3XptnVs3hijyJFLjZXP7xpHLbrK
Wo3eWsHcAnpyWfTdVZ6HfH8YiNFWxh5xPGpEVTURWN2uEcGg5oGn6f5JAPpvJ+U3nRQK8F8zlA+V
en6rNv/rL/zVRUFSrtscDq2/HFR/K82dP9jXHR0qLac44wfblfkHLZdlFo3KhbGfxRn2b6W5+MN0
XNh+AgsX04t/z3dlmctp5+05wzdNm3IJBQhHSpdt8MfTEID9boCy6B1FU4wnLZX1WmVGdjeadvYC
oH8+qLCziBnK6RCgiwuzi2kW7SccPxKNpSu1Gz1ysUfF9TTcWGaHdHE2QuvU8Oh+jbskjQ4LnTdc
4ToxtVUzztG2J/FpE465+2GyO3XbtzUMCIyY4Bri1MtfhmGyz0PTex/iscLaM+ctCMeOk/y0pulP
PLlJN9m3ksNgD/kmjc2mD5zSt5OArAPnBR8cFkfhHqI8ny8p/IOnLmmsuyzUetLohjr83pkzqFNt
uMpImifXvEzST4D8mmeSlYYnUmNo6U4y/q6ZJqkHfmTDF25H9wZLLZT0cTLlTWpH4xUjOZ1QjNaa
vruFBp6zTAmtcociugyaQUAVNALGjNLjxKIq0zobcZqlK5HORIaMqo+f5zoq9zkW4I09hPEnio9o
XIGs9HbMSExUgfhQ79HOxde93R/sCqn7PiF7eYcc2TtyTh92AkeuuZ6Lwrkv4mhOdnMZ524wgXYf
g4qUd9giGSDBNbpR/2XSBUASsIeuWMX50J8cREArPNjNkeIthXumOyB7EGqu8mb0T+08YLxJJygq
wq+9izVVfrINB7e/g3/c7EnJpnLXhPxC0LrXgSQp8grciFPfN7nqjvQKtSVkgYvj53kXaHWZX+su
7frAgxJzjcV8ySSw3eFj3osJYjAFzknHMhwHi1x3DMLI9Y/Mj8NuHRUq3eSyJJyDeMZVMgICCkwH
yKilRprTREV3x454lThw4jG68br6O9PzidyObm6StcbI6zsYypzTPipjPG3W3H3FW+Zo+zD08g8E
OqSHwSybzexPKZHbpTM8M3DxbhzVDmsqC3vra2bLCQwK2lavcKjTv9bV9UwnIf3QiCwch9tZAybE
5oKcs9u5TDzuIB3FN4WB/S1/4e4aysKf3lLLAh8qY02SZNpOVXLhIFSEl2hxxCFEoZVvdcMnRe7O
wVucc5HHZ3AixiM439PLpDZ4Ndp1uj6U+5Cc+S1CHTzNiydvoEt2nBafniSzgtcb797EDKde3Hzu
4usjyK/idIrXr+Ectk0X/x8OOGOTLJ7AFiwhilH9ZCx+wWpxDo6VdScsf58DVDrPi7sQLDQuq8Vx
CGaa696/GhGHxZNYei1PoAXD6KLZ1eSs5eJfNBcnI+bHDo1HW2ySdHIPRHWoc794H9Xigmzsvu8C
pPfNyeH0fzQWv+QEvgmn3uKidNLFqefL2znmxcywWs5YLoEmwhXwMmQblbVOHUBLVZLKBw1A2iVX
o4txEf9mMtr6PahFVi1v8Xf6i9NTvHo+6RMG6K89Dv44QgesoSYWUX/xikYzL7ZWmfsUG6mz+EmL
xVlKF6UEnCmwm44y9/bt7GBXWNyoWoovFRlCvBaLV9VdXKvGq3/VSI07h9EXHE3crdPic0W7gxbd
9u0xiCzJcMbPxIYJHTbQwp6fzNyyPqJqTtdxBgxprOP46Pad+4AKtD/VCkQ7i5RkTXEr1o4gocH1
VczkuPDmR/O1yHh7kzJKmYexNoKe9vbVzACtxzJ4Vrrmj5tIRuM2hH+y6kpB7A9S/1WUZM3lFYXj
0rM+Za3xDN5pAr+aMOIKizmwOW3RIRlExmtYxrcqj7MNODdMAqR+crUNvK4tiB3f/5pgU+Gag0Rr
uAnduKKhUp4TMJ3XqfTUyyBsbcPBnOlWhwlUAKNYp5bbb1vpFR+xQno3cQeYAUJ42X1MPXtr2L12
sbOxvNbBRTBgisQD0qL8u+SU9Ik+jnXvknB4C8k82kx6I7Z5bfVXw9x5h1RYElBOpmUbdLQ5i26c
9PeJZVZHD5HTs0nRvIdlqKDdN+WVh3BkP2q2fi2lna3Grul5q9R0H+kFYvmCntSlG2hcCD8cztLO
w72I6Q0MqSRdxPJYMnMIZL5M90moJTda1kN5zwbPXUWs+WszBf5Mgk48H0Vex1sOC8UlMfLwMS5n
FXOCtuVnmOJI3WdtSM7GkMm9JCUWkIc+fim6PsOUXM8P5oB4oA5Tl+CNPGEsR4bkY8Ow/jzHoYLW
WIG3gHWd8rw18R1mff0eVr1B8U/w8kQ7iLBi8nef6qaWN4SmYX8i5yoKWJiaPTv6+BxnDQEhMdjk
oHcIFFTYcFbCsJhf8lQemQPedv0k0+uoNfWu+ygaxydAeHJgsYuPdOjzcl8RtJk8WbaBE3bVISNm
J8rISL6eq3jg9Gz2xabXF5wyLgKqZTHOL143OBtcK+WqbdGbB4stawjadiE0x1O/U6J4UOPY7MBq
RBseUuycMGDXfVnmtyZ0kDV86WMPDW3dOO1f2qL/1se/rY8JnnnT4P4pSPDw8hxXPxbIr3/j/8aM
OuAeunYIzhYV2DJL/JtNoLt/GCYCGRqxr7bK/zNjwvphYCQ4syO5BUZKA/3vEln/A6WS7yyaGhZM
Ogf/jhmTovpdibz8C8w5EafRLGXg8W5Klulh0zOFdy52bGkHYLBjcyrdhSfMdG6yMSjTLsnM8jgC
383vgQTa/hdE+d/iarbvLTczoatU5gPTFGzMrpacKOvGLuDESauE+oL12p+lX4F5mcEEaLlB7wAD
mWoeBThcLaAbl5vFKfMTuRuGnFg01yBkLVBN7m0TGZeHIpzMlQuXbVVMS51X5BZ9ahZIWmsG2eF+
f5uRRdouzMKQgKG6PsueZubkDM3R8Fv1Ql/ss1V03ovlS0Fzq3J3ooZ32BaZWFl24RwAtT2bbUqq
x+jFE0mrBgiYeSKjRNSVteVGaZcy1cJx7brDNsZl24arFlHC0OJ36fVi2NrkjfYoPVR6rcWx8cSA
8Wz1Zr3WgaSC8o7F3STL6q7rG6RKnXgiKdp/HO1xuh5hpNKf8Z/G0XM2g5iI0B6KWyvF3YngybiQ
H98ees8MKa6T5FygdDpABU2ufC1/xhfFoASJysaunexEieHv8kobvsjMDQ8T6owtBXJOzwXgzZx6
+jcSiun/e7Kt9r6RfIOx2sIQT8aPtg5oEuEg7gbQS/Shi9z7bBg9uwihd1yb6qlIiqeGgLcr4EzM
QWI1fAo7zd6YJlhuK0uYb6Goo2WLAXHhYA62TuaXX9y782gtMJ24PixP5GMzSGfr6XQu4enm2d41
0EAFset2fPvBXUO7H8jgGjApgGzjOEFIvR7dWZme3UyTnK9DBY01nq3mHJsG3eREjDafYkJhZDS2
s9K8ndi6zORekZ9xxvcznWPUQldsoims/VDdMBhptyXoqq+dZ4GrQlkJaCrT6u/kJqZwI5Sl7wo3
VWeY/8l+xK9w7si3rYLRUdELcG2NjK/a3sf4/PF89rV70mufWj3pFlNwCanRaX34c1hFUYY1nLCA
Ucj+AzmxvQoaczK2cO2aCfOcm6yNKB7A6YPvzLQCmUlFTX0aimJMg469vVwNTdVufUVTpeFLuY1T
H+U8yceoZd4YDJR436t+hmvh5T7k0Mw5t7b24szA78Hhp4y8QAaSn6wxveS0SkYNDbKtmwr/iUSc
bDFFnuqwTG4YaMTbPLLFl4EssQWe4HwFLj7j4SgGENMDFqUlFjdo9U59ZKJpsumHLskM8DV6JAER
OB01nUgpsLqVRxjaEf2fqtc0GeMNmYHzDWVhhTaNZrjjjCUZIaZxkEbW3gHgt7FQqX5JFKtuCTaO
pyAlCS1w/Qjse21OgV34XoGygJ/EENMjO40x7KpwFSKpdpg4nAwpI8VwAqrhzY8DZARECo2+jW1B
RKI/cUvwWl3FXtneOOzEOrikB0Spzp1v9vu2NOdr1QtAp6N7tHte6yDF6HtIwkLtPUiFN2lhaBtd
6RJ+Ue1N95nM6yuKReMBq2D6ORF6s9acDJ2EahXnmyQODyU8NhKcG+KYK1x+IzCHwtWgUFXqNrKa
9jylNRZvcM8XbNIlQNoSslmRoHCDp7mOTCUOc6O/ME50LrXVlAcDTPahkL0D5UNSnJc1gERu8o64
kXiNwPxBc7EEwmc0u/vZj6dvhYAmMWvutEdLZ926U7N02/R4YEBjxCs9sbMdFrh6nYQs5MKYuxOw
s/GxzAUuPGivK8cbnCu0TRqGRxYiP4I4GWa+98msRLxnAINriTHXprWQZa5BjTuf2ARBSvq+9k3H
s0hzIDZXk2P131P0wrTdk+pONo6+wlQLN6oRz9FcRBsigAjUoG278wapcbQj9eET+TnduS3yO1lV
xLr4Tsmhq61PxhJKPpd2tcXaON8IPfGvZdyS/dD15EJYkdPuCqti3G3CxWZIPKx7N7a+MfAdNsod
v/ZLGnrGmpkHYabiRQinnWPNajBV2uqpHv1kZen1fOd4yl93ZuV86r2Yd4Mj+nq2PZi6STai6etJ
HcwjFRDEYX3OEODTam6Six6W5W4Wlf6scCetyUF5DHuWdENNxt4eHAg3AnPAfZLo47oWs3co/Pxu
FvqB6kHQhzF1Z5MJLMUByUf+2k2GW1Vn0RPJ6MD1+kJShJbxTZrLqQw0quIPIgJT7JuNe4y8uPZY
QUN/z7qprWQnzhJF4N089zcUkx3abJGfei7YyubZewBqUhzDikQJzQEi6+tgi2dcqWQb3mUTQbCj
aivgtGYYrawy8vYowntAo0zxJOXtSnghDIc621WO7A8h8t8AHDNH4Log9hJy2rYvKoTWHemN0FAb
nAlhcY5wJi9xFuoZXm69I5nBOc2DdL/qbp5/aWXNiUi2yFAL+372rEcxWfKSEb5ypkx3Dy3pZTuv
d/tNQ8vlkWZ9f7Sd4jmd0+4Qp260bTKSyId+yvb9nNO9ogUtj4lBdoyVRNYdIpfqZm6A0HvsXEOQ
prd6VBufNFWqs8+uHAemHg5POnkO+3we7HNRo3E2EnuLOKvhnIDIybE+jJqyAuEV+QYnTBhAMc0f
SHOpd33nNde11xHOI2tU7k34zcsilsAojnceiIuAiWe+l1U+n2PLUqcaudHHwScdw5VDBac5px3k
2PN3m2NKjJmZCWXq3kOzs7ednnUrvh99ptS8GlhVN3Wsf4b2RPBkZcXXBJqcc1AVV6PD4TvUrce8
ycpjk5rWBsvmsLiuaF+MWfi57adxhzqk/TxqJV0+H6MShvXh4CryD3NHflY664oP9hQmxDJYiIoN
/cZnEP4T+HDY/q6XzkefEzXsiZx4nROCMQvBEgE8FysnWiX2RLWKhZs/pppT3lNUZaey8djqbT2E
/KcyjkwVIUc7343qSx5Z28Ix6503ivZK0b1Yl6Ot7eLUKrYiNqIzXnqWHRoq+yhMF0isSp2bxgZm
CDRC345ezwghTQEIW+qz1FlrK/Rc9Y5x53xdE3CyymzyfyrIDlvbU+Nz79E3CxiAU6Rk0rFJ+4qa
MnCYRqztah6/lllcf3bg/wrK3OciwrLNF/le9EWzJZfVR1JTai3yFOGtijTT9nBqmSqjLyoQqVtZ
eVWPRrYyM8vZqKFo4pVmRS9h1xpri6MxW5rTdjQiBMLqLL2m7l11RGdsleFA7g5rdlAVMgpjHQBm
R7UZA/2Evq2J7yQt2EE35UTLdKpaV06HaDwpWtzKPaqNPLu1saibgSR9+RSGUqya0kgPglv9GV1C
tAeYH27csmeUGU0yO7ZoilcR7bx1Q66LFTT0OT82sWj9rd67dpDM4taFuQ3xY4rSi646/etYu/n1
PNLXxjWfr8wwM7ZhOUPzvvfGsE9JOB28uPqa9MXgWAEtK794cMcYZ8AxhNOXnQiz8asHNQ1cNWR5
o6ZN0A6plIO0dXRQZejk3WFVqmX+6CcZ0y00XGsNmCJdrmgav6GTiV+UzzekRrA/8nfI5YrQS0zG
UAPmD0fQo4NHgo2EdN8zxbtqav50JckbMXnzzGxqt3yidpX5frPuo8nYJa5dV0FUj+VLGwoaiMno
HVDtzbzBHOYubu88zDHKPBwYzouV48wJZneuT6Htq409++1dWyC3T52iPWoEXt0KUOVrQn0mogVj
1e+tnNAoVgM4wk1l0GahhDGULEiPTbK90+YW/ALbOIlSYnMVOH4SMD4bL4/Hte1MhYnrlc8ToCUe
x2SwnqSe0YKTwBtdgJ0a+jUyWFaCK3enMGWuQHxMdGPD6yglJiIQuT/ej8qP1kNKt2HVkXZ3NdWR
QYaflOvWBPQaSNtzeprYtXftsQsvuEUETbTZqZElfqrjCEDtIfJyJKoLrbr15XCZyjm6p/Unt95y
sUN4xzvN7zh92cT4XLRwUG2A0xq6KJKcAySr5j4MC9Ghw+CP9rNvHzKAV3dd5LcBs9bmQ4va/KNe
k8tRVtGHsHDF2TJAjwVzKQhrMOoaOKovgJcP4kSOeX1PLKxcghbq0r3qx9i6LePm2Z1bEAn1PEZx
oMUCAY0SbPvJHBEPLvLQuc7yKX9KRZ0+eqkKd55BJPRq6nVjx1Goe8zanl7fAq+ooXifZBHVjHWi
cpvCPavWI/rwABsJedUcPah1mqQx1mFsqy8zVR8VvwbCvq3G6aYhKCVG8JEnd23kU4k1c9tgFCTt
QHqaviEQ0j8o+OZEm83p2Y6H5FCYvnvJl2R0d3R4mIT2Jfeq+RFtfmgHzOv4cebEoiHsbHqCLc7Q
VR+UWM2pO19rUzVDOajDXWcM+R06OOIRZp6rdqZhTIMxOoYGpizcpNoqIfx8X6ahDqFGh3nLZaSQ
1e32bJsU10kp7GUFizY+QXFMO2SSFs3HqlNeca1nqTQ3OcNc86rR2QUCTECxt+pjRwq8m5Yzv2hT
KdSN7mvp3onxfSXloE1PJBbX48OstJT9Ves48HY3vZB4Ljd9T1gP+BGzHdWJS9J63raKGvIQTKlX
fRb8D4R2iaZfGy9I9Xah5jYPOfjR30hY36fx4Dq3Bfg526Uqo7vz3lNWN6OC/KCrS6RJe635C3TR
YG42kkaHTCyMPmP/3A2pcTQze6tZ7daO9Y3nhld1P29k1W34qTt/TtcZUO43val/EHK/F4i+fjcH
SLPlLPrL9wLiQh+aUmAav9R1e3FrasVwT9DHv/8hQKAXJTyT159MdXbajRx6B0WHV6Be4Ais5Vti
2/9U6/63JfmbliRebufNDfmpI4m4tGqfX35oSv75d/7uSQpcDMv4Hc8jKmdjkTn/3ZNcOOO4cfEq
WkjneYb/ZX2gkanTdsSXgGwX1wTP1l9dSdOhK6mDUnXgcpiuLvx/pytpvVdhU5h48ERezYuw6t67
8kUR1yLUkNTBBW5SiguczVP/sR18q2yPqShcZiycNz32Ald2pAGcTURLahMVYNhdyqVqsuroiGDS
y8yrUkPW7jD66xDbpDXIoJZeY5/xmIa7DCMWHTWbEpZ5zsz/Gvb7EKWMz+HCpmMwg8vuQU7GZ30g
vBOmj/JcLYg9DVnR4HhscSZaB+RDpKokAEbDcBCfjLINlxzMrq2n+7SZMT9vPCtS7q0Xj33sXydJ
t1Gdj3ImYF6qgSPtSxNwT9/O1DcI/cOMsXGFEPRPjfh/35rfvDU6vTsM0f+/Z2jLW5O8/Kh1+fPv
/PXaeOIP/glhE3PMMYVX41+vjef+gRuDESZvAU+/6fJu/M3g57URi2fR5B9bZCj/0rtgM7JpDvCg
Mvd2IAL8W2TFd6p6y3cWtYvFhrP423lVf1S7RKikZq+u+j392qiDOeajC7bopS9daJ/YNLstyVnp
yfHxY1gTb67V7zcWmwGYx0LC9VmAMoaxfLs3FpGmQbExzGO3U70xbNypcDhrEHdPHlmx/w8+isAB
IUhqW7RCP35Ua6YgEAu721lL2g3cJxWYkjAj7BzNf/CruJRLrprOTX9PkWH2mNUT0VC71/itEU3b
ekGdrbrR7Q+//lXvxEqvF3ABIAAL4KH4ibGCjarPcpsL6CchfqrJQG7aO9/HARpyGUJ5rkxtWVwy
0GpW9aeP8P/lOPEMvlVK/fXhJpornmK04+wvb+9eB5cnNGvUHFpFj15Px3hT6jTWf/0T3xUffIpN
5WGwuluIsnCq/PgpMvJMOTRhv2t9y2l5NkvJWj027rBJ6+K37IV3s63Xj8Ogx6iMcQZevuVHv3kk
7WYwTPryRNVOTodUoP1GkN53j/jDQM+LkxOyF/z6B/58GQmZYHoASIZpmnDeTdPCOEsVGpx+B8YC
nDzaVW4WEW6//pTlMr2Rtb3+LoOZIcI9wX5mLpf5ze+y+lAvM7gIO5OWPQBh7UyheT0xC2OIgNH0
15/2T1fx7ae9u2nYAqMmwmJMC1bpwdIQjIYCqw29vaAipSJos+zLrz/yPTvg9RdSBAANwKLHA/lu
KZvijBar4rXTY8e6tior/xCJHsFZNXt7NGLYsps7l5CDVZOTnud0wjvWtrnvo3Zp7vnDBkS0Clrl
1l/H0dQOtJr9wAi75h4d0pIQRqwvrLjfLEzvWSvL9zaF5ZLGaQOe+umJ82TkGFXHa5QoyNlA0FSG
qGi0h42m0Q9LpA6ozCPlyeTqoZcZrc9iJmqs1736QjYKyWJ15F8juo5+84Lb//BomkwlcV2Zhs1/
3r0MqZ9jibHzjplIvGE0YK9p9Y0YTRyYnU0k6RCQHimUAyOO3iMD3zJtz3hLhmxdjDDlB1HS4yOe
t+FgRhOUjFvi80iah81xinqjvdCR0g5gU6s1pIBurWiQILxq/Q89LocP3eCFKx/DxKq1NHfLrAFA
n9l6GyI3jl3WSlIhcuQ5tEeCMbdPsZU9ojamu2tNQAlMaHiEM9I/1rrryidXqkmApE9WbgaQM8Kz
iCfxBJxy2GEz11YhWINsMu86AJAB3cNs3zlxd82/XG5//bT+/IIwpKcw4K1nD3bddw/rKCO7t9Vy
0yWti6yP8UUKRgHjQz+H5Cn15EL9B5+IhB6ejO0u682PC4DfjgNAv6zbtWF40KW1IXrkq19a59bE
EITU/eOvP+/ndZvDLKsNdT9xrT8Rc2TkDyX3ptulU14HxmCpQ1QpClqjnda//qifH1OQMgYHVA6n
yMfeA4+jnohwhfuW/MPBPlVao6NP7t3fXMB//BR0FZQpqIK5hj9ewILTRdEpLqDm0Dejj+lreww5
3s2vf8x7DzfrAb8GsBG8aCy07H4/fk6GuUfHt4MnbdRpwOqSsfNYYEZGB4CIXbqY1XjwBUz4Y+s9
4Z3YVYzQf7csLTrnHzcM3O2c9GxPt2GOvZ633mwYTYM6LxlcSTs/dzcK49oW91K3tVSXeCuTZPuD
Xo40zkX1La+Ue5d1qSLgXQxXxTybR1xy4W/ugPGP3wk/rYfyxP+5SRJZmqaFsSl3ZdSXB9HaG18w
EJ/LrrmEsgaf6/ZQW7DvINTVpuu+TlBuJcJY+15ZYeLKv+X6OFzAKK/n+X/ZO7PltpVs234RKtA3
rwRIkJQoiertF4RkS+jbBBJIfP0ddO2q2GX7luOc5/O2vcMWRBDIXLnWnGPOXyc8iWGfj92Daiao
EyMkGGAa87FR1Y2mj38CO/3+AwSc2wA2AhGwOAz8fRdOjCGolT9zUzN1z/i9202znT5lrGIhrNsi
SoShM5B2R3asoT5iBnvzc+9RDG5woMeWhAu5UUD22+DcggN+9O31YyWz6Wj5zGDw2CjU6oV20c5V
hLf23R+2BOOnY/aPp5MDy78/wU9P50ywup3CQouVVtDZW4PmODoM4gtNj8Z8YJGfODUXhX6gJ03Q
7GU2+99fkB8K/F+eTBCJtBx8+JA/v+6+Yi1RziTiArIpvdnKd94pq+48W3AWDnQCJeXy4plG9g2/
+TjJNCxaM4tKC127TMXO1EUbDUCXNjMyZSJCzKm7jJX0eCGDKLSL1PhQjWGwVHoPnoWOBYRs5GrB
C8FBw96Qjn6N7LHar2375kn9wVVcKLV/BI0xLPjDPf+1dPMhANMbo0IgWOZnLp5j+h4EHhaEvqhe
miT2JDG12qqj5V0d6w914m+WbXRiNFCo6/nBPwdDM+Bxm4FFJ0aE/xlg1mfXlsXGxif5hytdTlw/
fY1c6YJasOkr6j8X9n2SInxJHJ6kIX0sDSt9QcB96WwoThOOKrEs6a7mH8mNzv7wCP1m93V1rCbY
O9iYfiE4kl5CMkcBJG7yFEIk/27xejTcyWflje8ced0/bFA/as9fPqtDr8uAb+X8AlkLpCaWPOeR
5Rje3E8WdY9KrEg1iAcsuX7gkHsEO7REqeoobtDGhlKkUKSoVv772/Pbh4leHTsLHaZfyHk5aCKa
/ry/s9+OkX7xYthYnGFOM1p1suLzv1/uN5umi8eXrxlt3a9dXTcoypQ+GF+yGpY47YwkXNE//OGM
+Nv7a9DJ4Eni9uIP+s91lclR2hp2J2LOyEirIaZFsimC0E187TALRP4pjsxIU321nRMUTHQDKnzR
2tWKK+MP7+uvh3IwFJwKOZTTzf6FYzmryVkzAbbMQrC3hY2AJW1YT2R7Ih+vDS3sRN3EGZ6CTVtO
+h9eK+N3bzDVEDebuh1UzU8r9JhKnKGNPsQK2vZ75130VvOQjreCBJt6gwrJdcN24geQCh7AXpFu
Xzmg1joEyWQyZmXIsH8+ycxKIaqN42SETuqI7//9yfjNr4mVy72oULCCeT8AnX+rLzLsIMpp3D52
l2TYTWDhtzYWjy21fP6HW/KbS2GCBPSp02X2/Z97P3lhiA4QXB/DwKo/bUt5Z/xAzLQ1V/9ffCxq
UIdW96Wl9suqhqCSGArf7mPHzIczEEF31yovuSqGS1jZvxuNd/9cPf6O1/nNIsaVaItQIiJN/LlT
Ya5JWrQTV8otPY0S0jQe6rQnB1gXSCyX2kYzgQTuv1/0t7eS87XN2M8gHu2yvPztW0tTvYG74fQx
dmQZ1s6CXwhNWzTopvjDpZgr/LpDUGno9PTp6lusWP95Mb+02ykF1hVDedChiSpIfGRo2vMa4bW+
+CkGYUYuNXkV9pactR0nx2nZrhjV63PtO7xcuUWP8ZAIVT2bncSePDSlPyG1qlzQ9kjD3looG6eS
UbbYpVkF11MQGp5tGj4SCmIXjwXpfg6YrhnOjbpytCyIcyzS6xYiS1aQ451BDUObCEreXhxzB0t2
cbcWQHbzlcyNvP5wC5ol5HdwgsmuoDlaSTTk5ZA9iao11CWlPHBihMm1vdX0zoBqiss1FlMpxY1T
N5N/snEPJGdX4NXf8WdtxlA9iHIhXywoUbSU0k5Pvtc4XgT4ri12E0qfBwkJPjkOjdbuUclAX1Lp
YA6EreTPtQB3ij0XbMvBS8k+CP2phfmpyktyCqrXZrguJMfJPHQDxHmxEHNQRhif1UI6BxiJq1rD
f0vfoe7MqKudS3GVk/X65uFWZhqRYGdBbdUODwQVa16M4btQd3PiyYcmt4dxq7Q+8O71tianayL5
cjpQxC673kczt0MdBqiEgcy6hqhqg7gZ2KK2VXJp/+maGZSbHhnBU5H1VbhUdQsR1M6ksSkuytra
n870eXcTLJqXpDOr14rokfuxcYG6EMu611RRba0+uJ0qtWt6sVsyr7lPPJqoNsYYUFV5bNpE3JdB
We/SSR4tqNKh2Ym3AqkWQREmsZbFYu0gKXy3ib3ApqMEv8Pgxa6Y9S1mTDe2AxQNVMzrBo0Rg327
W969EQu0DXB/03jybe1dZy+tS27pgkA1r57ROW9dkkfunKAetoaOrpYpEUhHoIdXiMOykzXzfXBa
yJmPJ8/LajmxoxlIXhGOgC9IDgmJ1eFSlBNFhfDCil0Co5m3nkmJO5AWQJTDqi7Sm/K2pLu0zPZw
LOF5RqteoqkbMVQVBPIADcMjN+PXyvlm7xLfvodRsKBfRebLrHwNlTZOUWKibFkpXe+TtOq+Nr7Q
r5vM8yM19m606OPw6Wp9E2ojNCOfhnXsta1zGCrs3Jes7YOl54h4ledvaVIcTbBeudMZJK6q1xoa
wmuTJ3t0vw/5pF4hUjRb5BU06qbktXa1FC1HWfsHOXnNTmo9xA1He2TQd0k6t/LITVt/qxeI2Srm
chu7CNYo49xwnw+avOvTwb8X08K+aKHSVgjIqgWIBmTQD9HDQvStMd/nogY4U/vy0xbI9VU+4wCN
SpmPqwIY1DeIgzZUmgOoizYPxkcS7jIcozw8L7WpWxgAes4RbKYsEkU6zV867v0NSRM57RGiN/zS
OOgohMCPjO0OgZJ/xX+0yBu53YlDdoO4htCezuKLygZP9EhzE3suoxXC0ReEIzuIxMBfNHANXexp
ZvttQabV7a2yMqeoxtoqN6rFeHqtae5YbErPH9BAKeloF72mLmjS9tA2Bu7UZiybKlrRMj5mdPXv
zKogOrZuyvyAMm7Yopfq0WmZKCVIGCGBhYz4Y5YL/d3VE+pJ+rvd1lsRhnZsst9G4acuuo0U/Bbi
Vut6WYT7YEMV/Qxo7pMxRH4Xh28moBE83eWJOVP9OXQw+DeqFsZXuCNDxBHNuQ0ak+iGoIH+j8Ip
HqlYHn1lF18k6lEexgpox2j2x5XUH5ywpIAB7RIvdOEYgxS4XneQongSMivoXzNwRt/6Diso0TL9
q9eb+b5gAEuAPSSQXQ7s4IVZKmm4XjsD8kyceoymVfBy/Ei9L3Vi4UGWOiFpOtYB/kcZebSQt5xK
gwGBPqPffd0BAtuMeSrxqM4X4oyTGz7OxDkh90e3+yCsGQ1iqs2qyzOozcc0KLIHxtnVBpnhBDOJ
26k9wynhI5KSEmRklq38qm4pn6W5TPMpTQh5z32o7K3erad29P1rOwOfjkw/j209dx/kaDqkQyqv
P6JrQ9M5E/VO685EP9g6uNJ4VbcN9tLdOi3lbm4Xu449j6TFiuwpj8DMzLnlJep5qfh2acL3x5LB
+a2HWu19kOlwttfBeBQ59zsvShWvsDpiP+OmanjBrzQezXPnDN27czlhho27dhKtCpn13Nl87yw1
P1aDR2cMdn/sDDLS0PB276PqhldkVybxR17/rb3wZhm5Z9xWGBvJMaUbEU/BKL4HGDRv7bUnrFBi
JbhdGNKjq3NJXf4Ossf2F3ZgBKAVRmfkrteEmpqY+4MiDbXMxzWbNhm53/40JWLT4+197HAz3eZO
mzx1bpbeuMRNfXVTt4xGYpMwcoICMzbSp4h04BNvU2S6RzXoSZTCR7oaaj480ezLk68VrIspZhAL
s03U6Vp6OwU9pvLMd6jAG91nYmH11WEoL8CdMaCJE2HZw/5fj/yFRMKoT9O5GgmhYVy7WXnPaWM1
4kUpmta+J8V3L7WdMEkUknJcCjzlEyHEzFxM1OF1Jp/tdpy8cG75JStHB3o6Dt2bVWTugxasfYUY
a85ulVs3JHOjmXit+nW58xFiP+vdUhJYxddtDol/7RRGct+DIj4YpaZ2GGcucB+tzW5twV3zi0zd
6ammPvUVsba2AMjBPeIn9xB97EOvZ6jCrZmf2K7gfg19eYKAL75jJ7Y1ePy0xLdkjcIP6GjzhclE
BPSGfosgs89FUx26WgveyS7WGkWZ5ib3dsaRa4N/uFeHWkpcztnEk7Rq/cDSC3FARqxZ2W1VFi2h
m8gM7zSroIkrVcV3jYIzkwdElH4TBmL8JE+VM5PU6wIv09x/am1hPNspxBE5C+PDRU434YdeeiJJ
q/WzNYtuCF2zIcZoKJzpA+LJStYumJe91nXcFpedXMT6XOIvBx1qPK54gO6DkQi+3HPlx4IE8Twm
mLGm3uwwzaruy1Ik/dkY/fQ2Ic8zHoPJh1vmW8gkswsxxef9bogXf+mxuujnAZA6a3xb1s6hVS03
z7e8E2fiZNdNCaJBtAQefdPRmhgIW/7XleCWm6Qmo1NWldzbLgr7nm3z2sIIjpaaCL071xbdDryi
eBo6CcRozT7HtOV/ia7r0OB21rsDCWJndyCZOjAIETaJJnSwX8Uo4BE/4lSMynHgPYTZpu6NGmgx
RchMYFeRPOO+sMNKax/QtJwkWevMIlH7I2QGNAwx7qan/6NPmTwWdQe9V5TurT6DXMqA1cQu5vgY
FLSGMF3rbhvlJA9uYraHYMmnlEUXM7bRMGzsDUc/OPl4lEpVUc67edLTebhuUq85phlRTJT6lIAB
4z9aqG+BA82r9BrU0620vktSz3ucOSxpwEdXS/TbxjU6DM/2FQFp9gv1tg7icWnfg/kyZ2qJqqez
fOiT1mNallGQkrqmXnyo2/eETsw7b+n2bosoPyB1MAUf3mIPWt/o/9VfytpbLwg7bpKJrJuFnhNO
iL3SzlBNluIAWcLayETDNFDb3Q7fhXNVQ2mIyGOuz/yHR1M+0R6nXsO1hRT3fhJcZHISD9kj2HAa
02rDodR+C0BMP8OVq/Z57j0vqKRi2qUZdSClHAFiqoUXMGenHMtdCDfjQO6w8Z7pybyTvqYj+TTW
yM8nK0KGjj+kIyGY2MRgm5I8dUVxYb8UthM3ztLueJ1YgFvg6hsMJkEcEKX+KcvJfFk627gJ6uCS
4Vzbj122FOSuBfbOYe3io4nq+cKTOSvJt+RIcLU7j7oQL9YAVBW4wsfKqAmLdzrmN33BY5A3VZpv
NIxNLGsEgW6I3RPh0hUDHDwgfutohpPnUtDbafFWqKU8pnOzH3FxFxvH1q6ndbHAtflvI8w74vL6
HWyigkLNgdSakLlV207yBPWJMsOWu5IlkEB7f8zvfX1Yo5KIqytBsk6IdXGbOZcENWtwbrGst5gX
5sBgaFGtB6VaecIxxLZTA5vmhXObY5cuBaw7Ihg2gOIu8LABTsGm0gpeI2Zo8hQkY/Fam7Ybkx5A
UvCwALnvCWwBSJhryx2ek/5a0czmVOdJ/PHTUJRHzJr6veMh+y68ZZ/IMZS+KE/ozwhwasAmCrut
GI7O46aZxYh0rcATgjuflMrgNWBmyjnnbSD+M6wzB0Q66JcLsjTzN1KOxisctuHQmt67sbofydD2
X6lYq68V2WYsWkJ7Qniu7Sw5pdvRm+qzcqlYKjUYDL3Bk4fpAkOScmjZS7OW+VGz2hnSv6cLb++V
Bmy5xnbbWw1YCamkymtvad+0mPiI9GsZA8CO4BklCqSui+Zs9n59dnP6yJtcsYAW2Tx+r4Spvzei
yL73ib52oanxA3tUADj0i/ZB2aY/vw5UPHxvOYccGFYVu4RG9kLV+ewoUPS/sFvSO1vBtQNpoSF5
aJPcfKQ+5mRa1pl9TMtFfK+Jp/+O9+ESVaGm+rO0G7oKYh2Tr7oojPcyu8CzWhvcnOiX5CseRg7h
dpJrRGKvifiuOZ1Wk4gnA2+7lk7zAHuGhUFky9zuvHSU7c4OgEtEyAx5PDJzosAhMqt9yNwJ5CAU
9+SrYzj8m6BbQLd7RVBe5NU6j1FjqbGMJBCUFogacqmoQaXlcYhZuGiR2424yldn5NyoN5IcxBlZ
fLqjeOUnr5oPR8+eaT9GmR0oLdbUpQQYmZDiXFzq4LrIdIw27lBTtCKA51vSVra6sFqm5KscZJYh
kCQuBhOAU3+a08RVSdAEozyDbPr6z5vpSC2dNhbjyTxcBaGkoWdA8ACS47axFUDjsHrArSG9IG49
XvXmwUE/1sRVXtDuQVmQc8Asl3LfGXSBbsmjWozd6KzOlRrG9oEg3rLjK2TeGs5Jz+crPYd+yNDp
ZYEKX5YyrhXCj1MgR/kpXXqjm8kEb3tyNSN7LJU04waUwksN0OpcegFUp67z9cc564TaL7Thk1t7
4kPvTanzO1KV81vnTcKX5yrMkMz/WqcK+U54d+n9Zwozh81dlNrI318bAoZyTi/5hl+W1GAhxUcO
6bSKg2mAgDgFdV7AJczNJax03p8NjhZ9JZamto8zSGniftuRig6rfodNB8ZDuyVYtipYXHKwFLxT
HLjZhNm/CDHVIdg3/oSsylyBX99m0sLhcykhK9IsseijDXwyCt3cEqOnH5lJD/u5nqxznfrLNVqm
/Hlds/lphsL0z7b6/2lQ/6BBtRCA0ob9d2v4F+n240dDM0J8fPwdKPHXv/qXCpU4bnZI5Nn2D5np
v4hr+j/wGjAmQITJVP2HpvtfClRgbD5qNNrLUOuxYNDp/Zdw2/4H83e0Fsg7HAbxTFv+B9ne9g9y
89+GY0hAEYggdmW06dLs/TkozlODpWWz0xw0AC5GF1MIwhDdJtqM33ysEShtyLMwZ6JmlQprivwI
/7QVe2ni7fuazM7ESUS9vegpbkRvu49LqZdb5v5NlKYu89h5sLZ16i6vNSiUCz/Fsd6CtDEOZqdX
4RQ4M1VaijMq8b5PTTceKDTS2AEPFLk+ZE0jKbNwXVEFKqljUWR42m7YC6hGMrhoVeOzyxSqfbW7
nqAMoh0O05Jitcvd3SQ8DO6j1OHe5OBuOEDtG9jCjyZ4SoYvwgZIg8Cyfc2MqY9Nqa1HIasgi1LT
dd8T3+tgKNRd1UNaTNNTOygMQ0RlXANQ1u/xiZtRU3lnORnBiYDzHhNqmn6tMkGdY5Vyv3oTB+28
T8BZMxUiY7vZzzmSn8FS57ZrMcA2ZgNKGNDVOknjtvGCY9qUWBWX8k7zwW14OHg2hpr9bZUKttqy
dx4G3aIR19t6qINNug6KRRzILgEahn7laJeZdoRK1hHK0q9hphVrJAq9PfUuMZxbMr+xG83z9Gjk
nb01Ke+u06R2YrszCIjtAYToq1jPnTTFycu1ZEOd+IgMZvmmysndihmwROKV4K4YjeMcdKudiyYs
0rpF3dt54b1PyRJ2jfqq17mIjc4q9lS2ZmyZQfIsQZHtiiIBjJe7pTpNyixObETAj/xuIZ5gGQnA
risZ5Tgj98Idhl3vmuCUUKrSwnFMeAwjMAA1BO/+0MyfKZHHu1VvFtSFtMrgJ1n22VYzCAnc+U8Z
vNwnNk31prkovjE1O/pJa0t5RRXNGBB7PRSuAD1yB+hhQ/QKO+taMvzW3eaWTlJ7qmbjKVu0Dlyc
Zfd7uvXlmVAs7eg3lryFGxZc2WR7U2ITa8+YxNBqD5jVlKsdgwIgngHqQoBI0zIf3XzdFY0JVmJd
BmvH1uDDc++xr+EZrPdq8iE445dLN6Y9QaCghwjkmKanGRU9JFBh1Jes9LW+46C8D5ye2JOp6U+D
a75xqvGS6x6fX3ZFCNGLC5bovm4drFO+oR1EPgEuj0F4F8gcZTA3wbeViOR8myZqvV3lIu4Asfg1
2jQrWa/tBgueP05P+HGtu8Gn8TNtq9J7RAlVbINhMrawk4IjeBYTagxnBcAfmdvddxQyRKfkDBb2
HcyZ4cmkEV/ictTLZsQjB17bOzbMEIQWwRHDg81CyX2vZbfuEnhqtDrbNNG/QFSbx1DvtPSmV17t
veDjMnvMsEThnJFATcl3DgiCrPQ12LDCbTLD1uytPrUPPLlOufGDGpUSSESDrrysKL/0MSjePS1R
2t5vJARgp8VhvWnpPVGV/UhrTwj9tU8z7pTnWnVECjBD5UnRodkcjGzU5QaU6nLXjJ79XYGZLGMT
zF63B83ggYrRciYko5HAlWyckkuuVTq4m3qhQcNIrK1D0BOUjfpMi5C1j5J6LBPkF2aAAT6qwblw
yKTX2t56JCmAPlRTn1njj7AKPWpbqW1Sb/HSLe0c9xbF+bJzoOduyQ5GLzI43OPQpc32WM2+eTW4
Gu2bsh16bIN1MMcFuvkTTU0O2jnDLwZnSeQAIYS7OFlejDUyi5mP+HELXOCuMStI+QG0vcFw2usl
c7KrpOu8XTuPdkZV4nu8VCC68dk2k7EZC9c8+t7AXIR4a97VgvUrdfPtkKKI30FN0R/I1wL4ZYrV
CK3Z0fCbNc2Nl03tvS8992Z0e/nFobWrALYFV8ryyfHpByMqFzuNx2FcwYytU6VvamAq30iafmeP
Gm4o39zd7CW0pmSu+xtT7/UHppgJTOfCf3LsVJxtW0vYHJrqUKWeuKVhq+0uFdhR4rP7tuIZucNn
HwkPFjFLZ7LnOKS/lp6RRwKEyRdJgFFLuW12+8LplysaBusJJQA9wn6hvzir4mtmWsbR6Vtc81Ds
oOAz7Rv1tQhH9O2Q6SXufWYP6x0ajWKbgf8RVdM9ISobUT7LKb6kEsUO9qWedMx5pgKHOTxXtLOI
kIC7Nyymf5VbLPEB1oSoQ0e6mbn+w4L+fGNeZqgpmuG7TqVzKAkn2DJ7SWOI0P6lkyOrjTHbGUvj
ar8ClRvYC52ge5O+OZ4MbzU+5GS2hHwRvABxytiDPbSgVnA9M2jTqMNsvuNE3G2HZqxuSn3un3GG
96eJtsCdw8H4GnFqE65ZU1yX2ZLHoBiR/rWcXB2ogxcQw9fet/NrGivZS9JO+k2SGAiPC+FSCdTw
dya/1UPiqgGrLDRiw5w3/87h9BwjQB/emLeGPQzmiPHdeB4EPWwaDb57qAMRnEs3W6+MomzfZ5H2
m26p9W2pWqLe9fQlGRo3NJpap3jwEGJo6oLMLgd/oxva69IkOnTmtj8tTaCuLE3kdGOGtI8WDbf+
heFcbBZjfNJM0BDRJFJByB0Q60CbcVDLxQ3CHjlOCBCVkBpQ5SOdTJ+AmA3cQyPlp5FFsVo+L/Ug
x4gDrPNmLowNFjsDuk0zg5VgGHAD8Va5KvMe4Fz5KVteWudp9ihc1eXnH0Xr/9X3f6jvIaVexLX/
//r+9JY3/1Hb//Uv/qrtXXyUFjHEqKwQRGK1RPz0V33vYSPzMTwhM2F38P9mMLO9fxCxclH4QTn2
OdqjvfirvLctzJyex+OBhwmVXOD9T8r7nwQjLLxUw2DpIEbjMDN+FmsqSmULoM+6b5Mt6ZiOOkHn
+Nvd+I0Q5tdL+Cgj0SlzIuGg8sNg8TdNSjJPlZaawbqXibUpVx9ZE406l1v673v+v7jK5bf421Ug
tOLJyLiK13wV2td2+Rj/JPT80wf5SVzj5S2ce8klpvXs6WeVk7T5/t8/BcXk5af8x3Hroi23sRzQ
z7Hpmv2klROEWhapJGGZvXH41nquPm9zfTa33sylnaSs7i2dwZpeTcnREvq0W4S1bKHBkry1yDnO
u2F4NrPVIuhqFWwEo3c2Hcg3USYXgDeDm+/aZNAjAgjkzpAJ/VjdnLKNV0/Fo0J8vfEKjwaLy2DR
b7uvtd9Fhe+LLWoYuZ+oXmGoZrSMAsONSlJvTuDS1Kbsp3ZDOdleucNUsIxW3pXur+4XKl06HJmj
spNOz/uqSisVrmSFbDPNkVdjigJxUy4jQ+2pnK7pmaxP+cgfMyQ6dDD7b65Ze8ckr7EnaL1k413r
2DbFNTFZ49PSKPs8J5MRa5NXbVuWwoNdg3etJsPewYQi12DpjJOvl/WWOeNCabzIe8sb+SGlP157
a6G2uJAoJVBeGidsc7wPbIZh2k7ZOSnk/C0Ya3WWqwUsxU3g8iLy5Xr5+jE3bvKadXRwI8hO65M7
M3yNZvbHYSA+Eu6SPX5qvX05thTV+Aybj8bl4o72WUq2AO9ygx0b1ohyaODUI4krrnLcqO6S8RrM
toUa5ILhSSCBQsGG9xEGzuiFU1VoN0Vqf4xCszlijdP3Yl2e7NX8CCCLf1lMWln2pOWvYwkhWifV
ptwMWW/EzWx/rGNLAE2G5GJf9PoCB63jS3CSdXwmyAhmC0fasFi88lgHjnjO6SDSHOy9K6Q72amr
CRWxoOrEk5gvCF0QMynnnChAFwDGxtfjllQeKNwuwTcBNJatv5CjGq4VaewOfdz9xUQRFubqhn1f
4DCt/ZJiqZAPZbtODyM42HCFK8KDgZn7XKWMOkB1lEeftD5MWO20leS/3/pooDkWwUeK6gGhE3Ji
72ZkaFwcCtOtSZQExoEEImdAQmikcY/TLj2rlAKzaCYEWvRNnVuTVFaq7FQnYGlI3hO0mxiWTC25
MeegTcISguG0sQ0OO0WS2LeIPMxIYUEM4e3ZR0bg/XWveQYDtJVJZdC5d4lmIRG7xCN4Rp1ez7YD
wKRfz6OXkQ6EfUzfTxmH1kM/sG0zDoXnW4KTex8XAmSRdLW0TLVJi1uV+Z92URLqk2I/F5qYrwZs
Pe9ZoHO4mnrb2FzcyFtNjAEykeByPxLqiIhm7PeKbIoipOSoULp2+t4QhkJ+FZjXVZraj/pSrtuE
uZnkYo4RUzJRlANSevXNRH5tEic763Wv7yW+XxdZFMliOYwya1Pbhv/NoKd+7OEi3UzWMr8N8CJP
zYTbbYHH80gokio3ArDJdmHGdzWbqbqzZLnu0m7w78gQbd4UlJTzoOiyL0U23iyid6+NxVMn0QfO
VdlZTWz0jgxB4boPHVV+hKYHn9is+TLEDcEFehr9nDFwAp4HOv/NhukYZ9cG6UeU49zcyWTWP5F7
EcWbUR8/9IMsvjurK7AKsAhBZRRYCQwnoi5zdp1Cpzy2nOwi0eUiYlextxNSkKtqdlca+W2fMSCu
4QsDAONnOknmRkXgAX3zmvXIb5s+msSEHFWp+itOriqsnASPXOESvwXksAgO9O+Ai0E8jzw7DQ4O
MNXd6C4t1OBUiwf6tFR2Lof00LfI4aJKGLe6GoaDNpCXs8l6X+0SYNQUwkyP0ZRWQSgTZA/gzleI
Qg3DkKYa+nfgyCPLmCzPFURFqFpwSEdWga+gXlBISs/bjybJcJ7erDsz9Z0rsyGYbUbtTm4Nuog3
UbbG++g1Ao8lNuZPEUzVsxLLfBsQAHv88dfNxnUeGK3AxFrS2tysjjffzkSj3QpfjVvpl63ieME3
z/foUyCntNN/XDIHcmUzxaIdTZcHR7tVjfp7WY7iBeSsiFDD81dtWpDbHO7+qenSIjRFat5fwrW/
FHbWPsu8ri8D+CZ2nJWwo9XQN4V2IYL3ehDqy1Qe3XZ68wNrPPgMRUpmG3Cl/KTU98VcAn9Qg7xh
3M/tazKI3gNxTie3XOTJ0KARbZTRLvtWC0gs9DvDOgymBZFa92V9RNq+lEyDXYR2KB7WPTpffmF9
cdc93Cr3wSAq+XUUcj3ntuCr62rMA07nN7FHmhIoo27isj+0JMtKb8kYJgnArNceu9ydZ4akfPU+
Y93r1rOGw0RM+/fAQHlSVoX7UA+uc5XA9I9ppIrI7FNgdhB4fRppznCwOq18npkix03Tuw9IWrSt
Yw9Eao1jE6fwecPhstmJwBAbjYPT3exC/KGhFYRtICyic93lzhqU/WbUaPObjgfcTezyiKmJTDDd
BqVu681HwR5+MIUuHtEArM88SOmdmyGjGYspeCDzSYaIFRDmDl0T+4Plvo4UpCPjUBO6L2FNKkR0
H9AjYTyKGX8lj0CXH7JJtKfa63AljGNhRL7m/vU9lXA+PpXOL7vY1rzTaUzeoM7UHlNo23cWcK8j
aM9pqzlL/qWZhH8OWrnsNH1yXqxJ2S9yuAy/nU7dsFO5u6zPtEgBAKRFaWd7L0na05pqw30Ljm9r
DsTfaKW13Py466NDC6YVvn9rlvpOb/CuBYMoruAcGrTosjZsphXKKA/ibnFa2FR91mybAF5hrUZr
2/U1qMBBt3mJvUAdJxLWbhP/0jlCVwOJ4PIsr76xngPNpuPFCeVq9fPlxhMN6X6Vh9OZkIV+4zhN
eav3RX1gWuW+BmBK4jHROd/7OZshnV++/rVfT6Vo15PRiyBM58CC26bKjCXQMO4zLX8fSrXcsCgo
Gu5Jc+sN6wqUy0GkoUSnnlFOOA49UYIsViDpO88og+uKsAk6zV5xa9FL3qGvKo/2VDtXxYwsyfBm
bZsM3XLbe4Kt28saUiX6VsPYS1xmGZk02skzMrJgy94kD8GQrmh/EbSc8LA1Rth4TftIy7jZTSw4
1ECNJ66IPxxvoVLIEIyCBFtX4duYye7uE3feWaYBZgX2ofYodJ3UCCSSVMxIDDeVZNnQU8GrCV+q
2Kwip0XiS1htfSebeDQalL0Tj1PNcPdoBbnxrqe2Otl1LyJ7nvV3FfjmRHBGa200W6D8EryYWDbM
47r8P/bOYzlyJduy/9JzlEGLQU9CIoJkkAxqTmApmNDaAQfw9W+BJTozGEZaVk+fldU1u1WZBAE4
XJyz99pyum3QGOxtaY5rV4wNaFgwdGC5+oq+gGf3w4KGMDNd0RrTrWoPfPOKkZVAofmXe4R7oaA6
GvWXnVDIaOCP3iQGSAA8ZHXgt1pibmPVmHaJG9hbSb98viPUfYNOEcGKCJeL9XbZxfmdPqQURt2k
WE9VpGyFVULRNqxRf0Xx58LlLOo7iPvgvLCyXoRBf9NVo0OnG0yhTJQ3tybBkl7ts9Fl2iKjBnXJ
baSrTCXNe2GFbbNx3Uauy4xyfRDEFDrZl1zAImvoJdeqs2aHGO2rCX6pQGmmV3FJMdPOfziF8qOd
rOtBb42NPuDsY99W79zI0RfOFN/LkoSvxlVCn9kKqCb1LG1uU9N5gI+cus9KgVOI3CwSW4k2D1au
nCN+jAajlCuUXWHRq8icivstKgsdIVljJjN2cTVUcLgKAAFpHxZ0njKIByVKhy2Qteg1RIbup4OW
YT3v4NNBmi3vKnAX04J4BuIKcj26iBK7uimKtHpWwrQgOXLMX1ql6n4gv7TvHFSRw4ruRLrr+nGC
HeqlWzOLOl+JUgtFflibN6bbTDcJyNq7Ctjfus87B0T00JCfONn2GhktoUMNyFCU18mmr1OO5GoW
78NEG7uFJurvXjPlFxppLv4EV8RDhVWGhqw2LqLQFJHId7b32stgF+6VRswlYZW6Vd725DYr5ON0
8iaYRhL2RiwSmDPbjUDuvdJz2hugl5SImLGGt7gaAus7rfCauiBJNNemJpLbwkL5TLeiebFRL5EB
o0X6YSRf8SXNiJMFWVc8BcgMAmSfnfGoziukreXU0iM38oei6C6i2DWvorwVT4UwLJ9AConSMewv
8DOlPwSKM4SBGi+3JKHzpneq/GfekvkDrNr8hsmg1PlEKmevpTq2eBEBv1Pmbs3YFyZn3dbs8CwI
88EonHydBhbClbjvo0OpjG+km7nPOrrENUxPdxmG2TTD3ROcZvm4YI83sRRGoGUXnTKgJh4bZrIk
S/wEV8qiwiDJ62W13Y+cKlZlZEwLqbmrsK1onMX5vZLFlAUFIlVm+QWFGxQb3sihWKuegNsYq9TO
ABcCmqi7lcXOeFt6NqbCNC8vxZTpu6YJ2EpBuxqD0FiaaeV2IA5bqdDvwSqpvI0Cit9CEr2idbb7
KJDsk2HVuUCv3qVoMXonQxGXLIrZDVvF5NugGeVDUqf1c9VVg7OtiBfXFjFKinSLqhh4YJqypTEV
UdyasO2KZQvw8jWlTQRetJHJvte7t1C6EnEaWbgDLu0Lg53tj6JSaTgQpoXrNj2QwZdR1jSUbCtS
p15KXtVl2ldkgHh1JQ6odsJDwmZokZhZ0q5d16IXFdrBsm0IluH7/0mACzk8rGneAuIfPMNAQJkt
2+4mVSkymGEWPQ5Na7BwOdqawmxw21ZG+d1QqlczaeUrOp27qdNbc+PYUK+VQmrbpJ6Y2SvFWPKp
ZXckltMniqK6OVoqqqdlYLcQ4zt1M/U9ikpGvK+4pbmNItu51FMbZifkR2cX5R5n00QPv1sjIEeY
2eUCzUe4ccPBueeow3oSevnrDKhcwfp4MgcYvxiF9C0/RV/VQy3uzNj86WRucw0IYfweTgFM+FS6
eESMMbnyvElu4bTzxDA0beswAV+qeDwUI3CenD4y7+MeSnzSxXywjUfQMAGGJDvb3sZSrC1NAzIz
PeeRCTm9HqrJ3tdobxZCCntdZUXwrfQIvswa6fpKbSQHXH0TSkOg4gsdMqU/tFaNCVMWx2JqQ3a4
ym2e52JHTDeaRVS8N06Njc2mcXMAK2780kIoxWUiqe93MU5zCNnX6AijS+z91h1iFg+o+DgRYPaS
FAq5nRguAQ8ka1SpkLXJvrwNgo4yv4QLUBImSO/eyO6IfVWRKM1dC69Xt03W3YcgNxaDo9p7Y9aS
C9m8Rl7h+EkYsWKxEdwzkSo+mMz+kq2cs5cmYWbU9FP2v2XxqxNJHxNKXH036qR6QVfb0RAFIpl+
L1Wc8BcaCtwLYlKTFdUSvD9kmd53ujKMSziPlneIswY+alnUsFqNBm74pi6GiaNZ1HiHYmyy+yJH
tglIzsMl1tL7oIR1T+vqjUZ1t1AntipNbTR7dZI/HItTg4USFA68xSGpBvczwc7c5bGnzVFmvqLr
yZ7v33p2cvsRscCI7IwMNXaFGTpp90erxx1WgnEOjmB9HaX0u8H+5nAEQXNwaTXqLXsom8oZZSKl
c7UfppfJC7PEjW7XWGHosDbXIT2b3lOCXxGe3RsLz9ZtO3i/6sFUHkM+vQddd5poZbUYT2iODsGq
RaWyUICxb8lH7tZ6TOaFjZ914RZUAD4vhH6sguq4My2cjLM1mc7Hn+VceyBetCdr25cm9TuMcsiy
qpIxiXOTLO7t51f7UNlF46I6ngZNBw3vB8aPM1gD+ySn8ccytNCb8484p1+ThVW2+vtLQVyctTk6
6upTppra2rChB40bi9zwHnkySwZu5yskKOkXDs0TB6qJmQ+HCEZyGDbg607NoEgB1RFmaeMXTdFd
ppmYAcMJW04G76IOh3xLsNL4hbv63KMk6hYABa61WTn054uz4kDTFWxt/pjyFNHvsko3lOw4k5pf
3N+Jkfv9/vigaWE4+HnNU99wyuQ/VZXS+PkYwWPPArCySu0mu1SnoplR/qC5qVFBzKboCpXf8MX1
50r8n5V6MD0GNn2PNB96NCeV+jE0SQdOw9Z3c4UCfMEN2rV8+Hy8nGAY3m/SgGU5o/HoFZ2abGHM
iFF4euMLQemWtHF2EaFjBIdMR0c4jcTVAcfCWNWwSf780ufGD8om+G4ezZsPiBnPMgct1I1mLpKM
68qwUEIlcyHYUVTkTkbIDmyMRLD+/LLnPn0D9AGcAG4XlumfI8hoPbt0Yi7rANTYk8LzQIDb5Ic2
o9ZzGL+fX+7cgIVWA9YW9Z2rneI7sCvR0nVHLtcK677W6y2H/2FdE/f4xSxzCmf557v0SLjkBM5E
o56g5Dwkav98l/bUyR/t+9gcg+7nIBibSptpV5SU1a3tTuq3KJiLSQSt/BeDFk2gja3GAO/44aNx
DDHJUG18Az/SLY4pqvk47b64yrmHyiuc21czXuKUsWgOgdmZOVPP+yzQJ3OehDcOwPHRvH/+/s59
haYKcshEFkiLcf5Vfmv8pUNXYBOSTKikS610iQXMLV///65xMqnFliCJu2eMaIgfJjJHTMTrn1/i
7OBg/Gm8HIaH82FweImLVlA0Pj4vBkKn6nu9LGiU9TJ+jhRmmBop0hxQ168qI1R3pLV/NaN9/PSM
mXKNVsZUPUoXJzOaaVWdoZQeEanabIssBcJrmHqXeBsQAlVesfr8pj++O67nwCxmHwUq6PTbqzlW
uWNl1H5ewPc27fHWiTTni63Ex7GIQtdFSU9pF0LlO5zktwHihZogniGrfaIFOzwwpMWUVU+sBL2M
z2/nzJVmnS4eDbhcwEVOhgl5Hvi2R7f0mdpw2yvtBSyL+6pJHj+/zpnXpDkIfzXeFTPXewDcb3dE
qExqeI1T+lOsrpvsm+JmWI+KJSLS/edX0j+usYAdfrvUvDz9dilqVHaQI8VDnelRuC/McJFLR4jF
4PUEsvTF9DBa7Mcs+h/Nqjap7qtNHbxAxlXWYtLFOqH7u9Vbymg56QI5jaMp3VtuUu2FMRBPJ6Pp
KsDCfCT5yCCnk24R5ypBvrxIxN7ps+Egy44K9tjZ2ZIyG3pSBJJf3Ogc2XeymM8GClCPfAAzquZk
bsacosD+6XimbSSevLxQD8RHHMHZx9/yqXP2GFjon2bBSzMQYu6kIzWTgZA5m0BYi86sVlcp4rgH
3A7FEi7hErvusZLuFdCkiaQWnPttKqk3xmQkB01iIFKVJWGQPZG3SqJ0ywEopk9vW66EcPUl10nQ
SirOZWqiZUhIxFkOzNcr3MnLyQkxlHGHHk9LVzg34sD47gSy+GLROjPWIEBpKDhYs9jyz5uE3wYA
rMia3cfIc0mI/O3B6u5464Mfkn1AYlpgyC/Idh83PGAi4aXAuEL2QtD4nxeEa9f35AmRYucKc0e9
NV9DARBYUiuxDRA5XUaUXu/NGGDD54P9zOfLbk61CfRwnY9njiYceyXq7MKnzDU+92R/IkCrtHsg
Mcnb55c6c5MIPJiNqHXw39OtI31RzptjV6AcbOiK9BpNPDpB7QqrWbPDNAPDr6XBPi6kTtH+84uf
uU/2VYZNL5yTATqTP58wwT0dZaei8FvQAlsoB/fhECL1SMbmr7cBuAb4nmDacrz6kJpADagF/JRk
vu66OKEBA+juQEpzZhh/PUzZbiCYQhjF6UM9pfRWc25Y2Hcw37ROriabwquRXEtp2RsKTz//9gGa
YL819jcw35BznAxR9HmYbrOa27JyAw/xCPlRjvR02sxIv+LsfPwAuRhbG7YGIEn10+WrRhuCYSzn
zhTzPjKUp3pyfyaDcR9K+4s9yPwt/3mg4VIcS21ujTn/FE1FBnk8FgpCDKOCvkKt1MP8tHCyfsLp
1O8pU361Gz1/RdgIyNjmj+50eTErxy3nK9Zav0+Rl5Yj+uc5343YkAzVuv4Fiuzj2DfnJA/jfdfB
Feen/dt0ZrWcOwTOBF/puj0xSr5ppgS6q19c5uPGZr4MR0OI2Ow+TuFPMAfgyfGj/V7RlXvFAXVR
4YJefz4OP84iXAUTEBDQGa56GvQ6KDpA30RL/cagokWlZ5kl3S+nsG+TWtBQd6elgXn084uegpw5
xXBVJg7Hsoiosk8/NZS3wuPYl2IsGKmCY4VhravS6Wrw6NJP8GUW7ehl+gLuOL4cZ/LwM7aqsxVD
He4y+sgbouXvIdzUR69LgXRUFZuDeVuAvcG6QBZnP3i6tP1QtNYXv/3ZFwPYjBGnuZ55+mKQJEQZ
nY3MpzpdILD2kr0yUOf8/BmdHWXoKikpEVj/YcuZmzXLSFhmPvJ/OCFl76sp4AVHfLVrOfPBAvli
b8s8ZHOGPRnNToa+uy6YiIYKGTbe6d1gq8Pm87s5NwNhhaQMB7eOYsf8TH/7ZibshEPYKSniIVDR
vcMyNVgdiOk2+94n5t/vojkzIhNlySAJAIvbn5fDpG33CK5Szo7Bz/nZNbF9mzfB0+d3de7jgSMP
ZJInOAP5/rzM0JKfO5V8PFmMajwdNVpsgYVXA1V7E1ruD4kBYUe1sP1iqTo356GIBfHI4vvx0EPp
VI0M+Dp+GOrXolC+TUm4qZLHKpnumK6/uNq5Ac+xB8IjxlwY/SdPM+MeHRs9v1+F5Dbm2BBvpQ6B
9vOH+Y4DPF06eIjwkE1sgsiX/nyaXgfpxqLkjvFJqo8xBNyNguIYT5vRw/ppHfmQaG4JjUn01/VY
pAcrc4xt5KLpnMYKomhIlrtGkMAaQwp6jA561xe7Ee3sk3c4YfNlGgRanLzyhjg8S+Y5q81g0iYQ
9TdNzGF+htvuYsd96gaqE/j5aGIURvyYyr6F1VW+Rig6JrsS+0pC4aCKhI9oVIiliriPzx/kmW+N
njZbUMcxKC6eLogZhKIkHthuy2L6WU2a2KgVYsogQ78yfvv8Wmceh/auMcYQR4H4dBujayPJFa5g
ax9oP1UKDvis1G+g+Arf8QrMN5YtvthhnPnoNNyqNjsaVqwPZf2+ycYBjw+3l1jPURwqSx3VDn2M
ZsJkOdYPdSPrFWqM3v/7e9U0qphUpNggns6UpuIhN3Tb0uesdqhtoujI2rulGh8SIhE+ji5mus+v
eO5NsmWjDIA90mMq+/OL4FuRojUhhyiELSxHrUeVUBjiVtYe3Cmbg/Tn1zuz5nCD7KEMFjY2iydf
YB40ZhST3esPfUjnwmzkSq3LemWgiP1vLuXBvXJJiqDOf7IgVI4ZC6I9oBZ6ZXFjASJaNI6wL+JO
076Yvs6NUdBPDE8MZ3M9+M+n2COJKyYqA36bd/ddVL5ZFgFvLe8vDutbnPDirw9HTGCYLnSLbA2K
KyevTRvotWE6K/yJTOKF6shjQ75oRR3giwudmZgpqasWTnC2ITo5QX+sqtUkUYAFHAEJ5H4Kh2Hr
TvX9F0PC4GeczMp/XONkTJCzlyYmEeM+gn5tYcYxyeJWax31zsZunEny1UOVbD7ZVKvWTsKHUjYO
YiF6tZ1LaLDUOtSQBZyU0hxQwAGiX0t3BEdjiGaPrzi61b1wWBZjH7wElVpsMdvRlk7dEcpQGOwi
y6VJoQ7DjaU1aHUT2vfHycsRWxVam27KvG22KvkxHgeoIbxOyCuGbhZjikrj5joanGirNS0MTguJ
Zm9E+VVPpK3vpt59XKbtkiecbnJqRc0iQijoI07MF6WcqjVcKguxcCoviVCNlzIm4fbzx3tubLKK
4+ukc0if4mRs2nVbCyAphY9M+Fs9iG9uVIEJg6GSl7M9vvwvPjv23Gz2KN/TEDq5nhWNRW2QbO2L
OpprTgeppzspii82rx9Lfia1Uhpb7E0o050mUZhDGhnN4BU+IvLbqoqBM0v3R50+0IS+QpCy7Cz9
NSR36vOnaZy/LlVaniiH69MNmVfldV7BGfDzcpyeo4FsErcxlVuMLmq2RjPDGacGLLsWaV+vsgKR
oNIVTOQ1AcYWKn8rkcrOUDtlowkTtA/CUAZctaXfSQfbS75bGLUXckAKmDpTuCKc1Kb24kyrUAvu
9NRsl+5kkUInEoJexFSFa4iIhNhn1RueD+0mcbNpWw2y3uDo4n/PJ2sZtSJZO4qjP+KK/+pVnJvT
beK/HPyKTBTa/Mh+23nHagteNu0LXxXfRtq9i1Gq21QjueXzZ39uLvrtOqcbo77q86zE6+27VqYu
C+oNIISi9ecXObcg2ni06SvQb4Nc8efNqKDTytpsCp+mE85GoHMcxp/KFEYvtMgvTGdnLzZngbDx
xd12uu21YcQURca3okR2zkl02vawuFCAoqUW8ReP79xEYFP2Z7XAsvdh85uNo2EnqKj8JmludWzB
ECnGpzJr3kSMZiGyv3iSpwzx+QjO6YEj/1wmpcN/8iintsp4vuzTkiEjmmbStb07NXKnU4tf4aCO
fEgXAqCWZxxjsDP+GGJqCMu4uHJDN914cI0eHCxB2DMCADtfPI9zw5b3bFBGon7rnU6McghaJY3Y
5si6ejO88DHS+7vMQEfy+Yg6ex3H5aTI8Xe2zP05olrCY6MKPZ7PSbSimiO+FaMiV2XXfLGQntu2
UpxCtEESHqE5J98hkDYcHGgvfYFnJGqRuMritimtfeJq11lZ3+eZ90Wh4twA/u2SpxvWZDIzNHpq
7isSMH9Xvnlmhrjd3jflV9Guxrnxy4l0DrYhoIta0p/PUUjXJB3ZyZlm9PFVRNUvCXhu2WcEk1O+
hb9ZKfESNkGxBoWH10DRZmVmg+jP69snk6LKU1C7rd/pOBZwteEzikSDrd4rV26RZSCgWnczONJ9
dC1mzYVdkAUCoJqcl3QubZb6L1Xq2FlKdzVU6ivk9ANSnGot2PLFpJQRO2HE6y4f9bsK0TWLvf6X
oWjvH5U3O3UpcTBuTxuwgFRbcEkVO79q2k2ggBdCNZ+syrqgZvok4lF+MXzPveLZmYVQxqHYevrY
q0QLx5rNkB/XnoIurmuqzcTpdwXYH6xcO2vSP/9g3rUTJxtCFDM6N8jnwjHz5E0D/czokma5b+eT
tySQHNJvBCke3hjpXGWWPVZ67q4SE+Xku13AjUT2mHeTWAskfVuYPyjXP/+lzow+NhuzBdrDGPjh
yOvZo5sL3cj81IPxEzUj4ImIbeOYlO1T0miTjy7y++fX1D62+0xUCVR95lmbnJGTqSMcrAmiMV90
OwVIWY3Q3CBINTaw0dut59jGgpGCctLK1l7YRMuRngzOC1Nbff6LvAf7nb4RfOHIMaA/0Wg7+UVw
8od2DgsT33IC+/Pd1xAb2XSLtrqArih0ZycS1MhYrNpFmFFEBh1DH5Wot/5GGlLdjNDenyMSGpYA
rNVntsXEV0iGFI6pdIOoz9oiyX8bEWMzZZPjYCfRGq2wuWqUQviRXTtraCbOyg0v9DI17lKjGK75
bDGhjXwIT5HbeftMdV7Ubky/OJifmcNZMl086M7coT8tHFFuS7IW+KjvZOlwFyFLg8s2xE8AcqLN
58/63KUQXqM1wI3OsnGyatJ0qut8Xpa8EmY6KKjZzTdUkBfJFXj6/Frv7+30vc7VXyJsqDJ+yDsu
FDvrZB5zOOitwF0IGsaYvSZT2wZV2a8KJ9MutFINbgSphgddV8JbXcAWNI2s2lbkg+zef6H/xTd8
hW/QKWL99u4+4Nm2b2UTxpTO3goRi3H38//+H+2ff+ffcDb1H3Q8AKDBSHwntLE7+BfAwbX+ATCI
Vpkzj9x5//f/IoIZff8GsoFxmzUhNEBBmtCr+Rtgg0vu9p+HerhuNv+B+qhRNyCt6M/V2kMV5Aal
m/mGG75I0CkLgUdzzZHxmVF31/SKX4BffXZz7RltsLbBZsIs0O/FjPAHuqzvDJmPu3YG/BeatHZ0
YbJtM6rVypmDAFDhN7/GgJDaMiImoJwDA5Q5OoDEL/WovMcJzMECRkbsQeXG8SZQimHdhc4RpbV7
I6d4ha8+vyhkLPlp+JkNWSN/QNm8GucwA5WgkLrPr8eWVbyaAw8Skg+aOQLBagNrVTrSWQI06+5n
I80ynEMTojk+wSRHQc6BCq0In2wTzBU7DgIL5tgFMQcwJHMUgzqHMmh2Cwt/DmqAtLw2SW7oSHDA
p4zLpybUISfdoYT7teiJJlk1JtEP8RwCkUr2w8YcDFFlNQTXlrCIxiQ2Qs4BEtIEYs9M8lPQgt2Y
c8wE/WXkrU73Te+JoCBFYZ/MoRR5TI5EMgdVTKII17zVhYyc4oihbCNItQCCfx3MMRedUg9+ZRCZ
MDildvQq4jBETzAGsYkbWEy3VIHzY4qO4BJTboMF3XUghQVddtUgBJNr3YVeVxd1+twB9L5Njcjc
Ga0iltixsYZUYd/c1YbCEZeD/4WZjiBHldxq6K/ZNVDIKj408K2eAw+apYcm+3HIDTxOtNRxwpSE
EkS9l69bmZq7mji3W0dKMJT0uoko0PFOCcOtXhyobrPmvM8ei5SVy8pwGak46w9m8Q5k1TLyS0K1
ai6dWndXVTyb9mNPhwcVdXW9aPWq2DdtADBuKtViXytTVy9qt3DqRZyl8Le0Mo8PKsELFyNV0I0u
neTVgchHikWAr4tIn+Ax0SGsukaQr4c8Lu803MsHA2f1hTkDOqmzJa9VFWC8hVYFUTROJ22TJ6jr
BDkQN6PVx4dOpGGBEskc1m3c8v5kjlxSSJg7VtyPq6Z2zW+1amCDJoXge9M5xk4xjC5Zhi36PfJq
+TOwNm54gMqS3JB4WngkyN2zoSeDVfAjHb0bu5WK7/VGR07waHUBK6vV9tx8DVjg6GQqv2NeqkCu
IeddtKVlp3RzeQ+Vm/EDNfKd6zWp98V6xMK0AolXvUR8f9vYprNGQi1A8mCIW3vhzHu4Siviw1jD
cY/rqd9qnVG9WQO476ArK0wp/GYJ4cnuBlAhPz5DCnQbThGYLKux7KURRO6tOTAGsQvlv7KZo1tY
RXffJiZOV3uuj4L+GFfvHHEitsSDM+T8wSxI9J3VM4ms8OKP2K9a0lylmby+j7TEElwN+wwOHG2k
+xsPEkmT6ZXXsqKzvICdSwQF/PtHaLr6kyzmmBmRm85tY4XmrkyD4aiB3F01DdBoPewckyWXl9p1
ZrFX8jmyTg/wyGUyFz+hL8SHQi3ta85D40WNWP0YwP06ylrJ1xEjMgUcaQWvaJ7qhcTnSyUyGPhB
vcsVHRpXmyyMlDtsmf12soES1yGw7DIT3vr9beUyhysXji0CnjSgPE21hlMU/JTL0TGtS3bVZrBg
D45LyQ758Z0kd8zJBkb9xD9i132h7DUu9RqhYptMh7aIDn093nRKe9/XoJR7q3wtYmBiuT0uPfdK
Fx3Y9fAm6mfoiYj8PGl+WdK78IwSFSebikJ3jlBigDtHW2FPj2HT2oD2BvcSPgcTXWCt0xaLYDWW
S1cvyqNgHesWulHCGYs1+4if5wETqnawe+bwVHOxAjmVsdRQNizjfDzEg7eSQ7JCUrTHfxfcaEIZ
rrVBTzZuGWIVpqkXbe0yTcDt9eZ6rFKY9xWYm77PqqUA4xmtlEb7WVBO7mv9DbFreVFHcXWRTF27
LvRc2xm69aPRhF+41i36hAw7Z2eADQ6DFwhDz63i/hg7ksCnos03GXAGTo0FOc25Ma7gmqPf0xsd
loRtl3cdrgnsjcn0EzIONF3ikeZYuE0lBvzqXbX3nHRLTGe0BCrAC45tbTPUXbBI5JheQul6sEfQ
kDCFd+kw5juVJixNuzrFi9pV66FIg4XqddDCp2qjlOVLrXYg3opSvRxT1dk3DHzCZWx1ZVE7V7HX
L5Uc2Ys2/jLG6ljFrvMW60QUmLJWXx0yFVZamt4L8ma/jaNirPnWKd8btbtUu4J8GHJI9qYX4Cfp
p4n5gL4rIj0oQAsL/dlyAv7vBXd13v6MRjT7auGOB7KuMHAZYR+LZSF0dcTlDb8RkGRxWWr2gUZL
esuwataqHWg3xjSaa6l3RQmKGLNFih12ZcKd46yqV2+tpafrKdd3I2rHhVFV37qsxP7mtt4q0fpn
NeCIopas9h6oZ3J6ux+qqb6ALdxSigoeMHITfW6kPe46kPqlSfBXY1oPwVioS5vPEPB1ET6jU2uX
RWvQJlTdS+nCK2eT4P40sVYdHRDYD3A35j0E5CsCn+yRTm8gCYyA2jngcUseEqeDad6a+VsbOMkb
cQbZ3mtymCFhG5CepUCMt025SVv+bkiHmlOQenCCpLylTUUKZFSzswKYspCATA4VVsfXAq/Nq6T1
eADtUy7pM48LSEvTKuMrYiYXMeEeUYHLLiAOiQbykISX/SBSbd/qAS6VqJ3sg+7VHbbCGvAc0RKP
IEGUa1tr3GVqkGfBSwR4FzQh1YI06S4dqzEZMQUmvrK2Kqyck2QZRCR6KPFq7c25Wh5QM18H2KUf
PaJ0j+D/Y3z8bV0UC+EVykEA/dixU0i3mlrW63jIgmUmrXI+ig+/ilzXrwHYiAfZxNKvIqd+smtB
ahZz4YoCDxY8R6JbNKt4SRzmLs3ZhRHyoezVkgkME2QNW8xql1UjcNuCAiKWSHP5tTJS6szsu9NC
GmmbQF6ntqJeNUHRbDKjbLa1TvpmJ1NsblVzNRCaRr7wNtRDMOXu9JI0WPFWSYG8gIp8s8REh7k1
arMNRAqxLJvU3E5QD4Y4GrcNiUMLveOAb2VtfzOl7PHSvmxZuXr3esQ5cFdjI/VdI1VeDOEdtKJq
36RDV6G2R7GB6BNuuiyocO3Xs006jlddgy9xbnQvkHsdWUHL68JB3Vh53UhpW1qPRjVsB/oNK0z/
dyO18cMQ65SVXDfZEmC7tSGALzMNu35fhm/1MG4NwZLX12W27ulXrQc6Z3vUoTj7kzbYyTq4pO15
xGtvrZwAp9M42cNFkBAuTPIMVnNtTerG0UuZXbULp1PsuF8nVZSBbU5zmYS3FKrrFZ9wK/HytNLE
pe0pSsiSENagk1NPDUc47pI+/W5g/4udkK1KugTwkVrrsU361eBWOhgbbMcJoKK+68pVbseEU7bA
R8YfEdLWHieUQR/VZzV8AnV+q6hevwHwMRP5O3kXONO01sapPYSJBeq3t8wruO/P9USRb6rsY+yV
yjIB+nHE6qmvMoCWkCQq63sLpBdsVDF911pNXMncUTax1r8h3iUrydL7K7fvjZXjkqNgDpx+IKu3
N3D49Uvp2PUxZKuy1gMSMUbFeeXojl8d7Nk3KXDCxUQhwSkNgn2uxDa+PFVdpnVbLPs+HpYB+HeW
yirbDsKMtxQa7j1FAM1KoXOAP8JxlvyEMdovzDoHNAqoC+bOjyjTWyJTYm8/hpON5kybN/0hhPvv
qknmgZNayaWURcs+vjV9w47JXku8OxVbl7qATjEpRJmJdDdNAdI6SgjjpUk42m2V5dNTBg/oqo3y
HxxAgYSVej2bxMVkXYxFUK7iIvpR5zmrvlLnP53enuesQIhNV8T9ptHU5oXti71GqjwcReCBgja0
oxEn1rWRTCE4Gj0z9qrp1StnnPjSukI+2p3sLmrQTJdT1rvVssaafp0WtWMRKGhE34u6VUOUP/Gw
ybWIpUDFrPCePliyD8g896cbqkwcfWhpR6Jg3CfRONXLZOTF9ykiI4v0FMNUmPKRoSw7FYFyMaet
WXPuWjAnsLVMjGv4KLt4Tmer5py2ck5si8NOvmD30FbUtAh0s4oIW3+S0IrV3ZIhFLIpSd7D34o5
Bw6RypwJJ/4VEcfueU6MG/6ZH2e0mHebuu1/RXO+HMYpAtjIdfIHwufSuafYznl0PcF02MQh+4SN
e7Rztb8JI1EdjTnJLp0z7SaCudA3leTnzYl3yZx9xy/2wMEvWDlehFQqISGP0l74LwH2/1Z9vqr6
8OVSi/kPQPJD1WdH9bLAhvpH2eeff+nfZR8QnHSv0F1bHAVni+d/yj6e9g+LWgc+KW+uJiLw/E/Z
x9T5vzhg0aCzZ/ni7M35dxkIECi9bQJuKb+7KGf/qg6E0uakDoSsFI0YYmYqUxb23rmu/ntz2I7N
JNPaaD/UHGXZipQWLXByfaraUdrFOGgmwDZmkiqtiQ+bg3tZSnsXHAnn1LL2Gy0nsd4tM3s/TY4Z
rOk4AeERqjrcsj3Oza2WOKNym3pJ81QT7mItewoOCeSHjPDPXm972E055sEssDp90eUAhyDQdTa4
eTxDC2Q6dFK0ScC9SUpvPSH5a9Y9oYURTOeSBMg2qJgugTp+95CG/Hg/FQnXIzZogl8P3yIT7RJx
lm6ttFCa+qWnwwZvvdy+kian3Lzvji1xfxun1QxwRVmvGiv07fFdlSTj7RCp4oB5Pz/OR/xi7Qyl
QkqTO4TwjCw1dBd2Uh0zq+JAHMp6jVhy9NHVe3u9auILLXK3rNjAU6ISIr1VcBDW24gwAYH0QkMF
S/CQKRz9KfNY//CsZneaTrisF5mvISlh11Y5eiviJ42bTk+aXV+O5irS9JvIntoVwYrOWhlZaYZK
yW4MR8kORiGPliqhleNfBjyCAOYHoVnV1nSIUGUaTS+0PCclyx7qY98YoHM6dHRXbdeaByTNBr9b
N3WXQENrvSwPQdXkv5IeTESf/g97Z7LduJFt7Ve565/DC02gG/wTgKTYiaKoJlM5wVKm0uiBAAL9
098Psn2v7Vq3atW8Ji5npUWKRCAQZ599vg1uStkMlsStq24YP37YUK42sJuj0NGSBgob/yA56IuP
zIajq6xCGiDHYYRG7oIaf8paZd2syZ9OlnTHa6p0MgPz5HtmWsm7XTsMXsTTqdDteWMDxAzg5AsO
wVJ7HOqpfCravAyrvFAXE2ZUCHeuDSM/f2yLrLtoU96HKXfsC1trxOncnC4zwZ4bOdnm1rD5TQGz
xBt9iOLnxXMJpCm8hoifrKp9XjbLKFKkNE5W0ujHWe8/Cv77h7gXxaM7VOTwICL6Nze15aNniiFY
2iiL2LSX5SI0qwsBvWh3OayruwVbyU03WdGu03eQQIQ4zfjZZWuJncGyv68na3kD10EUttZ1yVFk
ibEhqnKdirYGsWnyfLyDdh3vtKY/OZavjnri3A+DakgmciqyESE0MXEzwXipCib/FWtwM+mkWfYR
yp2zdK+aVuwoCm4eIhOcsJMYyOPh3E7p0WdXPDoPGrqOQcbBxi/EzWhwyVSe/KGk6x7KrH6dLYpa
Th/fSrctdmTQdMRzpOYJDjyRNuuVmj9gSsqgNjoA9L3+RTBJHg6zH2GPH7T7EW8FPioZbzJdvLEZ
qgdTllDUVFuHBfP9hxk141WQ+gfcFBoMJkSwsJyIsUMc3Yj5cKKX3ggMaba9W7Z3BcofWVPHpUvP
XdmBqutQYxGmqkilAQp6wAms3JRTVm5HyPe7fMwmYDiZujHtWjwCxYgPQ8bXPC+5dYA+MD2WE6ac
qssJOZayvVsYyrsX7UDqljUeINdF+WY01Pg4CtCmBkR/rZnty8hUTcUNVisx6hT8mij8TWO0Znad
o9Eqz2NtX8rW+143tb11nMV/zqjLd8KEyZV4aXTFNZw+cLh8r4QUB7uheF9S492h39MFSat33xQj
+XckhcpNKwvzRA5CuSNLhiWtxwVMGlEQu5oA62HbpRHFflfULfljLrEYS+8DXI/Ynzlgd+d0nuZv
DFCTE1emevPUtKgUugM7wqvKhxo1zg8GH0DQNbYjhBKmG9SdpAksgwLUaKCWrD7IfCCpMQXHvqll
5d+6zP1V1voYxgApdmPiFVBwPIOahwxaD+gRFs8oFCl43jisezujtkkd3FULSa2e2ZW7OSEai82d
AOqpf00K6LRiD46pOzI/mfQ8W7TmR65l9RyARCfue0pG03mAo05GZlZP3j4ny2IBa946jxMPbDjm
EbdIPrL0Di0q+FdlpO0xWcoZmA3C//eO1Z+GRLHESWhokQv61pHurSFA2txEHGiPtal7x2aOtB0p
DlW8jxqI+eSMPyTFSgHSMuYvaZK4d0mOSS+EvJO8EQmvtoMpyr0BP/19HdnzA2J5MzTduRPn2GoN
wqoYV3KCZeyjwyA97g9rGACnTguHcbb2X6tc4Ka0hDned4NS13kyG33jwuZrYbyArgwymwZEIKal
/6ITAvfetHr6xjMZvXks+3vqxPIhgrP/q05DliDkIrJuxO4MXzQgFpdSdw+u4RQ/y9JyPmwovykV
r9UArbIHagoyrUmqGA4lu20IrcWcN3PRemvuBt9ikGWJ99oPsw1WWBUfWkbzGXaOaZJoItPxMWqE
88pzxN9KsLa7fp5NDRTlil+ktk6gAqXT9COHHCrYjGIEhbwarpMLGAihLdGuaeYoGZhW2b6Bjcsv
tDIBtMElFW5oQnWm0dTkH6JrcgZjCUxTxWjiXqqiQ27kJfpWws0q6655WBqLrC41gg8NTFK0yy1w
UP1eFsn4Zo/z+DPyYJjS4h0I/jP9Noj8ElDn1MzasTWy4UrSOqw/S7XaD6HP6mFuodQFFimce9ph
EtqDNspveFcrrGhL1B+k0Vn0a9KsmaFMlNmXxksF9Lja6m6ZoNkCidNqEHdkceCeI9WrN3U5h7OY
moDf3GdgrtXfIr+LxLZKdZJMjAEyU1+I9Bb5mPiJT3MBQ/YkXtBAQAGwkswL8CSWoZWb7nlmIOGI
b8bZOFLom3lgzqbAQs8AnlzCCVF42+joR8Tidlvi3H0RGEo+Gr3qNopRLab0B8oQlwppM7mZPCgX
t11QFlX7lrdZ52L27ZUR9pOqvwL+ktW2A8pA9AGgrJ9k11v3kT7KjWU630Wc+C9AG8v3mkShnZWg
pgIXInYB2lpObU7YPDuiDdSZyQndvfcX4X4b7JbBqoRECYR4G77UbM3Wd3dsk1MXGdarj7oB9LG0
JhEA4QWlVZv1nmQy/jWH/e3tSVWcb14eNUM4mYnxPvgDuZGA/b7FAr6v7SNZgaU29TcAmyDrcS/3
rCVd9UCIXOPDb8wm2zKxHhO8U2fRV6q86gX5DtSXVSXTqVf9fDdkmkaIZquasKRMPGRxftWXPv3a
VO6FKWD6nsC1SNDE7Nwz3Aa041F0vn6huRBvQH256camT/dA+qAGxDJ27xrKdhlgUhbffZeEkEDU
Mn6txOzOQVaOFIAG7uk5NFSqE60ZA6jqzAUxdYkOOCDoJQi72yzSKna9rvdn3A9bp2/Ln0lm9sQF
9Y7702GEAXWIfgA0ua59iW03+u6IOtoNtU61y9VcVp1N9PcJFMgD7BamUaPIpqJO25jk8DgX2YdE
i6mCdv2H1JKCrcUa7+uoSb4U0VQ8p7ae3OmprVEfRP25lZOfscAd75S3JfxQnTNiOcYYDvFv7aq2
6fde6jegc804/6rogGPFjkY4tAncjGgrcehBU1mWU65B6hwxwpz5hMXZxI/+I1rSjlZp1+1L2Qy7
2LeqQ1PE1sbMly9ynsY+NGCFvsdW417xb2g/DT39jzfidzPDv66SMSP8syq5+kjfq796I/DJ8TN/
FMniF+a6aaAzfY30vcJX/rBGeGRbAPZwGKn/LHb5q9+z64Txi8tEDOQPlzE/WBj4M/6okd1fiGIl
ZY4z8W+l9b/jlRBrtf3XAQhMqPwWuCXYtVY78F9rZICASbokYCagHE8bEryLdzKD0Mv7VDdlkNDp
GIDczkuoem0Ywzw2jbOTtCWUl0hMoQGCdUvW6PDh9kb5sNAK/OZDXavhPOYxChDBmJupjljD1VIB
8o+sA74N8wGx3MHVQIV2vxjI1WGelehzyi+wnDvekwuR5NZO/fCgD+9l3XLPUFi+dvRa3uo8HTS4
LwUBP7kup3cFZnwCearNC6drUns22PM5R1idG+db6TT594S7mJy6tiQzaiYFHCVwTulMNRM7QOH3
kIVgNbC3RIvY2K3pQUqtMcaFreVnBpaCzLpr/DU1fUqi5GzRx/e2PLDSlfhWOFaYa3n9Yw2WfquJ
Kbr0atbD3irUKfbV+APSbvUmupSsTA4z8ykd8+ZxJsji3UxMKuPMrIOS1gYPKOINeHIisnnjZSF4
+Gozo4w3wpsaIjaBi9wVU5pfPKucHkVhfSLDN7OqD647QiRuKBOHqsf2L+a70Uzd6+pTNIPMKn9M
IJQ4jpXelflSeSCFt3uyCHkjmFuprRhnax8thJ4Rhp5XR3BW7iabl/7kTWMaHRZlNMdhKQgR1WPb
J/bZbtyzp5dmFbYYJ1+tUvZPpLRxkuqNcYF+PBhfUzePvnbk2h3kaJM8XfnaeVwQyLuKwr6mYxbi
h16IxzL6LwXUkIb0jLI9j1HbnBLPG371W3CvAcdMLd+oQiQPg6iKrWwYwdtUow/m0zDc4Z5ytoX0
T3bse/OpIKuJJlqcljQ8zWxU38CV4rQlKLWBTMKgyLXCQWjsMa2lt0Tm1heTcKBHf7F5NwYk2ycD
HX9Hapg4GSDgdVwYdQI2oUP2nWmtmN3Q7EcG125xUhahQz70m1bF7ZH4Ef/n2I5uu3P0MuYYYgGy
3GLx8W8IP5CvcefU2tcstpxrAhg2p0OCRSjw1ZL/AFrCXGif0CuM9aXc+HZnhACxq2euY04TUCVX
d8rUvTLm5OjSsPW3Rj025ySqxEaDylmSRpLVz57VrDikrqb71PD3Rh2L+2YQfb1N6lJesspFTuBc
zV0OmxWEMiHNMaERK7gFJyotXmK7+J+6MuLuk2gzZ85N1f6kF+cKFazqOHxq3UIbg4A47KJ6dJtH
2MnHxE4yQgicq+FlHFmFy6S9RXE2A1d/mgrunq0ix+GNfLc5MIqI05PbC1+FuTShg5fKfup7G6l+
To0u7AjYozeY6hdBeX3ubFrlgqDsQNWKJnc+Yx+KhpzRhZ6lyP1yi9SE+gXdtniZPstVhAo9u7op
XW4fLgzF/JNYFMYV+A1OZV9Mo9H2Y9++AiUeH7Xc8/MN2YLjwaJUBors3Ndr9VyudXSxVtQSr/Uj
KoV56Nd6u14rb29WxePYWu2t+L0ux/pl+cXWlVxIIkkDfN5pYDTJpSSmql8rfJ1Sf8iYnE15JUuD
67yqAT6ygLPqAzZCAWhVwoVrPTA8Q/Eyq5qw6gqJsMQhWrUGY1UdMOarhxQhwl8VCVxg/rZeVYqM
8LZ9vO7WMxJGtWoZ0apq5PNHq4iXWfgOo04/ZZ8CiOGvyHaVvEyf6ggyiefO6CUIJzROiy16301f
NZUIcYWy78EZs+zaIbvQdSNZYT65qx5T6vXTkFrgjCa3C8dVuNHHfNiYn2pOP0lvD8oqxzeM2NP/
pvugAJFDoo6tpU7dKg6BFB/uyBIQBKbOMC+ECUDW9fPk2MauSPl4cnlLJqXu/WkUO4A0gckyOjmr
LKXHrRnon1LV1NR3ml1pd4KTbtjN9XKZP9UtRWAPKHgkr2ae/ZsFB4vc0rQrHvNVHHP89sOtE/2Y
p7FxIvevIURk9MpQEsS8brOYYgKP5ffs0ifZMJlWA7NFjltWYS524vlSrGLdPBjtywJWJtRsgbrn
p492qzXcEsh8LaoXSgrSX4tt+WkooujRXoVBsUqE0PHnjcVl8qk9NvkqJBZT9A7hp3k0V5HRXOXG
dBUenVWCJI8ZrLjlHNUqT049S4eohy/2Kl3aq4iZZFMUgkzA7pC7P0ZKi5un+USt4f7bWfPi7/rR
LX51VFRdlnGrVrF07HDdYr1GQmWP0c5Zl6KrNknZ3HCxFRsSG/OTtQqw9irFEiyb/BCf+iycVBW6
eX9jERYXv9aLK/n263wD0m66iryGoV9dvAabVe48lKsUXDAYv9H6VR4GMWQPLedjQ8ufwAybAdE+
DBtAY9+pT42Z7XDVmweAy4Zwq938qUfblnNnrBK1hrR7tNU4Y4pJp4PT8Ygk08U5aIXh/G5W/083
6V+ck6HvrNCL/7ub9Er5lFZ/NRH//kO/H5Rd+xeTBgkjB/Z6gEZ7+d+TsvULbSEBDQKiimczVf0/
J2XLJwYOogJQMmvFUq1e4D9Oys4vvBqD7MxLcrAla/jfOSkDQfj7SZm3t4AO4EIAM0T/6q8nZW9w
mB2fY2PveXNVMMXDjF6r+7R0q7k5p6OFpSn6NmO9WnMX4+RFZxdm/NaqT2kS9xerdlZM8IDDwqWj
sEUc964Jc2enli3wGZJhFYF/9A5N1D1HQ0QSL4ml77ol8zbdtHzBL4g11atJa/e65ksVNJi09sOO
qvpUJ7F/BvFtv1d6UyCGmMp+t6SzevsgluCTqTVasu70klt1Of3EbAsp9AgSfrwktbttS0Y74yk7
6STKe3fOEFXPoyXijnOX1gscn6AsN2ZSw+oBgkiwe4JvTHpZHLhNizqPmVdsaBZOF6Odig3bqPet
yAuSUxX2Pr4WQkT22BDjcybZOfvcoSCmZGIO2ANCtUOcpzOm8u+iXKpTPKZoBd7nSVzkX9tM4dox
Ik43Lj02NL/xFQb0vMbykgkiVE97W5bySn8ejM4U4e/Vp0F761SBDUVN00vCE40Q6axAWFmGxn2V
Kh260MU/RNutXbBOT1mkN7vIjwuCWxbRmQ+Q6JZmp9Eue/60tPYknywBnHr5JmKBNxCawvM0Wuu3
nDMGRhfMN559sMIMopqj8cyTpCZbQ9q8fGcVZN62dUfGN56YPnQ7JYnzkVVBVrM9EI6LS4Xgeq1t
MFGOoPZOQCZNK/z8VwK4uK6RdAjBbfqK/25OSn6Gw07unmU1yTciBMsytLsSk6/wclJ0esc7d4PA
KFskRLhumOrxXz0mWHrcbJH/yvQ6yNrWG8DsrfG+z5Aa+Bhlj0t2dOt+wckBz85KOvtd4nZRd/AL
CTptJ7Wc/Grm/aF61SczNoCnMxTFBwL5w+s0rchOxNQUyRF2LL/AaDRTvHXjjG+3HCL5RmO0jALi
NRA2bXoRpI1MbiE2HllB5oUD4RhhY4j0+NDJAQtsXGfdR5YhrWFJ5s9iWl+WsKm2uCuyrGvCWqsG
NQSYpPgLAJO8/OSsH95bOk5bi4lEHLbjxP+z4H44CAdYyUQLlF6X6uSbE+NGFprkQ0RUYFcvHZzz
5zs6+OGmHT5q6zAWJH4HzWDy/WYjGu/Y5p0XWsKmWBKjOSx3bUscgz6vDleia0n701v51pgGGdYN
juI90cS2eMS2629zq0nqQ2rx/N5GTm9ZYWMCIQhii+bm3Vxiik3oJX8RXTZrr5+/JSPWfbwvZsqG
0DJsfllbOqwyzbSMi98WFBNFruiVKGfkOufwCZenbszxltfFekmZ7Vi/k2zW1aWb/frkOwrDeFvz
Z39OqY/pL+OKZiY4vUPKZEH4JYEqeJ7YodwMS6oodWPepY0sfl0WmxWZOdq6pjDDUPjbmgc5u6ct
eiLabepDiqspnNy8A9zom6QpLc54I8B1ug6Mn79xcOgJLmDWwGOdViVFnPDlmewNOKQ2ArdtEmqI
/V35DDhWpD/MTEJcHN2NTpk/+69cTCfZoLMYtwzvJubsVsm3TvQq2rmZOT0NrGI81V65w+5p0uOP
7cc+7dSPDM2RWGQeOq+FX0xPnqPRyjVbFrbZjsxvxnwBZ0cX0CerMifaZsEIrkIY+4WFxFmhkPKV
kaLDEJm7Hw3f/dHIzLWIYKg9ayuicfXVKQYDYvTFg1Wt3++MhPDa4oQ4OxzrB96wBHRv2GJL18CM
aZkymG/ivaZeYO7iYE2phYPagyPW8sR4rAxZ3fAiOHiGyFsiPShPzBe/XtydNrbzT+GW1jFqseNk
g2d8FLa7vHpxP7k7nS3w3GC7/Gk10/jc2/Z8kJBKthTMUVin2kubaS3jyEJtsOquNkbfS+9mg7R7
k7RGoucqfFw+qUO6V87bigr1ZzrHOXfAiNbh2YwcBAOuCBISl8h6m2lNnpgMIPUCEJhx6Dlh35er
XcEexxYT1NSZGOOjxT1DR7q0DoouUj2JcovXEiwyzc18rLrJu5AvfjNKiG5bHT5pG+beoIxzQTJ8
87gIKzkMun/XDcR4LwysbFSTk5SEEzfItT66VkPLbkKMT5WSSXMzKuJ74tGIw46aO74b+tQ6y7zS
zZdIWvXrmBTtE3Hr18QemttsMsgxxsq4RSgNT5VL2Vb0U+c9NDhc9in9h60eJ/rX2Bwngn685yU2
nS9IQOZdTb7VmhhIE577QxZyP7TTeuOPe6bPy7CX5lUBgQycUib2ttATndYqTrKZtpz+qBJ8XRNl
z7Zg0jNQGeSJIBkYQQYDpVf6BjFq/BYRzlxw/KUFudPLvicSBSWPasOghTpYDab1Se+eac16byl9
IsWj0NIf+kz0Qalr8jA4Fqt6tLJvE4/301j0/QW787ex9Zp7qZaZyJZxkg6tV0I3FTF/mwF419NM
/tZpnjLjMTec7tdBTO232Y/r5p2s7mJ4TJ02ik9duyC2FwB48bN/NWknPSYJsy25gweco+B0HjrD
Cml3AU9z2mNPVMoD4wrOVpnwPAJC638W3Tidm9WaGxHV9Jil3fDmpU60icEHXH3pE5vUjzGt0Yqy
JNBtV14IqM/v9agxqw0pJtqjIDx74+KvZPSlwJgmnOkoiVX7lvadCO1avtDLp9jTW3TGesBBzjpV
mf5mmPEhGzN11uAHfB3HmLqWecUWjIEyIJkkyUnFIn6waNve98QkAPnqgtwlrzTRDTzxhJhO4jwm
GH3I2TFCk9K9gOtn9h0PP+2CVmfSU0jO5QgdmZmgL1Em3HWatQxasxZhNXb5htCHYmPIgXVgkuSU
TAgKseVH8DlE4wSVwyN8B+YMuL9pSuvRi4Vz9fy2e6rpefCgZ2SAz5N0Yb5gUnC74R4XMANmffzi
6I1xqlot3RjWJMO4mu2d35XlU5rVNEIyjh878nfSzWSuETVSn7Sg7xwbp4FKkmuJVrLLLX1+1tt2
OM3K0r/AoWGDYn7inh1o2KcTw0IwQfxHq9MHRjj7hD+aQp6scmluiV0WkHEqNW77uiJ8PRlr49jT
FX9kTFfftJFz8LrMO9d5PL/oqohgopU01fvkaxaVEWMIhseBArrTyyD9JnDVBAekUdYRHjRDs3qM
/9tPvJ3T40APujYbnYBoJzydnts77Y7IN5s7AYknxFODcSnteToypYWoygDdnRyF9yp9Pvggp/YJ
t7vL2GATZVseh1ijM0XgMUanwIvwPSNG3kgHZPKgzRKxWeZYnaBK4J/Vk7k/Ta2od6NpMiTHz0z3
bjklXuiy33xkwBF/xelFrHHu2Mse73LxA89Ks0cJxYS2Hq0kXKCgGGhOMjFbYjYpM2ebao3cYvhO
Q6/3+vsRb/kmgvoQzgOhwOSvmSdU9uGyKE9aLzzf8vuOKTVc5KU/lVeqeuYBcru+9eUUO7eCHC2y
5jW6x0OXcSwgF/d7bph6vPOdquIG0jkLMumRP2CQeCLsczpXOULy3OfYZDLlRY+KY8C9SfwxO+9s
xV9ddPB6s1gZZyzhv8W9Ud+WaMxkUMbJDu16Ptv0ai9NRQxR4NPP2vQE7R0Z1OlOk9HMd16VEp9n
d+o5GcsjuuZJerQuGkYmHkr0wB9Q1fS7oWvao8Fk8V0be68c1EYccO1mcFvxmIHDZ1JtyPN8l01l
XBxVsjAGSuDnMgeMX8osrIsKL25pOsutt3T5fYLCELN8zGIIZFUysEnUrVdZCNd532rlj3mY1JUE
zOVBS5Y23cYytfvvXiefZc9QFI6KtBeReUdP0KLbMjl3jHW4t9oovtDTnJJTVTQuSXKV/k46r7yf
SC5k1om1cMgR37nO2YzAmWeJe/NNYetfCGC5+e0YtHkVXWupmh2kuKBdI5Xl+GVJGLIQVuvF7jU2
ZXPl6XfoSp6g/4pH/XdKg69bNLh8Gkl0JsU/kGRif+xnM+Zc67atOIwWlaidJib8UpdpSWwhd39S
Dq6/jYj/F4E4V2grnfr//89e53f/PDnu64KmFfB9WNREqPwd88Rg2Ex2hKr3Vdn65w4v8RudH/s9
Z/Au2RDjhqUcpNglHryeLNIWpz3pmTSMy3sClAt2Pm7sLVwq0T6U7WBcSs1Z5LE1Df91SJhTo4HP
ARDEQ8SxrXTUhx7rlk9BL7rlyXQ0WNQNIYL7tO85ZsrMfq/tYeyelOHbard0hoE/kXhdS3xbqCcY
RfUmCrY4si3O+swcBTk7xjOtdfnGIIH6YMlUv3rLUD0Bg+FE3+GpL0P4jPJNL8U0nbEAuNq6d+oU
WLh6SP/E0LhbmX3qzotrciT4D9sHmuogm9rEwP6twEm+fdbCpdMY/wLDuKodf70GZA8JlBoPEjzi
zN/6hjkn5MhRer2357VettOM2qA3Csq1f3611xf6hzcCqcoxQHgWPUr+/k8mXq+lgmsIFNujM3KJ
pVeW265quD7ce6TekW5NuVRPFCELT9m3f/fdPYAb9EcZcPfxEq9r/0/vLrXZgAI01YCLpPlM3Ky3
SZt05vxYtPt60nhXp3MpAjRQBjL4529u/J3BgUtaF5ixfNPAyPwPnx0EpBYRRF/vlSF59WHErHnv
5o35XGWKshmLNR9+EHNNRrzkjKqTY0ThV8Uuo22E0zx//kL/kTf/hbwJCGW9Nv+3vHmpSVP8r/Cd
KfD0r26A33/0f0VONqzV9w5GFklyXU9/2AHELxCXMbHrv3X8/yxyomR6BO9AH9Kt35TM/xE5LdAL
awffXI3ubC/WvyVy6v+wtRIQa5EpAPvVM3TLXUXQP613l344HTGVkT253lf0ghJ3Q94dk/rm0JKi
1A2ScD9E18Q5RObMgHFlVr6HH1fRejNHJ5t2OAnKfMu4V9zstaI2YFESIVvqHHws9VFCEz7Pq0SH
kc24AFAXB0p1bujZzJq3QiKyDKTRF8GYFRTPecHkEDAe7+wnUf1WcXZ5k/rCHjxw4GKWpzK8M1mb
4r363Mv9UoPGWMWOE/S16ck7s3CTlmiJddsemHsvsRqkjJU3nf/aWwZvPMpVEemUN90+FTIm9KYb
yYvWgVFEVCTG1Fzy4Cif6mNNhrF3dHyebcpjE8ezyo2HV1YLjWrdCiUy7HUuplV76X0+hvQxb3Ig
j9u9zkP0WQcy8O6aIB/rWuv31pBYL8sqhlQM9e05OCPmOKUyLrHZ8Pmli8iUOYxrhE2T8nBw/Uzh
XcXK9JExZgc7XNTmc6oKlJSo0Ydgslr+M27/+oRAar/PMT/HuD6/gG2Maylb8G46PolnEkVpF/XI
J+ia/sSnFjnv6eU8mYpM57MD9kK36kfdokhJQVYkbnKxsKyevSHCBD+m031GyO3BIkDxUKUuP+N+
KnAkKK5a4sTTdcO65hv+7YLyjMhbmmzoj2a/XuGBUNkrl1Spr85cz9N5lNHM8EBuZuWGg36ePmql
yUeo54xXkQORzIGnSCRhCKDneyGVl98RFwtQqHEWmh3CG4xJbuhKe9gz6pfoX1oi1K0dE2Ea8+Hj
8msS9euGOVT+K+FIN5qg9m4G7CeQl6EkLKbKsMULPITF1GiMaZbsuqBP33DorquWZv8un0Qf7WYZ
80pLtIoELpHziJKrzNrp4BISZ+TPFFqsBrPldBr4eFKsrT9zFGBEhv28cF20SxkrFp9mYsOPBpNb
zx0lo2+M9MdbvZPGJcE9MNL7nLjAtYSo87tKl2eyQiGBqJGGuV+gJTNoyXozuC3PteTJCtsU042W
DUjJDOXye6dY+UhcWckAlh7z4K7GkhUT4ZT8mCbBW1bLKvsN6zqZfaRlYAwTmJDOOpQ05d9oQ/Ni
XaOnd6R5+VtXMGA2DxgRpDDkGwfo6PVzCaeay/dLuPapXm/2bF2kkTNMN6RJvpLRhO8wwZy4losJ
gSLJUL4/GxZ4VvniuloiicrCY8H0rk4xVq2R8J+3RF/I9M5JZ768OaEB0OhsHCnm7LeFg+i+sSWH
QUo941lghHzFzDtogaT6rYOsiUuiPl1uTof5k+1ionEVic1k4piWfBw9FYdUEWMTNDqzPOx3OgtM
s7jJVc5jmORuxPLBZEJ91hd2EJ7i1sFF/ke7Kfzz0qwPZohovAInMg58uK8ZUu5dlVjXrBnQijWo
reynTAhv9EK6e8du6bsXMDjsZtI21phobTDVOZ/XAgk97hY198nW56ZANGlLfqHFYscqzXpMbrOa
5P2npJzOaLXWzL284sKw4uZ0OEqj4HU+Be88H+CXdWwZuh4Zzx2RVnyDnDJvkoUOLybJm7cc1WTv
Gyq+izqO8q7FmnfyVZL3ElDUT8on/G4/9WyRFoaKM+nKrCjSQLlQTBsZz5G+cKSOa9eethb1UnIs
mXe8y3Q05V7gXQyHkatUpNF6hjPZmiFCsqYiDmIYzhjvaMJWceLTQQumIe4U47npyb7I7HmcNzgt
UbjxGLBeDMWRvV4bICOwPUr69bSbrp2YsjT4fbJSMsI4+OvKcWGszEeRtby8GUfqA30XIEhis7rX
vgVtTv+1TW0jOwlwc/ue41+z+1zzwsSXHeodnxn0xLr+e9cxLn06+K9ID4RhWp/C+kCnoyNS2qZj
oGNJoyRThD4VibWuR3/tCsjG81+prbmQv21pGSZ+ph7ckaUEDKvtD5mnGo02gxjbrTQ04yoc7i4S
lvyMkW++XmrG3ecdVw6eeB2RSA1MIXab7D531rqmBrhjZKF5NVKrql5JAp/zL/ZosU8UYt2lDHLT
7sTa2vELkCJZ35SPRtKbNAKrD6zAzBcQHsnib/T14RzF7MB+sRiXcbHXrhbnh3WAgQAgLHFJZSQP
5pzMe7YfqxyZRus5QnAyr2ojdOrFP5WVQjc13WhCiVKpXzwuWfEz09PCJZej03ADlxRVVWeXXKJK
X8ukfmKv5Z5sNwlbTB1oo2lnoYWC/VFX5WsdG+3RjyZGYIPZG2mZOlb7bNJErbGoQwhcO6vI0/LE
M8a7GhXx29y79GCJm02DxjC6i712aFVfxKsxL3lJ3YYGLr3Yb01nbjWzbs5q7fK2RMXqbsY9gG3n
s4ruKKhV0suTm8FGiK76WnH7PuHd+PhoItE5dFz/KhmlIuLrFn0W7bNTSI3nRF060cGA18OumnGH
C8dBFdF7hnR0WW5MstWr0CVwkZDwRmShrE1GLwyGOoJUSC/URI7eVuH9Ctx02en9NB7tLAF7pLnj
PBBiL5N5NzvgDPc+pxsYxapf7Tlu4p86SywP3tS5R5X5PObSiey3SaOtW47GiwACfK/pTvXAxLB3
dKFCbApDcChJvHobE0xG55aM1iDL3f7UToN+71oUyIHS7P9m78y22zbaLn1FyAIKc69efcCZlKjZ
g3yCZckx5qkw19X3U4zTv60kduc8B5+/KTJJCCxU7XfvZ8+fC6fO3iHYvnMyvy2umRk6921OlYjR
45xZO0qGuwCB/mu3yPAlCfqCFCT2RMVNtm1djOOBXNDijCw8mFq2Wua+3OI+IhLpOFkOoKrLzoFM
suXM9fK+ZH1Q7dQwRTzHaXuL0+kdKOOGOJcvaaqcPjFK1+dT/yUGIIDMCJbBKlqxs3VTmuhdeU8a
O2H7U3lbdy7n12wQTwZWfiRvnEVBmqj7kjIWkh5DuasXw9lH4cjMNUydbdx2T20I62MlPXZG265s
63OvIpaovGR/MiHUx+wbTkMprZNggn9w8cQc83BwrmtbmTiCyF2Oees+zjgMSGi0wdYIFShwVixN
dMrvsLptAH+eDJVbtzwEoJA4Y7WjCc47FtJe7mOcN3ZlVwdB8mwf6CcEWSzycnE4HNycX1iXLsZz
F83tJmtkeFaZHoCVYtNXlflA+AFZFaHwnZiFcQ0HEUObEfj8HGqY99KPdNhsIiHUqZ+rdo/4Xn/M
2L7rUXE5ptzfIn/CVIunC+rHDbkrvK+e5UM5c6Crucsuq/PyOKEkfDby8uNstHh2LL8o16OUHVI0
tw0y/2SSW+uHvRnhi3JB3qxZ/OONcgseRITGj2PlfmkSKJiit6a11ZiFXq2s45JJ+zPZuqbdRHU3
f2RHvGV3LdkJpma1WXIz3/at4z1FLSsKK7+klK4msWSAkDmY3WzvS9JZm04sgNmZ8U7XyWD41qqB
WhUOLCSB5Nr1LhyLKS+ooXcLSeLKb0ESPVDpC9bCygisHXzVjfEXFv94x/ig3ajAajaRMVZo6lSW
ylUd2xGMocRgYaK4BVL7ML038k4EPPYi4a0oCUg2suk5gQCwYh5Sn9OO70UKYet9AxjpqLyFPjtw
8TsFfXI7JNSgh5mf7jxRmO+meA64xWGsO8YpdfXGj4WU9uxXSgTia9gpNwyQug9GEg5XJPjOXs7s
h4dX9EjWyfwYTp0nVwNnl/5EMHpJP3ReM5jHMvcg6BitpQSJBjsLd/SIDO0EsMFg5xRzcItuoz6c
2M1qQ8HspnXwDMaERT0CMQC7xpgWM4yI9Ehl731G6/DBReEY5iruDAhN69g1B/s5SEqeumIgq70O
0sCmTXCK3PKqNSX/e16z5dqYbsnYfZQiBGI3sAdNJD0V7GQ7NiLe6PBs0vPp5WRaamaChxuDvSig
3XZiWx4a7M++O/H/jSz5F6HKglLrBIIDtPA5Rr8Rqgbm9GnTp9khqsNCbsq6tucPylFD9xHXIT4S
B/ua3NSVW+TeakLU/YUu+heiZqgVMsvh3+i44F28cShNiWfVSvTxwZ3DgNFq1cW4X0IropHe6JKY
zWbU7DEbJIzkGurtccZ30U1c9dZTYA5w6Gqmqf/+smDYsl2TbfvfIKgre4jqJHPiQ2Ww9SMNiQuE
zkL2pCOH43WfCnY+Q6nYHBlj/Cv97lLq8YN8yPWwAQrwL7bg1oUR8J2gUS14D6tRcU2WgqNQZrVL
wxOnDUpoOWWyuAa76Cmwn3I/Mo6W3n7TXMeAZXTaRtw6HmkuRR98HyeHXp+gmzausq8wGDnDVDYL
7c/vor/5Jbq+b7la7zNN3/LFjwrMGMapQQqPZqxoJKBHpHXo1omXk42Ubki6rWJev/Xmrv1cQip8
aHu0ijbhLJ8igj6UVbv+xTt6a3wDRc8eyMH45vi2xWP4x3dkuJozyL4BDdRg2+gZHiQUJKn3IPfY
BwaGPv4yyeq+OMiYx2bkfFFNNf4VGi3Yu3ddo89gXNmfvzH7796Y51BO5QUU5tDw9eMb80eT7L5s
kwPsIXaocc3Za1iF+Ar8mV2R3VWPkH0C57jUbFs3s113+Wl0xPgwOGPYMUafwvemuXBadi77YotI
wv4yHAD5zvY9jXGcFJFGI0mt9VShyTfbKCPUktwnnHJeEAa//HEoTctpfhgwGbEILc3M7E9bPcZM
zXd6H/c5rXLuLUZvOdgVnzq4X/yexNsoD78nX/g066IbOJDv3yxAiWWgTI++sbcTlzVQ1KpKTsGg
jzrVzLtn4Q+vF1iYxmMllDYJlglva0kH9TjjAaoeY9vidOIqRkgY5fiPXCz+xJaFwf4iD9lCy8yT
zFBpgNzE6aHWqe116jcjTIoRb5BaSl7dFUwaN16+kFwMOBB8ufzu/1Oif6FEY0nWdYP/rERffa66
z90P0JY/fuSbAh06aMkhuTLqURzGlbox45sCTRnBb/QWUjula94pTuD79mcgDbTK/9hq6YsIqNJD
2uZ7R0/w//nfr/P/in+vvz0kuzf//ftZHjcmX9LvFmg9VSFLw3ML72+ASfcNcB2za1Bk8exdlaLR
xgggwjBVLSLM7XroOJMwyCcDSrwkL+06usEna3Eac02DCILiJGM90i9gGuWp6zj8zVtDMVqPDkE0
WB7K5ggUnIOIam7yhNmlv2PiV+J67bFCQQZehD85axB9Xh/vsIuW3jUrf/eax9M9ECufZLcw/LWT
eP6ucMIQQkgbbxqhlkcjUMq6Vj0IxnUbWhhvVwJ1BoMdhTzmdTVbBaXEnUkC1ue82x2KNhjauwxT
yiMN0OFzVygbR1fXDtYa00TWXHmVTEimLeFHAyWi5iVQQrYzXZHpHgMAhS/2glkLXl5wm7eV99yS
+doYYT19Skcnu1Nu7+/qgbMKQVip43Vi7le1nRgAtmsDxpkqi2M2FMknr3Pbj6KzyZ1ZNXvDOgxe
i3m5CUzJeRRT5nLkj+g8Dp59m7qpecAxbG37zA7XMwEn/hk7bO+HrEqmNWZHc9NPYBJXEABCCoaG
GnuCE3nM0y00WB7+5d2Avvh+TkoCvXKZ9iB1lvuQHfeJ7jEdbUtxmJHGNdJDUmTpF+4H9z7LoZUh
aQrjNikraDOuh0Zezxb5sL56SpQPfjYYuDcVGfpxjmmio7JNnB13FB+MuuggrbXCvq2deNiETQGZ
0Qf/wYRBXRW9S5aZufywRS4dtkbCVnkyIkYYk60ObANmyu+iVn0yOBPtgrQw9i102KOTCPVK7s0/
Jp3VPCpEwhtgVfV1bcRDuXeUseBGUt5owcQcHSxu+erPfydA5IzJ2XBF07BHNclKw9AbQ6eSp4w6
4KlCKuumot74fdSyywavQ0LDCjgcjXjsJrU1EzgOr/+tqBde+S9XVCx6P11RwZ4Pr/ny45p6+aE/
M77Wb/jlLUFkl4me+C7iG/7mchRgmQU+FZD+YfH7tqISXOCMEP5DcMEh28tAT7cnm/qn3qyoP19h
f1xgOZGYl+aSkLkejwLxZoFlW5fIQEXxiQ5tYK22bfn3GB8V93jV79PWD0+j+ZLRonJsWsehEaoO
QmiNY0+tRDnu7dZq94TUQP19dxn/5sDEIOAvb40Px5OIs4Egw/H2yDR37uLmIvCOPjTv+jYMc/M2
UNDziCxFbr6yBkjBlmM421RGqz4mFmk0Y0fRSjhEXwIKru47cPItEimKk/9BIa3dgFyZehbsznqm
oqn3JNSuRmEK9Qx0LDcTJjYhN+iMjeP1RnCAn6k2jplXcLMsLJ9wKWrHz+W7ZBljPeMvMxgodPhB
2OmQCBy/w/1HPjY8IdRaOkecbWcZPrG6J7BhQ04Td8ryBgy5HDUm2ZaY6wuBfWiYsvalXEoTQKWN
vWi8WI1SiH4LIzciZbsxEklx6nE75TtI2tiUMkBj91WLY1N7mCoZvQflbexlquSpjTNrPyCIvaZm
Im/DEnKZh9/WiutTU3vdk3/xSoVwM/1u6K+iKBlPszEam9RXrLgFYdSb1rGX6wrzlZGS/SDjiiPL
wJplao+WkdIbTgVNkXwUUYSJyxzc6WwQXr0HR4HJy0+WbjulIxYVXz2aQ1zcymVIV7MKMYh1k2fF
uyA3nBfZldkqbJIOXcB1FE9mM/UezCBvHsa0sinACco7d1Q+bjRbWvkZ7FNnv8voFlnNlpHecoTe
Okskdi1y9dNiYnKsEmAIs9e4e+Ze1a7Bl5uvLUk5V2ebHk3LvnWY7ajZ+io0VohtLcDQpj46qkc8
amPvnqveXgVeLncZQPFTbNnhSVdznRLLLOJNVJnFxwak8FPt19nXdrJAOOaD0Ty2yAywyMR8bY+m
/yVmHr4DwNFuCXGTjxBkS4pllFuR1r234ro7O4XyAEsENe5zzm2/soWc19RegL5h1X8w/XG6wdk1
XrlTR8mrk4Z7p02KbW8AChFTSg9s1dsPSV9KYuqKA49ME25puLzRbhrzblkrJK6PLn/J2pgLnqVB
OGzdcLI+izhL1mW2LL9rGPSZlg+CFjOeLQd5mgqCLPOeeRIreGOkMo9i9DKkislekrXqwS3teQIT
2fbdrgtwppe+IKTdYvbHF7VsiriIEV26yHhy547crWMU/THEAXkVNi54qJnreKRHTnYrJlHJdZx7
1RWDVK4eE1S1dsZsm3VjsisgnGcr6hucV5gg+DPTYpJPamqq67AIMXU2qs3PLoiCHfPmaM3gTn+7
GHPA7mC/Me5Hr8BZK5Ch7v0KSsfez2vvmPfyXZhM6sUf1byNps45hrDJV6kHMH7DgKW+YSWcnuGz
BrgVAtDVGBJVZWGUljlQj6maFlhY0v9URX44bFwAUxlcMCsYb4i9kyOx4K2sSrqxgIHgzy6vl9rv
BQf4cTzWsYfzuGMRKSH8BgXYuxqNbUwpOCbRPt17crRAl1bJyJa06opb8jsN6X2mbasJ+K2xk2w0
xk0jYSB7LAdX9LQUsNGjonzPRqgFE2r3OMXJC50jHfY2YBB3G19HwHER1k8+WyjMw0PqbEwdFvcu
uXGpI+QjEY7zJHDxpmLK3zU6ah7o0Hm8DLDGminfsjyz+Lpdnr9mcU9SPb2k1g1bendIy4XxEe4h
uXbU6/BBIKikDFF18j1usPTvHB2IR/NrT8SFpuc4SMAg6OA87Pf2MJOlV4bHuJMar+RgXrL2VDg6
V0lIw4M/jfLRtWtS+RGGp3vq82jFG8v0wV/m0jp0sovvHMdpsEItfV6s0Sq6T/ViVuXKASrl7qXG
ARCvyT8nbdhCvLXm8dyDZCDfYU1uAoYnQI/Olz65NWaNGXBHgGCE4fvxK+s7qX0jmXat73WfPCPk
JeLQVNdYk+1dttjZUebEElqNN2BtmI+ZRh4ApbL4g5uOdZ4veU7Yd7UwsSQeqGsDwgs3IXNBKFgX
moK/MHpdmR2QBdLM8BbwsA5XfcBkSP/aDkaQXJWcJhJGIHzI0fK3XeK9Zja5YF1QBol3tt8Tl2+O
GYeFu9BOLF61fGVayYAldHP7liHPdRax9COpX8dLEIGEqI8hg42V5xrAv5lsbQKzaqDSONnN4tb+
3uHgwA+oWdxicOF3OmkyBZqruRaCgRUqGvF0yR9pYBqfMk22kCQBrxy3dYp11ySQL9xwfB01DSOn
CWYjAXAhU0CPKzQ1g7vUtdeggIBpMDYCrLFoxkZXj0ByeJzKKzvQnA7XTgByWB0szu2wGKAiye+H
9m6RdB5sYIaZ772s76ttq4kfcCeBfywXEAjmfKAg2QUQ0l9gIUHiT5ylSVPtmwtOZMDN/Jxqxghb
OH5dyWfDycZbw3Tyh8X0HvM5cvfZBVJi03aiIKwn9rm7YEz0sf02yivS+PSxfVo076QfIJ+AAuH3
RYECQBTDzqpPttuW/J3wUoQFOcW8QFTwJ5XnoCXO0rGc8S3SvJVYafQK+y4wLEXQg2TBv51/JmGE
29WinWCxbNAZWdhQshcZtNJOgeFwQMTyuYbEDejcqNvyYUpAfNYa9ol0lMJe0ARQ70IDJV1o7Iau
e8DDy8PaDdxz4tYJvBa+Ytep8Cx3Q5abBPfkMETGbu8AWtDFDJGGkYI4aF+CsG2INSojPJHinvQG
0xVyC14x3C4XsqnUkNPgwjsNNfq0v1BQm7SAHzkbivISJgHjNXMFFzfXhZ8qLyxVtifygyBLBB7T
1rRVwE/zPd9aGKwm90C0DTWadcxwxUPhS6v2kLdgDjbzFCURj1aH/Vdd2MHjPIN6rS/UV0cDYKnu
ZaFNQrvZB7VXZGdiVUTUWNpLqBjB/J6xQvsAtcP/1EIR39ceGI1VnubA0qxIk7P8ttq3nQQjZ8Ql
s8/EUjwyWj8Z9mnZWHcCSl55Cpo0hLDpN1/DynQYvGMkPpKa1R2iUPRXnT2QbJhBjNj9lRcsov5W
ovyfUPaLYx0sDS2Q/rNQ9mGhC6eKvz/VffuZb6c6y3SQw5jleICITXJd6N5/KmWWxf8FToMjFfZL
DXX6UyhzfzM5yDBtIK5O85V2cX4TzhzzN2hPNPeadLmheKGj/4tj3Rv/NWcm7J6OPiMKHm2hrY2c
38010MOsFLjudDOUX+KuAIT48t3V+JvT2Rs1+S8v8EZcl7NdlBiCphu+ufA8wa6Gn9PxJqUU8ZuY
+4Mo+L0IeDHsf68BoiaiAVs4Tx1sQ4Trf/wwi9UhlVEdiD2/WEydBSHMaqIdhYFgMP6py+Y4eE3q
KOjNvdmIzlAENNwlrU6mbWLm+gKENPBjDbNN6NHb0wBh7pegGn7nkcQW8XqQSHzOlenRXFl0YRbJ
pyAzlyvM5XX0tLT9LhOpe6KqmBLjtkYBW3hMUk4jgLateAK5kG44QVIIDt6GLgG3KNskfyR1Eo9y
7TnV6IP+qClq1HtKAblvEIAWm/TdMhfDVRG1tFsoTnTTjoF5YZdXfu9mG3f21E1g5e70yahNj6wi
CKIV+pXEbOI69q1jgI65yvqQSp0JH4dTbW3IkqFBJUye9XO096k46vaXX/5/q8YvVg3i7Xq89c+r
BpN2vs4y/X7Z+PZDf4pB4W/YgSCOa3f3d1pQ6AJuCykWDb5fLszfcJYj8ggUcD2f5MX/R2enl09A
r7AsVgzWmX+zXKCl/6i1cNf7gvEnAI0AWzeiy4/fMWnRazFgHzop1+QYWhSxN/bstjBxA7J1xmcz
Lv0bwyX9lTaLRr9wZGZMalprWimyLQR18zEj0b9spZjzW5w7mHE8A1hniNFmDlP71FeDBXE8xYXh
BnNgr+oodNj+5JMPCddNrgj119dmDE5+VYviuklkfgc1JtiTwkv2kR+x28wLp1/HpRFtOigRe5Um
8pgznTwTp402SnXsne1hoc+erKTQ3GnvQzqQ+ln7pcgYVkXx2k4GOrQM0R9Im0UP9UXXSrXENZgv
ea7qzz5sijOI5MheyTnotwhf8XbS6WFcsd7tBH4j3lpeyJMa17l5tJbIOeRSGK9MNtuvvn6ws5/D
aBaV8vd4FhGAKv3gp4Rv2Pe2LR8c4BonPFLsDkhBUxpiZwK7GwU1pJAU5XmNjctmib2bmJ6zq65R
xmt12WhYuL1uDNVWxyVtP44hJPNsEt4eqMb4Lmn6/hGb2Qzf21DyxYn8+KM0ck6pg+ssK8/DBspR
MoQvFVTHwsxh3wvNhEzcMIczy3jic3sBRwpn+uChzXGlq+Kl0JDJUOMmLQ2eVBpBmZpAtFXsnnLZ
k5DSkMomIqYJPbbb+XPQiQ1hctwo5jIIvC2acBleYJdcpYG/jbjbjilDcUWQJlpLbG98UA3M7DQ7
k2eYcchceJrEKDUDxUk+5H2KijNVjY3pcCb9XHpuZm0QBKF0JhdiJ4OC/NhKh6ztheg5XOienCej
XaIYURfxYrJn1RxQRixWvHI5UH2FsQcotAEjTWVZ0bHvz5LqLvVwxTnt4l/HslYbVy3UesmgPDc9
HndxYZLSDAOflPAmrFJSwvF76lmEtwppwHshRq95aY3r6ZWYf6qhkpqCZBy+ow8MtQ4q60aVbngf
R6gp7NG3jYanoi5uPOnepAUno8oHsmoyCdJWdiPZjBrC6mgcKwYfyKyZhrSGGtdqXMitRJqhuKKw
WV/aSbNdE415HVEgMLouufXch0VUEeJtB/C3VfuJ7kqxDhuUoFwCNOPw3S8P3eQXwcGxc55qMgjr
QyqwNIUX+iznGF29pqG0CFzJVYu78WXA1wVsz+GmXftSgbKNq+BTpvG2qJeQbmcNvVUX/u1yYeE6
Fy4u5vYa4zCwXFdjc2XqvOD2aTZeI+2zNXjL724jibJ2GCIrgDBRBRpvgMRbXKi8lQb0spuH1bv4
YHsp9+w35YXl22usLyzXftP08p7pNX79NuX7LE2sEmg5zjbQcGBGNeTDRoDBMz1MGwfr01ZN4IRJ
+vkn1+x4OF9ow1KDh+sLg1hqHLERAiYeNaKYGkWXEhXNLTYuDGPHl+az0GBjpRHHozChHQNwgXzs
awhyvNjtTX4hI9Oni53rwkvmiJF9gMIARbm1eojKtNYMx+jCWQ4MkMujr+nLjgYxt2YIk9nVeGYH
5+BrfWE2UzM33oFFME5RHMJ0zvDKYxTRqGckgvaTp/HPLfHh58WprLN9oUP3kyZF24BWgH8B1r5N
gNjnm0BgNvWSifZQgbd2bZnNY5x3zSbIwwkwkQTWUuTtxqsoy2qWfjNWVXEfUiK1GfEZHzNU6W1t
Oe1+NsunuHKHfSeniKYHXKSrDmoReMx8qdYhZAbozLP6ouxxJqRgee2mtodya9Z66laYQXaLS6EY
hyuHWiW2Xo4EcP9BUaxaHWgGrHLzY7CADBDA422r7z8OA3VLt9EcUcyHkn1rZfjTwYzJB68szAfP
8uM7lsV57we5Oo7x9N51quqhpXL8YbC6CDpcSlBhgr/00TZkMKwqv5pOEDby90HloXd2E1+rIG2q
Owy25R3IVqhjceliW8qdmzCGmlSPSmwzV8YQEnjkYapY0hv8aMOuDXx8m3ZXcqYMTd6ul4OG7zg+
r7qC/RtHdwEaUnYeZ1/evpoZW7puFSmO03306ATSO2ZpPj3BpQkAt41R8rutR4vVZcpIY1F9vejR
I4MGhpB6HBnzwV8bPaKcFulC78GKPOsBJlxjZpkKK88htihXzQAOoKv3w7bto2GbXyahgx6KUpHN
WJOhxJo+rLu2gCTq6gFqdJmlLlYePUwwmWso22c51zG0Rj16XfQQNtbjWH09n6Qe0YaZkgeWC3/P
fNe4JXnALFeIyb2nWTf5AvY81b5jiktlO6MxuWa/nBY9FiZHMO1Bu4THUQ+NZYRRetSDZL5PnAtg
I8Euv0ya6eli6qwuA+jLLHrQY+npMqGGlhGucUNYWxwx5iFrC+d20ENtRY7m2PFgJEsiphsCbK+m
HoJbl3k4AfT2Y6qH5OYU5cdOD86ryww9vczTcRqiBoBedbVr0mdQk+WgpxjCI7vB6Ost71noEb3Q
w/qeug3g9ZcZvgJ1pbZSClE/Vkz5UwF0fTsmZO2u2osPgNZBQfFTOYXPqTYKuFbYtXfexT9AxQ2Z
AOV5uYuWDzHrWniUgxIFu5gPUC9xIvDg58rX2qAgcSrMHFHB+mn7AlkgXbBXeRFlZbo0V9Qgmkj7
lYehN5KPbmO76Wfh8RVfQzwx3a2clIw5lFCloryzZc3z2O/rOE/N4cQtK2R+ojnEM7rP4Kuf2fvO
H/LcqF6zcRawzAf/iSFLcyK29tRW/rIt7bY8+m3XrP0BqLtfzw9eoZ5ZAL86afI5671nH1fRC0Yt
6GAO/aWIUsOzH1Kl6PlBcddaxXZySuOaXw4BKNmQOMv79qutXFATfUOtyGpq6Z3ARJsWB1kv/b3t
TvmyHjgZMj2QYRw/Bd6AQKWEuk8U+x2cEfSYGqv/jlD/X/P0UAQYh/75CHVdD3QCv4Vm//FTf56h
gt9wFglIs3bgXGbq/096wb9kYm9FfQk8yyakyonpz5G6/ZspmHZzxALxwFELSePbYUrwF2KI4xAk
oNswk/pXpiX7jfjCiY2KCp5grsZz+4AIfjxL4dueBjoa5ZHFmv7vLDOsBzNpFdV6abOr2yzogXL5
5ktn+NETiQtJ42cVnQyZUunE4IU6W58vKRmLPUWLoxbzC0CiDEqfAsgeGz9paM6pzT5cW/A6b63K
GH7PJOjtOYkp+iW7um3KIMVSzmpWm04yb6iwHTfEWoDSxCarZ1+y1iMAe49DNcy/iP+/cW1xBQA9
EFjhMugKsLe5+IydFQ6Bpjky45vvPLpV9wyLwrXoe/25eN/f3SJ/o0a9ySVfXg+fGJWzuNPQ0N6c
XkmUmXOc581xMqS9muPihWnTCDeKa/DzV3qje+lX8glio88F1Jrhcfvxd6uILXDE9IojnOhuI9DN
GeG5xp7G7PRxxKy+X5Isevj5i/7Nx9N0S4wa3EyECd+oeZkpIBEz9jsOHkL0ytDg1w7RwN0MsyuX
P5amf9bbfpQCLh/RxVqCTzRwWDffXMw4DKa0KrPiaJmTm58rsoS72ZPWdDsU4dPPP5mltbvvtD39
YsTJeRHfpocNh/qP15MMZZGUuZke22QuSKkkmCg2bVvW5HwsWn2WZL4d8FFcTyQrDxSg9c2WTu7u
X39mZMUAUIWJFcdnUfnxbRRW5y/lwKiuZQPAhKNbOtqlo+gp9BrAyj//0H+9hxBn9RiSxD4VK28t
NxKHgt1LL6MzRan7OpBwjgy+wTR/5Mlx6VKUP7+ikvcXr/vX28i96EU4FAigQ6X78UPmcTalsddk
x2pqR6ah/DbJ2U4T0LMh+3evhVDL3x+GyNn8etHK37yWg5pijUmYErllm0Gyys9XjSmXq5iM8buf
X0/9d313D11eC2GOSxlo4stbo3dW9gyHGZod1QKnZ1NzhjoVqT1+w/f+4xfjrR9JfyYXV6t2lOvb
Vfx4/Qav6KRXz+kxMt0xY4zEIHflLJUAbW67j0maIu/OsqeuWOmM85YRd3L++Wd9c+/oz2oxWHD4
fiIhmm/vHabiedpSfX2Mxg6jqUXV9yrmEHSO7KU81XGAj8Czl1+s53/NSSBWsgTBpAmw4f6Fbjui
BtYq8tNjQo/YB5l55Yk8wHLTsKfeS7sBY9Ub9cxGdpljfx3B/BmPk1fNX6hbauVrM4bliTp3QOPa
i0uEnj9UZtz//Or83ft0+cUwSGF3QEXkm1FB7trRpHzDOACv8F6WZXDkegSgxa+o8CYPoymzb8R7
w6c5sJ7Av41i0bSmKDoOee1cUZATHelWsG9Cw+v8nTcmdUafTeiP+5+/17/eteA6mPUEmNwY0r99
q2ZIJ2tXTOkRag8FwTkMn5yhcddvf/46b7713DF/UGIQeBlm+G+fjakhuChGlx7JP6j7MNUKGKQK
9wrvq/v489d6u5xfXgwwpeDp6GJS1NbJ7+dOS9C5nTNnLOeQ4zZxEI06vT6sC74qO9jfMQLbtFxZ
wCafDVide2bJ/S8urGW+nRjpt2FjG0dpZ1PA23nzVClkYwi+GdGB84Jcjn4hWEz7cLabYzw06h77
tPniEsFYpynJy9XSJFnMf84ljZal6V5RxRydQhSEu34MBQG/llzkui16utMEyc1zkXTRKUlb8aAK
O/o6gr5/HyyFOqtCAiQJW+k9+lCgTqIM3KtRmiy4XTmJB3qfvUfi/+aBkIx1nVBxNGzMJoWc7E/q
fokje1gVOH1gT5n95yJazBdFpuSM2X1RK9Ca0dcyMNzmVJVtqVbV2EQH1RHAxaMG7G5l+yT/oLPS
pbaqWrgnCe1lrwC17HeTbTftaiY5BKiA4rmvxdg706bsZ5toapAl59jmm+24LC2WHNOXIWHxrrvY
/YqlLxAwTtk2Mgc3g3g9pWE87KhldPaTY7IZory7+wIqT2yrrPWfgxY6JAAzzeTg2x/nJPNCXr5p
6F4ORMfaiTTpPyt6AYB5hPHZ1z/b4TCgbMW1aetKp24iqVMYTyhky5nnTPG+bZfp9nJ5I2/qt6JK
zPsGTG5+gm9aJMfIij37JKgNPOc0TSFgqCTD4ndZrQZruZI94us6sGbjU1WTm1rX5myZ66Kw1GFg
toELxw3oFZemmTw5c+p8GOiINuABmNWdLhqrNpnD3zMhgpypM6OdvPXTF2mGU7WKpFzifagIwq9I
ULiPdHjY7wLwogICL9e2tEX6UsSl2Fmydj7j7yE9xJemoIItLdW9O+EwYnYn5ztzbOfbdMENvvEd
K/1UeD1LEwLWe2sxAXfa+j4sdQ1sMECwA3MR9OlGzRYbGJh/ake1O/eSX/bqHE8L8JOIo9ey6ruR
xLJr4NjVtYAbOIsokxkfAPtdhniz7rjBthCxm8/JFJuYXAPuXmq65zsZJdCuhoQTAxUBxpOX5Fww
M3aWc2wU2SkPim2ocEjN0plvSUa1O1oSrUM8qXrbEotbL0Yt72O0iKMZyOoK16qzTks43J7ozLNl
V+o0wOo4MFaPnuLe39aObmzxqvy88Gpr6rj821L5e4gSBCuqaAaMmREKpYRm1Tjl3uRUj6hIQ7lp
zAq3l0C3JDmxC2dYNqjERb7mqqJApONtCsjylFnhLklaezcNSX3CKM0gwRhQ7ZFZVm3JxyryQK5J
zxe0ylFqLToHv7HrPEvMvmdGsrcSINIK+WrejEsAIwYg085t03de5AHP7RpxxQR7bQ5IM01fTfs8
LKlGVxYYS2V6BA8ctUrD5KFLlheK0T43g9FtM6OkZp3h8Upg9jkaZvCx1b0LRCsaALBzwFMNPuyn
0nZOsD4sNOb0JvFSNCbHexrH6KquGP70xFG2ibPMp6QoWYAdvUcqxXLjpbZNGL1r76206E7G6ObI
zd517rdL0KyckkrSMNeLSNz93pp5c1ismuER0UOAg0tsZyerdmprFRmxfz244Nzx08AXxWgn1DsX
7O5ungr0w34UYAXgE9yyUXKSzeRpx7JvFu8kZXfv8IpNj0tN0h0PZUM2ldL25Zz7ytZVdP7Oyfvg
S1Yyo5oLbz7i0gMCHbGLPjPIfwAqPD3407JsbTUMW/38cSGjwAFaM2osIRvixvL5phVHvOJsBURO
Ladc2IvkAS7hvPK6tWf6KUsR9GKK8ngi+HHoH5qMow/xj3xTss3bQY/HZDSNeOlkI8rbzuzf+4Vq
NxYO5xunVVTSxrRCZZveQ1DdYSYvr4ymy3dVlrtaI+52oMLjDz0C25U9zJs+jZgBToOJfSCYwk/Q
dzoU/Up06XpknTxWoUxOdsu+HYsvkr8aS27MjL0DR4TCuC8W6W/LRX4EJ+3C9u3H58Gpgv/L3nlt
x41s2fZX+gegARMB85pIpCOTVnR6wSBZIrwP2K/vCdU5dUvSbWlU9+t5UhmRaQBExN57rbk+lJgy
Zn0Qtz+bhXSeppFW1l6XiUZqwDitIdOcx0rADvWyeFcY7m1ihJEIW1VV+5pqnAMVtHegWQiktjb6
9mttum5Qj+l8apQFj1ToZy9sScLFcXyJgK/kCFM6xNPk3i16hpDBLuNTin/wprQpWuOzlmh0H1Tu
nbioxPxIEjrZhHNFntQg3qdF724doqCOU1N2W7dqzK1rcwvYaUnQTxjJ/eiQ6Wu7agiQkIqHjFir
m0h1Frk5RnoM08Y88w0mW4sJWgN/aj9IyY3tlWcswLofFp55EzW5PCCrtC5p9jHZqhd5H8rG2Bbu
WO1zfal3OTbM136NSmShafyhQ13tu6pacaahdPfxUJqEYI1ocqMuBEyiT9ZVr7vVNeAxjv0eYQ6w
hLS0DOZMqwT5XQMU+qx0XmRm08Spmuhi0qRbbcNQ5McZMOhXRTl+ycSnx1imTS79a3A1PkYC9nQ4
T+0qCZNXVOzYtPAoUQAY1Sk3ZsXTpWBZp0V+U9tSXbsEGhyspos9P/HcQzEt7XF0S7C0RuheVHis
z2mPV0pEQ/GWlchWgwwg7pOIgNradpp9eLIg6rx20MKTj0MvKc3bR6ervxT86qBtKnSbnlxM1Jvh
MrzqaEGJd9I67RjVPWdZ2HHKb+JSbkVKPBjonsTXK2wQsk+CrDDfR+ZmGKvqEK+rZ3VwwqP5jG66
enOMcjgBTUBm6rEHonxb9rNkso/iWd0Y+tC9pW3Gmt3k7BosAm0WKYyoTpPJB6X3pQPhFfe92Oii
nOKPWCMaSkE/gzUjVEmZpLQP8EslBNXavEpG2T+Q4Ty8iTZx4c16TBHXDDLSOvXFRXEoZ1jQOFjL
ojxotphPCN3JVy/s4WlWRnKlZ0Wz1dyB5LS0WSXjY2b4nKJwmpizs1V5Q1cDWDvBskDfeFdqOogy
1c9iTPJtno3sGWiImf8D1bbJR8+qeIVFNNPBCEd1MlpS07ZKmBXL2bxE96AVzNmfpNkfmVuzjRh0
h7gvkUMCcVngRuSevvOyiuvGprAHT6tO9ZL07zW10SpLzbelVvAtMHH8EqJgIpqVI845dmqzxE3Z
Tgdbt+ClSNN61cxa+zDx3FyGLjlGslxS36j4tZOYvAejTGDJ9LIFMS4SjpO652N9eOBgHAYqtMlE
y5o723qMEMvD7mB5DfOQm6p41GUJ8c/V7pxhAmbilAuSJneHN84GRE3Stsj0YjOtEGjHieONUYKD
d6mxN6W1gnSm5C3LzbgEaMOsvY9VxVYZHfAImrveHr+qxfL21PLCb1rT22WG6/hZYZ/MjvmckQDJ
Btu0cxmR+tI1ta0Tcjvr6WRczLLY94vxutT84rjq3b05Nxko6Dkn3yKZ7hubGYxJiMsZmPKHVqPg
aJaiBCsxmKeExm7AfGI6JdjbgevQHjCngeFq3fb7OlYoTBTkfmp8dh0OQicC10TQeQkgqVF1l7qa
0svMmPaZDXbG4sDlU1Tb+Cen6xE/2CYWk32QGNt9HbgTpUm9zXtYSiZHwZvJ6PSNygHcuKr7qlqt
CmqSGvaGDR6paDxG/Vqxa+fahvFA72BBcZqO3S3RYq+JLXZVGM+cU7wrMtZOhda8jMXCUCw8qcp+
qNvwzJJLwwgxyIXdLh+g0h4Nz7tzzHJfc5omRz5/9fQE+ybUGMh23pvB+NxnUIS9UjPkA4hMguYr
823yDA5WWsQiH5vH3G7VFubBLoWYNCG+BkhovxeDRx4y6Gs0GhoVQTT2/dNiLe/TkBxtQDyI7vNk
9Gdvjp503JHMRls3O2GcghI2z5ukIhrBWIKhSZ4nEMyMsmIAag+6O/Q4shq4IF1yD58oBk3jZX7b
DP2zZrZuMI043AZqmMu+h8qDnWN9zGf9JK3EeYYWWKLkbWx328Vje0wam/YonGrKCceLp301Ghyh
MYcIkqvthZgVqbW7uJjupGl7f+g2suWTVoPoRoTvgYrcm4M5WhfYDrqOgGOcHje52a6/z2yy9BWK
ug3EKsWkxxRXcUc7Y8ZMlK6mSNVGT3OD4TH21k3GeejgWL2jXaleAYbptCpFSYSFHw/OSMmZeYnf
9mb44kZZCKvC5gHkVRkxABejEDFdCqmt6VaURRG3fb+tWF7oM60zjbnqw5cethBc+4YaozIlyXDL
dNWwxz26TTifiQCiSk4cLVBzY+tXqSaTIVDAr2+L3mFZGpm8knawVidGMg1f08Ucr1N7JtiWoJid
ETE5jLMxfEHnRZM7Eo5xZ3RSBUDwqESQvutvVTXa8qziYS15PVXNfkzYyVNDxsvWzTVb39eG1R45
2/OrNbvUCDWkQEcXj7cRsAb1FQmjX+wcylHScvzbiLi+kS1Jo8ZQHss6SvE2Ve3RzDo20s4KT4AT
aApgyz67vUOPYJ3UfHu9oRZaMGPZOYYEJeypE4a97oji+dtf8dzCvNNtyv7KSb29I2G2o1OqX7tC
UYNNrUmXwLXG63Hh2KNRbDLrWUr73sv4MnFqS8ioqtl9axTX+cQYZarcbZ/RN87BCuubJIm9vebx
Fot4zE7Q8cq9XcjuqUoUH4BYowKP2bTcdjRebsCAG89Fr3PVEU3wnsepPbaynG6yifPuosX6Ycn6
5TzV86z8SedziYJeeC0p+5ohritfzmmz56hGbd/3uQM5PQtHgOQLXRGalywGPciNUMeEX4lBNscs
1IuC+19ftEuviupXmn/JXs9SOoouYUFt25kEPXqKlgymf9KQo6XaKYLsBZAwpV+BJpUXVbowIVsk
zatwyU7f7jstKZfdkHIFrIXIQYJxGNwq0G6bYVqBJH1chx8aqn2aIpRZt3m/fid5z5TN4F+5VtNV
5Qx8bTQpffiUy5kgg3JPMp0KUL4tZ2cOx+slB+5cVcDUbMEdoMTKhPWG9RfmqX0fAaQMvBi2SZ1j
rFJO7W4neHLPhc6PYP1oj065/t9K8W0Z9sQNa1jOfB74RQHOOk9um1HTn2NyXlJEApm3B+tERoDG
8dpw6LMSyEfBb2hm+LEAG7oYUu4ma+GXppNWvdJKLIl9hvn2oMxVXWGM4WlAnfgaxvp0A1KXR0eL
eYSBHzGbHFV4Cmujes2cDjceUEmEiN3wLYUqD407igM+YWnatL/CKMo4AWMa2XtlYl5St7RPylu/
3kLPsxOJDMt56CrzbszWTLD1gSXVJv4DcE/9ShI8Lw2oZjjlag6PipYrgnEXYQCxB36k05FTDT/n
tUl2weL71ssOCZyRUHqo+r3UXc/3GObtu6ENT7ri6igV8rBPPIFhP3t0LErSXdpBBVFlQ36jBX6u
yZF6aUdMxP5iL8ZFHpnGdWnZ4UnmFu9cUfnIbclyuNctSfODsai7letdMNa05mQtaSmAyRgIk8FV
iUij5y5xFv0tQoX+yihSq3C41jzTVSvDbUV1ivWS9dETfFPkO2qfkW+FH05Y84E9td6DrT5z58k6
POHugw/kkql40Jze3TquQ9nn2vHw1bWpkwn1MKbnrkqmL9PgMoXqOJC3tFLrKIg5VrAzkjx/aXRD
Cf5V9Z8TfXT/qAcRfsD6wbYtQZZtopGdSSRjs5ulM5PVVHIHDF4TvqQ2aiJEWFYbgo+jwb0FmVrN
f7af/6MV/51WnInJL4UON1/Lspvz4fWH3EPzzx/8l9bBEZ+wqriGw8gJ4Rn/9JfWwdU/Ie8xDMjv
HBlWg8RfWgdhfuI/2YyKSfWiYSUZZf1bOO59cpg92g7dZRz/a3j4P/CZMHL6YfjmOkKs0Vm6yUO9
Do2/7/jnhdXxjOvzQRLyOW+xhycG9ofRujLDCZMXyBOyewqaN8VuVHbj0T1rWYPW0wWe53ZMfeIY
tLVuULncxgzAMD6RhbptPcZGKuTQa88XxWzoWxJXJmOz0FHn9K6RJJIamPwWO+dZ0CwiHHByzzW9
FAAYZgAfb9lryJgeQem2J3as+IqJtx442rI8hGh3wZEA/w5aT6/TNfO4QdzYTuVBxwbqbo1Jd9im
LJvOhgGkbFPZFmcwvSb6t+inkMZpSbjTknzVDCN6HxmsnCd+5lnOdMk47XrikuDnEMOv0+k0Yi3O
DpteRrAHtVHeAGHLL3CLpNdJFavzMHba3ghTUvx0mgKbSg1T4KIwo68fpYOPuzbyp2nsN8QKwFct
CGXBMR/SbcslPeaWr9nQEK5vepNIWqTifVA6tjiYeLoDDGveRiTCONEJKm4UE5CdspfiVl/y6ibt
3fY6Bq5rEtqyRns7Zu2nYCH8bIydHdwaCvpV9YykONKD2bHHmGCRmmKwlPqT4TjqkirmuZORuje6
ju6C29Kg25pwovHr9G62L9veepzyzOSIv0r6OWBN/sDyeIYrl2xnS8/8Yt1HJO7aO8emjxbYdihP
ljbqHxB4ykAUBuXiTeHl5bYbUZWKSL8RfZ9UPnuPtWLs+hcD4PYD/N/peuhS6XuFHWidq3xZZJB2
sMfvrXLKT0D4wkuP+eUtskJxzoT5lIzC3oIPzKgk+3lXYoW/n3tcu7Ymi8OoFzQxSJvOsjS9C2lS
X9OkdbbhJMYjBu59llpuADto9ONep7Oz4DDjhFCFh9QLJUVpQWdlHN8N7Dm7SgAL38QqN+64yRGy
TVNz7Baj2MBLJh6OQ/w2g+GHtFbeVtxtvuF4F5VOW61wG3urxd3zAit/s5D8sYvxYtKpcHmXXSz9
qEcXbPRGcsqBoT8Lx4mOdR6vabx1fZ5p1p0cAMLbVIuxa+B2BvnbxlfW0HDfcNuOmwmT0r7GZrvp
yzjZproIST2yexkwzoSXOCq5QeErqmhvi4LY0wc3JHZ+13HqoH0ujUXY/TYd4yh270aCqeyazr/n
9vemiZvpXnaM2gXK0Sw2Hg3BvUBsW5pQU+rOLWDgMH6axMI4vSdYytqVXsWGnWMl4PWH5MrDC/nk
Was0I0+ZVPltiF04EEalyWc0jWV6HKsVk55jC+fTwJXmTNpC/BxInU7EeK+ypKe7E0Vaal0RTDWk
LxkUgKXcok8vHZQnsjN9ymRvQW5vTqxsfRJFL4WRRODPOJtwfbSq4PYc8ZIH07wYlOuUM3x8d5yd
aJvj/3CDprBUFh1m5YoXjkmjencyz8jsF74jrx8IilPVKVGlhc+gDDNl8YeNrBQniMRIH+u9Cj+X
GSp4X28swvBM1eJVRvI0/Wenhs2TqPl3OzUZjmyd/7Mk8err+F/nr1PyXn3n6/rzx/6ygyIv1AWU
MhrJNjkdKIj+bQfV8XyhG9HFvxlAf+3TlsMPsXtiVGSNZAbJ7vnvfdog8GNlibCBOzreLPef7NPy
B7WBDpQNQSJQN1jjHBbED4P5JqVoGUFTXrZmn8yvomLICybYUQJclKeVHv5w9uL5kKCuLbTj+vTI
li6vUx4gbOt7ZLzkwVvwq3xNr6U/pfOwXEzkdH8lYtXZJjYo2qWBzx3ZGZh1SNizuIcrCn6LqIDe
NOvuj9wp23yjzxEuuCBbljT2rvVEU87tUPWDYQW1rZgI3VuAbJRv04LRX3KSI5OZHDONUNw2ruA2
nBKsEP7kOij7h0LO0JCjBaZufIk6uand+9h0loqTxeq1NQOjIJip3TBFKLrPnUuaS+CmBOzpT0A9
1NLvy3pwzcLv9KLUL8gIyHB/6M17DC155zT1fCPNvMQCMo8pP2rP2vKlLhkY/ant+c9R+XcPIEv9
L4/K59eue32PexqWqvvuGfzzJ//1DNreJ47KGCJpoawnUo+H4F/PoGN9krptSYnmjlwqDst/PYOc
lVf1IUxDqIffssX/egaF8QmvNo8O9ksbbi4P9T84K/8oxHF5BdRwFqAvXuwn+ZhnzbaW1Vp9ABT3
EVcRLRu3wgvj6uM/FN+tr2SyGiGBsRGrrqvb31U4eSlKgQ6AVzIXwnH0mtu1mjZgD3r/bwvh74W3
fF2sW/a65uFoRX+3fua/+cwjpcGshll0IEG4pxTXr7sBkJPdLI//+IVW5RkOVV5O57W+f6HByQ2v
ahdG0F32keXZBxzAj5Q//zcvI5G+Olzxn66RIuiGA9RUH0KNzAPPbXCdofb1syn5X3x13KsemkUW
UZfS6ftPFGEEFFXMJxqYN19OaAOYypruZQs/+Ncfav1Nf9dHcpGQvHNI5zpB5PyxRHMG5BwAj+pD
PNKj42h7N0fTo6HNj99gvL9+sVVa9dOLWejZkF3ZxHz88LFo8Vc8m1V98JqOnkZXtIeUrvCGA9wr
siEmaQKJNn5Z9c9vRbAKFhswAl4Erj/c9HDQe+JxyvpQN0l13yN1Z7aoZSS78E+//ow/bKbrXe/a
1ECsCg6BXM4Pm+nSp/2cVEV90HqItkzk5wBuXHj/61f5/6wX370KS9bfny2X2dWgEWNz0LxJ0hab
HvH9lKdvW+P/7ZV++OpGJM+EuPJKcd7PW3tKXxekO0B+f/t4fZOqf397YFV3IW6j0BQmtsrvPxR2
aOkWVV0c6sGstrU+aOitajXdLJQRgRdSOBlea+waT8qDjoFsy/nfC6xGlKehkQxIx4osFXeKOAxw
nH534gSr0BphtAroSRPIPlDgWMdoMYZz7SCnYMLPecT0qmZ13xpYzUNshRl2Rtil8uBMBJvMrWc+
EchbHWWYhl+GYpiBB03ygJU3I4WF7iL5vi6alcmOfJJ2tIIk4cndDg0hOkoRYNFneRko5GH3OIPF
SfeW8b3Bgrk3lM17tw1eJRXVBTKOgZ6H48ZVMIsctmKGZT3peD+a6YnXgrbJNmOkv6sIeyRWbKkI
FhDS9kknW5sJqPCnTWMpxpthW+8aPZwCzPsuo4Na8wudT7cULFzId5TvqNIE2sbiEkcJYHCbLQCh
nrEjIrpicO4Z1kngyd8T21NdMLdHeF+QEOR6CP1g3plPUTzIiyky0i+RW+WP9pjBae8IAGvswnwK
+exrGpVRv9SFID7eRhyUb5gle8q3rHm1Y0DRIElBtPljNyKGpO9b3NI6Vl9CvpqLOG3qa7tPP3Qy
Yfw+tc0nrCsfUzeG93QoKmIh1ncPeGE18xNT3+JZXz3bkIZu0gTaeIpI78iKrnyUjcl+iHILqLRN
RnBu9iV9VmS4GwKOk6sIUQWDpqj8gNNlXKFm4kvsc1lST42uS3o7t31OVvNp0UP3Ei1VGWBn42P2
MeMgwWy0aOros7uYfKTISbIv3kKTmNQACn4Zw7TOiYYGP7K0dr5PSky/OJiH2sNFGw7PcVhDtjeN
AWw24kNA2LZetpcaY4UnVyvl56nMig8AZdWJz0h+umLlZMTXHASDrMeKMv+zhQ4k9WWLmMdvBTG1
8O3iodrhQPUu26m2Np5ncglUOJHdPKG5hS0VZRrDbRsoe9Py2AnGMIgm2OKW2XPhEdRDv6FpV8eP
CvfosAcNkL56I/wn+sXD2XYqbPKJh4qlIy/lbmy94Xkhtnsv617lO2w3ZrJLawv74pISzLEBukan
ismi8bZ4nPxNAryQX63Bbfkou4cBI8cLkffywpnJyixIspKbttdIY4aEBEZzRKpkZFwJGUfZl4Z0
vRNkyzJoJ+pyZssfwO+8S4hv1ok3wvAzKuatNnekoMWFHV9FOHsDeJMeoAeuUG+x9THkzv3Ybeny
I4q9T4cWaVdcT/HXsvbkoczsNVsqZlwrjP657mbwpkVF59/ruREWRDQnSFdMTFckr6Z0HzDN3muj
r6pvnW3cTfdo5Q6qGhDOzsmpwCQc9CGjdrZC5zbueSgN/JfB6mM+D6r1gijjOQdITGRX7WRPLtOn
C92bduiOoMgtU62w2WZdBlxqjQFSOTc1qyIRFXk9b0vCR64tDpW7RuOpz3r4owN64A0ZOHOwtKxu
SAqGvbHuu7Xgc5tF+krolHvtkh76mk+de2sNa8xiNJKdBXb0NPXcUUTfhF/WdEJfz+cKVzcfX3YL
jxHNJ+8akMf43mkts+KoY82JRebeGnbbbISevyK5crdty/pBiolzuyRMPUx0sdsQKhbqNqt3b8Mq
ay+NsWcl+3bSQnfToL0q6BkhzseP31dbjOrVtq0IPUzW/p1JbO57LMtjjeF/E3mdzh1Mddcm+bVV
q2oXj5bLRSjq665Zz9WVSSAciB1W8oYEONCSws8cvh2iBRE928BZv626CHlfVOYaX/WR1WpY7xFJ
hMhVFqrkKpUktQx4uljjOElsNE3JqzSSuw5pkz9ULaRLa02uUNXazbSrh2TiG1qcsERB5LS+0LrR
77nC8AJ1Is0idoPPA5FjTHrKEhNEX5CCzdqjRaweo8dDnw3YnwZgaDsL1eImIrH7ygpN/c0zenUB
Z4DzaNVfu1mXH+ijgTKJK29feJF2Vm1ybWF9edbStLueJ/rKdJSfEt0an9xsdrfuTKCZWAx5WLAC
BMRoF9e11oY3efbiNG1BjEz8UUVAUpC6PPA8P7aDjqzGrRigRwVaKt2qr8XcoRqqkDqzuL9pskIT
67DpoeIWRy2JkWmTNHtqS1YcvXANRlMGU+OFS1r/ucjaoqt3C9dgR+2FfMmeVo+4KEFP5FN/KEwp
2n0ZMy0w4nrcKKBMCIjA0hDPR5HXcIukXrF6GfH4jo2OoKYGZFKS/NYi0m2o9wGoJMXGipgeI2wY
m2JTF+ZDV5jFCRMwZhlH6bVfuX1zgjzYM7ooZjPfEgFUOfbFPJpMw9l88pb1ryBh5q4xR7p+zKxj
bS+SoYhPePTBFaBQCQf3JAb6e5vQ7i0ohJzF2x6mhNc6H92cxu7GhZf+FQ4IaaBJ5BzpXtQGyh6v
7TjdSB119MS6PrtOhlpOtUrd0Fsh1SMVvQex1qVFqiDiMO+wegN7dGd0X1yCi5TP3PF+TK2JMFAD
ust6uBZrCuI8nMo8zbZIBN6E2yNnJaVdm8ETC6nFO5M0zS0Lx3ALMFVbpdcaylWC5tmrzXnPc2qC
6ElRjPcABg9m06sADstrFssscEYzC0wdHQKsO+QEjJyvQAUiBp6iVt+WwuxhWObWcsXjGr1HGFr7
TWZ02iZ3UDAQ3aodk0nq7s4Bk4CNymb5FhGnE6olGtCjIFl0W/OBD1k/EsrqzvJ3Dpx1QPZ9rYLZ
l9ofjxogN9Jffjhhd8sSib7T8wNyG9YbcwT7GfVIQbCOs8pxtLyaLQ3xmUmrHc12S05li95FWUVE
QJ73u0LtR3OXu74fOgSGQ4eCYveHIteJyLtkQIUzvTAee/hjbcaaOjrYpfP+LqTFvPv1wf+nytAD
R0dpKARNxjW34fvTeIc0o4jGOkfoxCGsDHvGBmt0dVnG1YVGcPTx169n/FTTrC/oYA3CbG1Z1o/+
oJLpGtr0LGdBQe2wYZWotkmHh2WbtsUrFjIvyPAdXNvSHW++bTuYlkgqjAlo2sWkVPphRupjtTTD
furY13/9/r5x8b4rT3h/WAlxLBOXQCfph/KkXqOHXATfh7goxKkfuuKjsuBob0YIKegREYdPxCzm
PEhxSjrgihPeGBnvuDY4aDPkfOUoU55ckwHibFJ5kkFMAErOHOlCmAkRL23aXmY2yTGwbYlMVH0o
D1HIqmxNFK6BIJjw3hK6eLVsvN+AW5ZhD9/fuZ1Dgw04BBj3qCdJ+uXbrkg+m+f645KZ8W++i5+8
XNyN66AYC6dtEx30kw+YzDxUNV12UDZhr1Lrqg3SRIw/lnhuUHcdNI6NG1xD5k4iX/FhYJ5+fTl+
qrM9JtSuKXkjOK3xy35/e6oZy15NP/bgUW/vJVzxC9wLv1sGfupY8Co0KkzbcoRJuNIP17xP+iG0
yyo52ILDM2NTHE70of3G9Kgz7KxCF5NSPCAUGZ5//QHNn6bnHkcUkLbuOsgnQOmH18bNKYY2H+OD
AFQSEilBRKwWht6XoudojNRSzteeRlwwNrHHzJsb5KZyRFc3yMhXFbO5db0FNwKIxbWCSNUcJ8EJ
Hzh/e5dpVXZ/NOGqGdTCjsL127v/T7/6d/1qdgq2kv95YHROyvJrV6nX73rVf/7Uv3rVrveJNDZM
TBI6J025v82LPOdb1xn5EDJrmsU2r/Vvfqj3CeQF94tAe+2Z3Df/r1dtfcJvjdLDsMju8fjN/6RX
bfCAfb856lD2SF5AdGTyBhlA/dDksrjdC0XO6kWpa1Xc9D7hPdp2MvDwJsqY6gDqniKV0cKoskM8
xvTGrpX1dZpyByPZkpQbzADdeeI04lU0LDiHTksuBILh3Mq2Y2e8Ra4ZPRQT7EuM6fJpEEKdGz1S
Nwt4wXCXVCmMl4oqAgMb/9Mf7Mmr9xpBpodWpeWFk04LtSPAoFZZb9oowvlC7xrcE8I21eWQEpvy
YGVh71x2S0OaZo8LGJi1KKz+j3SZW/Rt3eSHNoPkNRR0mTuIW6Dyt1arWzRprP6FQmkkCQgijXbO
rEQuG47JDgGiXNv7CMC6jb6fYj6oSQZ/MGJAZVE8ImdvcX3YR0aG3R9OWzX3tujNY+eoeG9O6R95
w1E/ATHE2KlJCHsYTHMPZfTznFnZjQ0eLT3wV6wzTLOw2GLRTA5MieEaUvRbgTK01wlHHtnTaTEe
287RVraPFYAcJXdhcKEwL7HTSOhjWneHc1KeB4+0ZZhOjnHsgeVXF2rxiDIvXOe+Xt12rZpN98jk
zdJgYdcyXy3CQOecNkyfh7GNAw0erp+xd/IdsPY3/VSebCjLaMkdvsu+GGEJYlHTN9k8jxfojyOy
aKM6DpzEXu6aMhKMEsOIpnBmEHqjCPrZmGo8zPgOSxRwM6YtQazNzp3D8CCwqT3XC872zQLU9bOX
EwRK0AcnIghoups/JmC5ygfGiWznQc+pc9KCEYdR1+3XfEi9O8aRBPQOzkImxiv+iDbiymHWkDL3
gqIThDXX4mqhQCD8IaRDRsPjmAzLHSIEG0UnVpcsW2eJCRCvjYCY4scEXdKrUGQd5MuqIuqkOQb5
EqJDmDDOlZrzOZvktpAmduP2jDAj3SyA3p2kWm1iJFfJbC+mIjw5WbkrmZc+gPW7nTgYkuLHO6Ty
J2x3mF9AcKBWdpJwFw7zPfHf3bFp4zhY7Ca9bAoNXLQU2Y4kIPPEFBcINWVB0GnUq0R2J3gL8mo3
ulVyoeXzctQbHk0TvdSDN5tfSjQJfmNEziaNlUbBlw47HINKoXEHhQG7/K0lp+8EkC+6aHCu4Q4s
9IAB7Z6ARr8TdY9fA7B8pjXbpNAgCjYaWFASzWPQM/FXuTTP9BoRdoZVzVBIx78s2sz1mcONWzb1
6LJcTX9dMtf7Jl3uVaJ1a97UamWUQLtbeLu8+/SCWG8Nh+wEvN6wLFAZa/vDxRxE+RCPh4bsA0p7
a1UNK6g2DTWhvG+s/C5zk8vFCOnS9IA1zeVzYsOo0jsUMNF4h+viWEJGg2k/B1HKtx/Zse8O4qFr
mr07T+fU1FBZIXzetXWugiFc8HyF4tGm6N+MmCSw2uZfc6Ejmy9Hm2513N8nWnl2G8MAa4dSq1GS
RTBxz6KmlZQW04TvxTOQ2ZviVkdEFhRTS5qzN4zcW3VnlFwPe49RBfsXJMKD2+bvUM8IpDZ172Sz
XJ761goxclvpVeyp9MDej6nSSYzbKG5uh7QLcGtv3aUqryb8Aa/5upplfeigTYFyf1HXprhLzMY+
VTWhP1ywdldPtUcLIH7WtQ5Zijl9oJXCuet0VJ9Jk29IFiT8Vgu9E6cxK+hY1m+VNa56fNs7ZikZ
1nZ7u87sdywTOM0IDXL8LrPVE+tKvzUHJxw2taXSK1CbSOdVpvY6F2qnV01/JSMZ31nT5IGN0++W
VlO4x4qXLsK/S8YuzYwCSRbgrykF4YBU/g6NN6sL5Rlzx3SXWkiUJW6711gkSHpidocm9OlAoqRO
1eec9t7OLJbwnnDVc601rQ/gLn1wtPRBRh7yIm147Rbv2Y7MI54mHHxGX++KPAcFb467DpsHVLs9
gkZUu2kjrkwjavaj276XaIwDrAPdQVfm5zp0Mm7gjNqY0GDyWmBwXsWGddd79WXexY8wCslfzBds
MABZWWkRmHlf8PgRsysIkFnX0lpzb9zO2ndJOt1NXDq6F0PU+Cyj7pcsjIznXLr2trUcHjUNOzJ4
J4TqA04XqGuuqXYSAAKIxtTdAHtJGh8CXexnc+7uabAsx7hSB1WnpyEJs73KdWBRUKM3yaDh6SDC
Ygk96mDKcNLaRC/eBYkhLNiUR1czPtjbuIB5ujhtc8771VU6DjiNUhm/1bSE/NHsL6eEIIlyzB8M
QcJbWJ09XL1bK/XogLfqfpi7K8qI4n1AcYmg6xlERB4MfB66xlXmE6ebXAyzdcQBZ+wE6kST/F+5
XE1S5AMdHXxPJGUYFzKR0W7WrHnT9ZH1grW1vrMwkpQIJRVRFWCzaCsVVnkTaQOthqqNbV+xr9XJ
CDqygrYDpqjelX3dX5pRGfoJYhVqDj3Bwqo9xNq4bs8jJASbhClXXo0MqB812pDXelQP01bMuaAh
MC9pf1emmnv0umw5TYP1IAgUekN1pkWHsCj7bCed0eo2FgnS7UaIah4O7LNmMCjvHWTpjRE7NH/E
qO46Wd6Mpab5TabdFnPcXzODflrV2nT67eoEcu/J7UT+eUqwj2iGCgw+Hvr/vPnC8ioOI22g13Qx
2mCUYXu0MMYFaTXEexsdHTCxGrkluEQmT8PL6oQNkNlr52gYs0dmNyAsGFJ8oPiLtgjlzI2MrfwV
ivp8TyP0v9k7s93IjTVbv8p5ARokgyNwcC5yTuWguUqqG0JSVZEMzsEpyKfvj7Ld23Z3e/cG+uYA
DfjChZIqpRzIP9a/1rew9/TBq8jcel0Ehf/FxwULgtej8sNP5FMZk+3TkGf3IR3eKyHYaGlK8cYd
L5hcCS2yHaEALsghP16sWhrc5fdaZe+TafgPYVgOX0U7EKTtkyvbHhdFj1s2cFcLIShVDrVDtXIW
oFB+QsWpDhKAHzNCGV8sOz90GW5Fw/XrLTXV1QP5m4b8dJD09wb0v8Pse81XYw4PVTfpJzg6zs6C
SpyuqVVPz2XXfW+y4IOrc84a0gs3vYr651Ra9C+SKaxDpGwwDekWZZ8bRBqSzbMFeQXXNokjVtK+
lkKka5JRzVlSR7LKu3Y64wwND2NlafBtzQcICGvd6zy17up6sB65QLZ6K6hugUDSjQlRwzJud9Ra
ZNy8WqN8bfxQnGJvcnfkSNMvi1g9oV7mRNhRasRjkQjrvcxd753unYREYgf8NYJqaFCptJ17nnOb
TRHVLojNrPxu/H42ACEi1gnaSTioLH0huHThmuDcLZg82JWkQ0wzVGQVY3JSPaDurBjix9BgELUu
DFrrohy+qHA+op59ryLP21NQ8w6bh/1jV7OBiWLvGJESw6jqhnQ+kstSLHWk060AMBBdrGg6007/
DRQJIv9cwxeoI4GFHA1fAVkjAl0dEuczAo63m2RGfhCd7YB5lQic5riNlLjKRIrn1PHUPq+94JQm
RQUWPylQ/MPHaaY6ivLZB0XR1t603uFDMjTJqNrKInombwYsm7R5ZDh0nyR1vWldhWAroxvlTeWW
gtADZU/FumD7tApC21pXBo3tqTOQNdMNlxScuA6pDdKYSCJzlnwbw+4M+ijcmQFPcxHWz+hC1RaH
EPbYtDiNmFk30goK4FiMh3ln4PmO/Zr7Yl4dq8p5CEc6TbxYfORl/1zVk3treARlCs4qNjxW0Aql
A4gAtrEDYVtg17sYSg87ylbsL/RigWTCJP6su7aA6i253U0UwGCXpeusWjysLrt3W1bVmVzRM3tN
vata5rq0itLvmbIwwPsz6xve6fh36SZyaAHSQfTsW/mZjYpzVQ5L3r4pfzIAt1TitFtLztU6MYDw
ame41Umb7Oa8L56VI9NNzg52xyI/3DpgOBi8A3c1GTIH1MIFZsKGsAvhMl+9IHo3WxVvwkwj/Y2Z
vgfAzSqy9az1lPtMPhb6LKb9a6mn/ooMjXO8Gddzq9gUO+Z0ZTlwQycmhBOvEmt/GIYV4LfxDPz+
e8WZI7eMVzuY32il3/tW25856k48GdluzOdjFGTDdjaMfZ78NIKGlKJHY6vVyvrQZOquScWJbDmX
yKQJ1v2Qmru65og72ErsRTfs7YqAgpDyRASDm6g02eYGz66fiJVI5zft9x9RHxNhzHj/VOK+7y5+
FT3DCsbwrMv4mwG+aN1DBoDfStWP8M9zGLwENfuwMMRpzg1yZcdBfY0iMMRGaUJgcOp7OTKhGa00
110/t8AKgthkjUVgN56NO/DcxIUzeADcFmTEr8vdoFmZRp3spiBoj4p38LdJQRHO0GYhaU2rRJDW
QIxnq40junjNK1lU2zS1iiu3LaAluhI5Q17F/tNOVHk/djaxWUM3y7o528vUiIGq28pM1hW7zld0
3HRNtpZlr1s3z2Mf0Pw2JMORyTrDwpGUeycsnR2so/jE5t/bqbJ/mtQcr5oqvMVBLu/K1LB+umnb
n+Yk9W5IuauDnU9LDC2adu7oqCenZLcRKPuNc7y8EL/jkB+blATGwM3bKj4LzZKGjKJ7QSAHNTRr
GqcA3WxIsVa7wXeMXUdp50ZB3ohEWe4HYuebWBscrBY9OG078Gv9ZBBHN29ZIwRryHrgi5M8uvXw
NRxoxX4Pij5cAV5+8+OcZ4zB9lL28KopyD4SZSWtPA5XWD0LZCnxuR+H31gRpBvY0GIjC1DQyH0l
o5CaNyP5AmLiLBP57MSeZuTj5L9zbFmiDthsgbTcYY/Nj8yOR78oJUyjYthxuXK3XNEnXnq33ObY
NyR6NQeq4KGXhrPnOIzqIrR8HbIwZJqm7fLC7Zo70ciJ4Tq14akk0kE3oXQ2duS7qz7DBYwdZVVZ
dsMGn8y5F+fpoc2cpau4lqusa81TlzXdTVuJn81MFzqJi9VyvrDn9Gpxdd/qOS7upOJlrDIPqEmG
VTfPxzXEZ2vlkV3dZE1gnEZH0jxX2KusKi6x53+hgLSlt89q1rrm7U90Ylda5j4e0Tzo7OU84ybT
rs8IhhsBLVJp2v2Yq/req7rLVE9yBftlM8dii9LAWcsWcD6AkaHxk7GMoMR4ol2bieaq7JrRIaly
tZ2z2mVwmW5GPqlrevXwZfQd10jXUhuGwPfBl++p7x4Dp7nTLIOPoJZoTmiaE5foL3U0lDun11uO
W7yTLdDx3QC2gU+DeZ2t3t6DL0JKmbnxOp04qtp6YBFOLxZW5MHL1k2Dc4DDzlx+bRwD6WQcx2Bn
5/S21/aDPcUTvxHxx8wbOX0FI2o8R8LOMGlmq1fA8jmoRin08oBcLpzzd+hz4b2MDV7IwN03rMgx
fon5ObCcO/owu42uLRs8ubnrWpdwtAL6t2ZYNjZeTs8Bhxz5RNP9j8Bqru1sn7LAeyOitqvzt84C
oNAFP9XAtpd+HVbaFkmhtgg3jSzXlqzlhgXOz7pT2ZqGt29JYyTbhpUhbXDGOrOrCmElQC+ZQW1s
yhI9gAItRhdcCbKSdyrhAr1ue+XpdY0z9bboIS8YzPXETGOS6uPAwXxoJsUXcSevWb2uCHk127LV
pdoknb8aG+9UF9YJH83akxR19TrL+x1KTnzDLctdQWfyichYU9Nj0JnV3mHnHa5IVBH3z5voLuCq
Rnt2aymX5HzSsONdQNjdk8Eys90VQWtMO5o3QLcIK0Fugx7Cp7BocOADWA8t8Aslz5Eb1egOvTGZ
594PnPc2037WYW0JW1SLX7c6/9Oa/f5HdX0rfrT/d/mHPxguuM4l3f/78x/pGf7tcTdv3duf/oAz
ieDFff9DTQ8/2j7nW3/FbC5f+d/9y//z478V37Bc85+o8W1LL09a13/t5Vm+73c9PvgFSuki0eMg
/U10/807Hlq//GoZt9lm/g6T5n9/D2qYvxC98qFc2A5RTN/9l4IaiPx/1t0djI1wU1nleUKwHfpk
G/7BUo0k3LgZ0KgjHXlkz2OACIbd8tkgZolxqUsgBzYudizb6pZlfzPBmBgquzzD4pqeoaVjM6ri
lmIqLqvELUJrIjacRTb4ttTJNpAn6te5zhQdsa1M+/kUpf5EWLCt7S3NCfMl9KG+8VNykZugjWTX
ISmHH74MRL9uUvLsKiHLuCJD4T00BtcyJcGwBeOIjdPn561FMu19gsg3ML0wysEBLc/8mMSNiZDX
byIkss+GOMPBZIjj1MO1WHmJw0x9yInv9erRwhhDkR5TlsWMCNfy+xCL2NuNoc90aw5RnG6LPtZA
RrBPuq+JGeJsWYWM3cmp6kTGqnRkph3vGtsHEeHHwRhf6flNgl2VTVb8ANnO2xFeL+iGTSnp42ra
ol2RrDOFe7Sc5StjKwn9F03SEaBCQwFXbGRM+t5EM9E6AhoMJ3EMYK9hVaPKOM1XhRdhymexHb8X
hNtvB3+qIHXPlLG2/tTUKzSj4GXudWdwVRz1dgTAtO+9edPxp1VlDurDlc1w9Rkb23VmxuKQe8Ji
DscvO0aYCFV+D3oz3xeqAJhHRSVmzV2tBuhjQ+5xv2EqaJymBp6U2bxhANKwZSYjadDpcT94k37m
Zpa9mAtL2gc1uRZuXy2dFe4Po9TyIWg7DKahbjaAkEDjlVZ67IJQvEoyqKsxSdjZ+6o8pmDIbpyI
Zb5l5Q8JVpP7QXclDCF4cKTXG9K3o8cAQAtzONE2rQYFhyRs393Kih6KLPE3mpPyMYuh5JljR+uZ
mbfbFozfOpnTnIkYjENjWMk+Jkv84cUZOqSKlLwbDK95i+l8sBgCJvMaTgE3iE5axk2ZeHzXZJbm
vYJsuB8b0gjCzp+kUduv9B8BVbGd7CNl9/3FC/hQOay0d9zSnWPM8RahWhdHJcYfUQQHbEZB3IZE
DafVkMTdGzLfVs4pzRXJ6NDsM54GJ3Fvc9xYOzHMuGsAR1cHFTvZsQot7xJVvvWq4QVdLfpDGNtG
cAsyy4/sdCllcipCSX0V34rRrQ4UsgrQkpO+5nSPHoq4du9xwVhXTKTypSkT+cormu+17sWpryjZ
6cuyvmazk3/UeMuiNeV2PuwhMd/BCR442OBEgBJiDauoDnymig5ulmEgnRtCp5dgUuIesp2Hx2GB
PeZaUZhSB2m6RIjFbY8wcR6USL/q1tTDSkyjeamzIYW9kjVPPe6cxzT16hsB/m1r6DR8RdWU2Ma8
7tS5FVgMBGt5Y87+DPSySKjxNmHs1vhm991sxhtThsEO8I770x1wAbIkn75qaYOPDQHgZXVx7Nzo
klONu8GGa4JhWNZYZXy0wxpYkzkhbQqGU6f/3pcjxdlZmR/MGJm9pJcYba8d6EMviTEnpoaP6TXv
deT2JxOs3i53cFt5pTPey4qjZ5IF06FSvbiPpnF6AeM/f7iRNdzzhES3QAXBD/mTtXhniw2fkw6S
opaHMacWCAqah+rRV9lznap8z8vOp8WAvBD6Wf1dGGwe5qBAQdCRKbba05QRFaq78y14ciiUk8eG
gkrbgOP0z9kmlreiALbnrcxhBtHhqdbZcMG9flejF15t6rRegPLl+5my7Z0WkzGQrUvNi5dmwPlA
iFxJqNr3kx7ge1vtFJ6ranGs5vo2b3raTy0+qDc9PVWbGaG3gNvcMbhmVkw/PMeKOPAWUpAoL32D
XOMLLjWonieDyq0bu3GsR29iybU2iQGt28abPhI5as6LRgAqr2+lPABSb97ZGLJck3CZdBZuo6ay
v0mOzVQtuvm+oU3syVKSmlm/8682mhw8smYmxz5lzXNbAqPSrr/wRWrjra56VrVYQR/yFIoeC7nW
P5fjOH0HLConGIQNRt7SHW+oShz2UWsN16FTEGFzu9wFadN8GTGo3umFKQdbdd6LVCf33NnqV28B
0AVd6f+c0qxj4dG18DLC+DsKhNw66Yyehl13xDJ4mnTrbsigdQh+C/IuXOh3NDWSNjZboA/UL1iU
WIN0ytfebEC6SpzmS9RD06vAeByDT8Seu9D2SseiNigcmq9BXHrellB18S7iONiXC6uvX6h9Q1Di
nFtIfglIPzgk2C8nm/sbilqXXzvHxNceFO0lW4CAfdAiEFcG5s/OYCflZGjWuc9pcij7rwFZAuzG
C12w/SQNtgLoICVcwZma3umHKfq8XyzP3K4JTcSnfOyMpyRxvVcMSlx6PpGGSEXgDblo17gcF+ph
Z8I/ZJ8pril7VC5LRCjAwU5w8RZmov+JT+w/UYqwcjBwWnQIYbUM3rKFuWim4g0zXnUxqIl6DBY0
o2VqcR670OEyONl0WrHAj6PysryAN00urP3c9RhGy3QTLuhHXLbyGNv4dVRSVndVbItnf4FF6gUb
2TSVuzc+WZIhVMmALQz4vRTiUgUWmp1Ge++7sfPRJQoipdXV8wbWZ/houRgDyqa1YR0r64l8CDzL
ApTQXfZJubQHDfByQV9iJK7WoynOwScX01sQmY2JTOp4+ibs7GBrpUbzAy8yTE1jQg6OFtAmC6h6
3S7wzTKa2rt6zuu7bKqbA84q+6AFAsDssmIZPxmekaX8r8wC9pMGHYE3kyjkz6Aw+tdiQYBGWf0C
6RS6uQzvha1aye9ndswd5E7wcC4kUdlJrKsLXtT7JI0Sp1IRN+1m/khrVRB5W7CkNnxS2uzG04SM
xFsTwHSxYEyjBWgKmqc40VgF5ZQFmE+P1Sf9FEdCfyUj3HDwVWAxVXE7YNyo1xEroz33u3I3LDhV
1M5pZ6SWf7CrPLj9xHG5nwTWhbq+NiSidgOgtYeizyY5A9rqW8rKjm4eW2ve2fnd+Al4hTIM7NU3
K8bXoZ22GcetB08pesFnMR49cypvUSFYUuYCjFVMKwzS5pygQGb2PjO5rGCAYZiGQ84iurPN8XEw
8/jZzKr82bGZAR1MA86adVNzW2ddeJozj2kldqOj6dd4SWABCfwOFXcwJOPoiJ0MtUYvdFx6WdHB
YQ2mPSMmDXqc/UDpit/Aulk3WdgFRBOcowH2LgxhBZuIDS5ha3FBJJ2uYYMQG2Ypbq+4geBbjvM2
ZvB/mVG5peM9xQvvtwf8W6aIjjko4CLzrW8pXjd0jjxfNxGWBijQ3ou1UIQnw4eMNSZi04Cv2NZi
flPJhHQBlHuhEMOw8qhFhEzcNmxoqg5asSkMrPPYzjVHhBP4sGKby/iZl0Xsehyra06q/UbkDDdG
nt4OTkrzOXhka+EkUwrVryhnyTfZQlGuF54ywhW7gAJ5AI9Uvaqob7thcw3ooQ92ycJkZvFwm0xQ
msUnsDnQsJvpw1E7y2cfPC9k52hhPM8L7bkC++wv/Od5IUFPhq0RHjEmFGRbQG/4t3ohR9cLQ7rk
7fcGtmNLe0r0VMAJO9SkUm4QsM0LtJaU4jqI1PPCpia8Tn9FDZVyart5XX/iq50ezHTVxddygVuH
NHfeuia/nIR8nc7QRbymVmTXa5wWf/CQ/SdZ27/6FMlS2hgv2N3RXUBN61+8gkmEfJD2QXqURcux
zqDK9EbBKKV4vQcu55hl81EzS5XcsmGY/P2D/9W4uzy4Z9o2lQWgDKzwLw+Om4tNyFynR0tX6mOW
qjxT0Z4QQgizh79/qL+6PnkoQb4S7gGnX0AAf3moFDeUp5OCh6rtBoIutgNgu1Nc/fj7x/kP9u/l
gRzfCTn0mxRKecsT/oeTdlZNE24U2CiAaKcduSDn6PXa3uZl2t01im7A8xAmbMYnp3irF3c2V5U4
uTWiZDlcs1srt3//I/3Hl3hx2xFVg87EmXbpFP/jTwQHOkg6ThnHRgPCMQs17YVk1QinKCQ5ZcaJ
+iCgw+tsAUL7fOz/aWXokn6oqq1+dn/Wgj71nX8IRf8/6UeMOxj//2s35y0FvVX5Jyvnr9/ym3SE
S/wXh0ArVx5GYA919d+xA5bt/MKbLKC/3KEMg6/6dwXJ8UB00XlHENb0l2rnfyhKYAcwJEPlEYHH
+9Mzw3/FygkD5s+KksnmFj+7a6OTCcpAPk3If3yft/2cEbVK72QWYr9AjVwqnlWcebch3F7n3vEa
1e6rnCziDvOxFbooqKmHZjRUI8hHLghkPDMguC0qQSceEgibuf7qBsR3zbWXsT+thzKDGc4+9g7m
sfkd6sAI2MBvyzRYKysJ2FoCB4ORUyV2Fgz7KnTAKCeNvClkaf0UMZmDVdg2wbthZ+yIvCDGHuc0
q6qK57Xu/PyBUEC0hws5bwTNyxRGphVdw8Lre6xRqshgJ9UKJJJwjGffNN4Drvu48NjZsLj3r5D1
uJ5DHTkzp6RHf3D7byMQ2a1jUn4IddhLHhRloMmmrfR0N/R4YDa1PRZqK2p+41XQz10A3DevN6GZ
0HoLnIt6yeXePHrvKdan53bwEnl18SFuUCT921SZpFkmzhjpOmd5vyZVsjiWQh2yLDa7FD+F23Xl
hldieokmEkSGGZLGnEg7PvqOiMJVW034GQgmDsfUi5LTPGr9wqnJcoEvafMYl2LYhrgIy7VpScwy
PhyDGLehqL9OSqt1HDeyXQeAAG6MtjTJg7oBpSxFNBMEzEa/x5CydNQia7BP8Vnbzhu0nlZ9av2v
XT813h2/iY2/g3Ca3hC91RtqHllImcqDxSaTn77KHSJiaXZoU6ffjbHwNlQgkKuqEv++mR0dr4At
xht76qr7zCtAslXMB2bRWPdY3EcmOPjMkYM+CcXX9b6PNFdSxVX1V0Y0thjJVBUJqBciqwTES6M+
w/+S08UsyezUN3bmjEFNfqhs4S7xRDB3FiiX9Z2TNUl1nNkjgAUX6RTDVQpST616DKBnEGsoXCtk
Lhr2MH3hg9iQv0zZywLUZetgDf5jUZfMWb6B/xjE6OA3ND235mZKQg+bgpkwnuBd82kNY8KrbmQV
qfDs1TEIzMafgKnlfuav8mCinXJw07hdR8w0V6KY6Xko0Sy9qBzf7GJZYWTt2G8nYiPTUccUoy9w
sxLlLPfMBKcsIWiw0g6GmI7DHhmyOTY6svKFvyvjNL1L9WRh3QDUCrJORQWf7ChgaS7qiZWaklU/
rusI9MN5hgreEH12xLoCNCU2NcF3a22WhppXEihQfOeV5tKFUvSFf9FzMV45s5t77pr9JkGQBUqF
Ujqs5cI7zQ0/RXGo8mE3RBHEdZfdqtoUeTC+2Glb7WngaeIbx2wf8LdKyoh64wMfTslnyvDITwau
nNxrV4EU3HVNUnS7uJ+qF03DurMKpj4BpxnY1d6JagWg1XTIpSyu1+7AlWh6dNAsq6Pteh0+uTyn
ET03MR0dP+kAoqrVz9Fwnt3eC874uNv5ccjsoT6MMMgqbM+T3gS1YZ1Eyyg4R9K+d8pxSfQ5oSy2
MuZq5vZ0tWZTI/ezFsENVq+JkuTR0PqsrbE6+aIt5w2PlO2DIGq3uRVHZPt5rapdDC1vY9OJcU+R
jznsRA+I3Qulfao8LBEikETDjbSmvYW+RsSe2Uk3pshtXufMieW7anz5JtFanoXKh9dFjVNbVTkO
nzVHDxtDzmJbWJ7RHVUcU0IieoygXtLG6sQXONgYAPbmK5IwlG6svGAmwei0hmsXTDggSc2VxMg2
bDQ1g2ubZCmpH0/FuGqHejhgmBTVNuqKkS7jyiWgcqnKuifYWNLNbk2x+DKM81eHt3DHepxmP1ij
pn3wgtG/93Bfb+IumrBKJc3Rp5vc3JZzx7BluIRNKz3qhzJqnSs8ZqhohfIL6zKS/r3M3YzrMmgq
8dJ0+gVdbwhXnZfOLF/TKA/Ww2B2Lf58qftLwUrvOk9W+8D2BMsLlGgd30O4iyjggYE1zdOhEOhM
rlyTRo+jm6blqnF1guy3bN3/zlP/LB0Dgokx57+ep64/3tVbm/05HPPrN/02UYXuL6QxwTSxDFs4
gMu/99syjiUdMDUim4DRfk25/L6ScxYAGzHOwPNZx4EAZQz6bUUH7ez3/eNv5yxWl7/uI/+Tcxe+
678MUChipst1n1FNeC4/2J/Hcj5IBj3ayXAWxRwOyQW2vW2zgxdOI6fyPPipMyFTp0sDd9LjGCKu
Ty+3uzR0t0tXd14E1HaX/PgXtXR5o8t4Z/1Z8N0tXd/2Z+23LRTmW67JL87SCq4Cn4LwYekKBx2c
Xu2lPzwjHoAJbqBVvLaSFhC3K67d0jke+bSPm0NQUGpOU1W3dJOHnzXl3PCyLyQtxhvns8ZcK698
Qf2OyJgmhr1qgip8yJOgeFB2x0aENvQ2oIAAWYYbQOPODwAL1AOSRrRDc6KKPOr01hhFd0NxCLPZ
KLI1gBO9dRKHY2/Kluapx7j85vtFQ3q/ihBqZ486j6Zu7wDFJV+bIuu5eVSy3oh4sHdh4ltMQk3y
4GpPbgfTGWImoVKfVTza56BpnzmcA8okyYQ92hkEsrOo56ey6zNuQvo90xrLmxgyXNjGkJ6blNYd
vIRu+w1COLzShtfwOc9kcQ3GIdkZXTLfqILDIYOFANc40BAhywx3pAQudWeHrTwYeXyL8UbuSBpR
jpRw2WgZ6Q/mWI2U7Zb9uTQoAUmswqNgrhinx6mjUz3TdAlQAmTfBjgGDxPn2IvfmOPZacvpwFlU
vLE8ZUwIre6RBGSu8f4Y2RaoMyZrlRDDKWqnv8xWY+4ayzc2XGPLe5AT4rGbnO6VcFj+c0KzeLKH
nu6sTJe3ResaV8oJdjFE0xeeK1q9OEeGd9Aniheh0mGH3FRuSlQu1o7ZvB9N1yDTo/T3ZmzbWzTP
6ix1p9ehGFLGQd44yw02DD/Ig/T03ykL/70xixIpCAvl1vHK5L5sYcauvLDptlNEI11hVriOAP/h
lHTeBnsITiVq/55TSn11lBWv+xKWqmHP/Zqbk95pywCKMRihPHPTcw55XAcHk2jtD1nG8o7hvOQ9
Fc+3GVIs7UduZHxgmwuA2setRUXX6OHRR0noTyUYQq5fSXJDlx+9jkUkN9LI3Rcca+ZXpaU+e2Fm
UofV9pfUr4FuVnUz3Csjnl+Z622XMavWp5oR7SlEN78NWA+roI73w+CXd6nZdg/saOxt5ooO9XWY
sZZYVukzDzY92NCO4I9H5RRnJezbI3g3LzriBYxYV0HeBpwPBJhwCFJbpBsNI4UR7QuXkfpuKtn4
lXFjboe+cLcpzSIXP7EQ4Fj+UYrepMEWra65LeIivlWJY2+8xhPfchpfSNBj/vzaRgnMAB300yM9
8IK2rzI3QLJYycH16NzsZ+rbmdfBGawHo3GHXckwcgs+ibSK4UKfuRrIvV98C44iXpcqqtdO00Rc
SVIE8bmovucEhoNV7xX6Ima/oGMjc9MMbsdgfImHlmCztNwwwtgT641ILQn3QcJF2UG4nTknBrW+
t3PT+qqoMuvX2JdU3exyr3JNfbEwJ2vW6CIuUGJ2tD3ERbiOx4nTICskwvqPEb6qyXuO/aLuHjqR
9AOBH5BF5c1c26TE1l1AxqbeOIOdjY9K6jj4cCi6oComAWg0us/FIMfG3wY1Btid0fed/D75dW0x
tPESKW5c3Nz+dw74Z3MA+dG/nQMYD7u/9LxDQV2+53dhZbnX24KSHpsbPqoDEdXfxwA0F5OCV+7H
C1AAktg/hBVoq6bJX9legGkdpfQfc4DzC6F5F5XGNl1YYc6/1PPuLNDIP/IjTIYTWub5D1mFSqm/
gvVqfIt2FE3JLe+e0OIdz0EYf4Ttrt3Gy6aDX2WixIgYJ8B7OI1fYhuCQY7V6nsbkc7ClVIA2g4o
h6fVbm7wILLO9D5mZZNNRDhxMOrX07nCdZx/TWenOVftbH6XItbhyuozLh8MLv60ITsyiH3KKeqZ
/J5PzrQJh+GGoIAaLwrle5t03CPYGS4+0MnLLjXy69rqI6roJ+Ns9lOdrlRNr6cly9ne4J37BrRV
bW0crUdn0KzZJwkkx3NNzHHcMJ1dGCCEbnH0YLl0vCS95MhFR5aH/sFQVEwMVSGxtqWlvh8aY28j
tVB1FX4dSy32iZF3GOrjpTR4IjnzVbttvSYAQapn0ucktLBYLPEVy8L6SoQdHSGn3A2MunLZz5VI
sCyPFN1CRoRXb8Urz7Nszr11l9qpewOfp71rKazzTiPozw+ekemUtaGM1NPs1fOxUxx+nJOvYp1t
pbJWtQOput5ztU/yra3t8VJxZOD0tnh5Lcssd4SvlgPy6CRJJw4SVadqNBG3euj9E6aekiTE2mqZ
UTD2JFkvcfCGsaKm4mgVBNEGdqkhzDJqoi0vDLJjHBi+XyMysS1hpLEe2nai+KcJDf2dM1Itf4Yk
SH5Okckm+WqXrVswJpHH2Hld6lctlJfIf6nHnPhLU4TDeWTTcuMRZeKJUlz08Mv38pjiqRZblWf3
llVRv5QSRIxo2LltKShYLTQJ3paYyjdTDWTesC3rJpBZtY1jk0IYenH3tJLdWmmtHzqv51waGTm1
OZQTlmvaWeKbIOh8Z+0Inu21LYPogPsGN2ouJvdYaFPtqB9s3yq7zj/srrEEi5PWwwNOOeuqC2gd
WsWdVJw0AYjftIL4kSPinD0RsZuDU/bfEukM3XoGW3zHnIAHqwIa/i1WjnmCIlbsCIEb+0E4hIh5
uAuWqZreJ0vfl1VnLRmCQN46VuSviiYYIdHYJk0jeLGw4GL72gSZVx4H5qFrCqmJ9EKXO2cvkPNN
yeoS46nJMrtP3vgZySabaGx9HiMotiwze8c7m77fviQ6i74lKgl3VQG0Azu4s0U0LW96y6+fZTtf
3dJ375d39i3mMXPDcYPAcWNdZomlNkmhfQWidrEpcFPkGajNnxVdr7eVm8UvcZ3OJ9U447kaAKi0
OUrRlHrxXsoh20cppEMicZDW4IXta0+Fj7Fj4FUDNHMOMv/LbJu0n0ji3AS1ztk8uGxwGuMAKGr8
6jYVE7LMNFNtKuxXoMr4Z/pprth55KZ48Gynx3TTip8G5MKChto+2WWz7I7w3z6ohQjJu2OX2hiI
heEqGzznsRajRkjwh+rD+SyPk+h1mBKV+06KJd2XxLT5N2rjiNfJXrMJhAjTD/lxNAm4ZXAZ1wHI
om3E0X4nyjg4aIaY1VhTpMMAgt29c2M6GP2+S09WmPRP7O5xFPP8PLW6uedtTfjLns7hCGHRzaLw
YFDXgmIhGv8mUEYakkfOg++aMfYuzIMUFmtVfvdTM9zk5mSjBhacRKl2ckxcOBb1TvKBJpjgOIF9
gs8/uY+WAc2S7fpkY8sQ0Xrs8FCb0tpM2iVZ7TO1XWU+cGXvTfGtymNogZwRaY+36PmhXMl9RdYO
NwL02wO1Lena8dX4lTANez0hq4ud11m7Gnz9YeiSfKctup8xAQ2Ogs28rSii3mvHFi82Qebb2UrD
20EHM8OkW+2sPO7ubAz5Jyhr5iM79DnDqKMy2qSodd7+G3vnsSW3kW7dV7nrn0ML3gzuJBNpyxeL
ZTjBKokkvAsAEQg8/d0oSd1kSU211j/VoC2VTIcMfOacfYa2N18ZBYvYnaf2vnANmJCa5fA2KyZj
47Jo/opK3zw2kuxKxx4XI164tHYLR842A0Pib8I0U3HDoOUUKqxFQSj9K7tfyKrwDIftuWV/THuU
WqHysnMbie62txDqjz0V/k5Hmf6SazF+8HC3Flsyu5m+m7rqUXzjW6JE9imv2VsvgjT3rWv3X+oa
9zFrSJDlnt1eYQcutobTi8uladVdRewYgpzoqsdCnm+wTWfU35CXrzLT6mP8CsWnapD2A3V4dxV0
IbZ6ZQ1ojvwsunejGftKiAqqnZPcZcnnqq3McvOGUrR8qtHDPKVhI26xcSSPXZnkFxNV/CZDBfrR
Eq7eZfS0B42se5fQCiLgInAxdnm3iF1ovMYTRb7EMx1MH13XRFSY0xPGBmKbLaMHQpLNzKRjC7An
BGHSnhtmlkAAS6UvmI7WZBcLsk3C1nX4HEf17M74MTyJYRyDNPQEPM/L2cot/xebv9/YtkmTk5Ga
KVTuZvSkF4/+2F240YeNOZE9nQ75HsGYfxmgoH5IAilovD3BeCNNCFllvDlfTn0r9sgyp+YfhMx/
J1p3EBH/eEgmXz9/PyL79SG/18YWtTF5AQ7Qrt/Q5P+qjdcF3+/AGJtiOHBgdNuuBxjdorr+Xbfu
8UeeT0ZQSPkcrvOyd0OxHw3J/siL8dcEAyBNcL0iH/XEu7V9RuSwbERHNHAyBI9auR6npAW1wVuq
dVECkhZPSXtGXNBbm9bq8fcu2I6Vj4Jxsof+0kvMyX72sqUkkK0S7NewUAPo6Hp66okf16MjXfk8
liD+xlTTbHfaZlghQ2ZF3VjgWfGzBnip0tb95AztSyMTeUO2WsJuwWjW+/4iyPbo0Wftc6y1x0AU
OD9EycIt6PR48CNe4qbLmPawNWs5oeHlzbeuJvJmn81oyI/ICZYpnssCcu+EamuD86z83COfIk3c
kzUy2nq+SRLO1w0JMrx3htIoraHUlsGp1cKlpLImCk0aWf7UGbBXn0kT1Qi2vV6fUkCwRUzu4owA
nhfYXrjJAm+YLrd27mxcgHcRm4/7pSjlTV8hRylwcMUqq/lRJ0MLD1KJ4Lim5PRbiMNLeswZ6tyC
Sik5aVyyyrsrp7Q/AosiGrtDVW62Y39MLC+fDnVi4zc8ICsp030gcnMx47moRUNeOSF6106w1I21
5eg3Tu5gtbB5u7THUV/4btg05S7/dTc8dJU7OPeEqTDQoodC6uPliZyvy166UbJjmicilDR4b/fM
BMJ0Mzn4CUhjBV6SUB9pgy1Sa0HP9IbRodqnNCBmaGC4l8UMSWDSHk3yLBPQ2Jju4t4d5HrhBMuR
/GAPefNcwHwl81VV8jyO09SZ15aui9GBoTMMLCtgOCtbDdZzSiNjLy9MHnQjPo+qH2ssPQRUVMnd
P9OA/8qlwwAJ3OGPtgLqf85fxPBFf6e0+PVhvx16gfNTRFsPOZzIsd+m/78NBALvJ4//B7Hev9QU
vx+BFk0/Z1MIRw6823cZKyGBESvCnT/B/GP+vSMQetf38wDmEYgUPVhuBLUFxHW/Q2bZvWgAS3ni
GEmDxPBGOIxE01aUF8CfgWibopcfUo+MzNbMs+kk82a8yzpD1oRHWaiIhZDwEtA75tsgmYD9Tfhb
7G4mJBHoTH6HZtfE+dg48G+plpbZUICOLcR8wB6Sh9luvGe/ka/Egm9T/qoH2SceWUftcjeI6KFd
Q02rBqn8pvWrZGBBy7ielma5mjivG6zKIS0olunN2I3mc1SyrMArkNv3TUOw6LAGLLbQuX+Vtymf
WgtMx3wN8xB/ITFo9wlkbLBKRvR1sAVO9a510OXJGuVyKjlGNkjAMQBJeBWLIlh1cUm7ffugygWj
ggiyn/n+860BbhCpvyUZmSLYJE/MguC+LerptGBD3ULm4oGDpwYb5sVq6vTrqI6eZLH06bapQvM5
qLEy+R1xjp4dYaUwYYVBcWQuYUAyXSz8ShtoHXo/5CORj3nrTIxvIwQkaCuo/dXgLDh1w6mOgWgb
L9PkIEweC44GGK/WpQiHyDwoz6oedVnhFZbpZD0LwhbyTTmjokbhmM03YVcZX5dMRdvZ6ZNzmc3Z
Z6Ma5uuOWefh7fUN66viyhbQYPj3k42LlRhymsht4OMZ2Ztiag7TRHJkG3YLXDQ+5CFE6d0sa/5t
MJLJmYYWe9vNNJaluvSpo7NjUhGne2QaLZx95gU4f53FwVxZcD+BUtWW58VtT1K4o411Rk77MU/t
5w67lb+3Ok0oMZfKQmZyzbUAMORcTMMQ8+ygMobBy4FVet4Hmt3qURhO9SHrhH7uu2y4DBHcPBSL
RM3p2MKPGdA658ab0oukd7OnQsNqQtLmXRgdX3aIDB6kyAjRXIJE2RYLewlvsYfmgFcEk43XMxGA
uuWv8J/lhRxxfQjdITqw5Xe+Kh8KEb6Xum43lrPM3B7sIi/3Ecvy7LqsWv6uiCCFvd9CqbAZU6BQ
zTdSkMe7G9NyuE/qSF/liyq3zppFt4xmclX7dQ5ILVXhwRojC+x85jxCWSwPdUje6qakXyAlfszr
8FBa5vBhbN1nb6xgCXjmE7dKDc1X9mtbDWhj2dG0X9VpsozbAS3iPl/T9QhV6baINVG/voXvIe8U
mNRJ5BvWbL5hTelTZMPfemty35QS00QDg2wKF+qKMRl3NnzQM9YCYv9KRkRbtWYBMlwCeVxrVNSJ
gECl1tRAd80PbOwm56JaUwWbkXxBux3BTphr6uCkyB/sO2e4mljy3bBsLC9YYHi3NNkAajKJI8IM
1iDD9C3UMFzzDatoVfio2Qye5UL+YWKRhKhFUVAlo6nQfPXLmpfYvEUnFm8xirpYIxVNHvO6vAUt
GsUaupiu+Ys9Lt1ip6SV7aZMglYzymb5iFnDZIlBfqN0OnFezK59xIOiD3ZPdNYO40sLkI1EFTx1
QHI7EhFHnOpZA1p5apBFKw4KazNVyozlmiapEoooApGHp4j375wosObi1NXtKuBZUnGeUPnjl/PZ
6JQqLIGxNcQmb8x+woeZBa21DZpObAUJ9A8+bkmWoBWjB0RoxYUci1JvpVhR7YUNa8fxOyQ0kZwP
mZk2W6VrALZmD7lc26c26YPrlkCJByTSHP6ENy77SM0kZAdNNXZIkRdB7cZY7y1AuAWIe2f7bIji
wSdq9u1k6csx+RrNdXkmfHiIUUsR3f32K+p8Dq154YwSqg5j3zA5VonewGaE5xOnBOKTw5xyPLMp
sl1+Dsq+tzxChVuGKXOMQYBXUslyuULOR+OaKSNqrrlt62toG60mE3n5LSdZkA148U+59F+WSz8W
pa6ZdC9UDu+KpfVBvxdL1k80dXaIZRx/MvGx9Ju/F0vRTwFibpc27dcdCV3h79USXSFLNo+xVmCt
WgoWK/9SUfz/EEZ59m93J0RFreJr9OxIK6LQf8uV/UaUakloJKaZcvsJ8dTSW6TejSNUd/0WtP1N
JfknCo53Ati352J1h6KajTPW6ndCb4omg+LCak6Bo5AHSW1dFxxyj5pP4BJ3aLT78fO9l3Hz3gA0
22yt2ExRlL6rA7kX2gyWTJ6vJsJio8yOoGdQpdb1OBNN04wJBiRnDq0H5ef2w4+f/H0RypNThfro
jfn2oDW8e7O9YQ5UY9hzFxjyn+uqHnxwNzK8RBUISi5ZokeyBP7qLf/JR+zxaTmwMdZr7b1yfRwY
36swwDdbWwTJV9n4WTY1ASdRLubb1NR/+wl9i4uUp0MdxCzl/bihMA3gHxS1x8xIEN7RQTJjGFmb
hY7xyUmk//Ljj3XtVr6/YAOPbePaRZCaHLHu48+/uWD1YDGuSGZ5nNoZJfTkJ4PNvZox5gZMHoxv
PeXWdUj42inQpXWPobV5bLouIA/WLxciK4IhuAexak8bgfQYFOJaKVlzND/DR/yLq8AL/uT1smfi
t+/ybfJjf/d6G8wvJEqME8HMLOseDCIVkoshrVAJpe3qCe5TS525I+uK+NnRsx74Dep7A0zL0Tbx
UJ8BjDsnTDrea+oMyHwJQuNaGhJyNeoltK5nKFvZWZp2Ve/wdlvXNQC0GmCdhzaPiQ50AkPk0Di0
vYR7tBbWtSECQ+wmDFsXnaHne2tEFZTkJI1sFiFb7+eQOzwRVGKZ5S4se7u4EI433/qcEn6ck6EQ
HQtTGk9wNiMSGQR3XKSbRHxhcRo0hHBY/ZllfeEqnbG6WewAZgx4kXTv5kary8bMKtoXD5+mpM1E
FLgeBILBKrIJOcy3BhbY26jsRbid2ae8TIUNLUGYzsmXJcLSWcruJawdeWsSd1Bvox5o3BZ366p7
EN5rKMz5HmoqsiLy57sXB0XIvYGH/cEbyWjKl9x7hbZuN6dGR/MLTBrQDmyq2eXhL5rvJ1fwTqm7
2RNUA0+I8iJ5hExVinhihv5aTXyO4SL53IRrPUwRX9oS9tGj6hfv1TcIREJeHO16/OTOHijCGG6j
2SCl6S2659drNStSWA6ZkytkMOVMMmdBQNvG9XiztpbdcBiUrJatIXSZnaMgyetT2Rs9ibyYGsJp
N+KNe8qkih7DjvM0Zh9ELFeNocbfyMZ3X9sh7F6ytOPHz2LyMiJh67GrahS7bpNzZdAGgpzF1g+B
RfP1E+Y739LidIoSbTUA8OvuXmAaYUtOW5rDvWROhxwJkuaJNCbQ+Qr+3j2hzRGCGrrs49vn786j
xxo5RIteBkEchSQlb/smMq/f/pkxSaD9aLPg3Fiyo8F7vcuCUcYqjaL91A9cwCx1qZTGUnXHYSiS
5AIHOUkhElk2RKI5jMBLskqhSQ4dyuGRZrO4Hnt/ABEU1qU9f2DhbjJGT1giyH3F8nAFSa7rTXh/
5klZY0BqSAoxNzsPWCqMgzanQsV9aujkvusajwSt1iOfuMmI/720l0jjToawJ7XRy61il4ibA8cF
MqMKqtu4GRoGnwMlLyY4vItgKiWzf7Okgvakxwc9PHROku3mHFZc0kR6H+FM7lfhgXJ6eFshOche
2OKnleqYRHq+GNnNP/j42YHSJkA8bENfu17pbwdESc+Dafdxl2l/M+rZAk2Xjfcq6xl6jsw6Po1u
ib4gcwZ6EuCq84UMDHkk9T2lxDVZ3G/MdrkOxZR+7gfOTZqt4NzkmX/dmU1E7PTi6kukTzXf+LxG
Dywg+A9Nt4yfozwj5GkwCPSKubojEBTjjIHClQPtURAkj04z4KiwEHtDW0J/LfrXxgrAzlaITY+9
cjizrcDhqhOm5JrSJYzuzOJ/bDiY53vuc1zMdgJe/+gbCbfpReQHTIDdi0cv+LjiOPFJpGG9rl7k
jJw9Sx5XVsl151rdCxmVhLHIUr3OLWKqwvM5MVu7hEBhFk+FWPhl0fw6p8Qc8kMeOM4p7HCUYDYn
Noj7aPvge6S45XjwB95GurecOvTwhi6scJahsz7VwjCW05K5U3hyaoHZdWt1A2tSYQkEALbj/AwP
yvN3oqEpICb+UhldeosfOEN0ED3gQukfq1G86hpfBteg9QififglWA3Xc1Rw0HsdAeJR29mfJiPB
M1BlK/khUsEHlDclib9SnTyksTJ2VA/rOLMCJtWtCMkMs5ubebLnab9g4ayzsIvbeUDyRmiOil30
kAE6O9dD6O0kzXUTGO7PleXwz3fcssRHLyPC7OcoVLnYoBlN2v0Cw7qCeVdOOFGH0rhkfjzx0dXA
kxY61GcdhO0xdxvcxJljwi8fcwSsKPG32k6GF9BuFCPd6KH9X6PFSkvytfZRJHY5lHNOC7dKBZrb
QbO2KMJrY9bcF2p4dzHGi+Ez7O2IDQWLMTr/hYuGVnC+H1IzXKlw66VEe87kIWutaweDO7Rm3+ZQ
LyL+HmnzavyRwLJB8dUAZos4COsJlyoLU3iEOfCIlMEfqonN7BDd4FddXjPHKDnwhRRHnUkOQlIf
IJsjmg6JrkdKVBAgW62BSJxaDg7Y287h6X1P9dXhLVetFTyxkyzu60LbPW3fzsAgmxKxA9KyXvrK
JEZvVE3YbKZO4YaZJkaMlUf0iBiN4XPjkG7CWEVwRdhL772ya5hvh9zjoK7piUlb6llCr+C1gJKB
lY9/+PVlWY0HBaPPCkqJxDC4fwWC476vSMGSeppvR0nxW7P83llLheeX2QzbUlQHoMuvSDKyna0p
ovZF2cyUbmwPEf8ux4hTb5VceMqGBjq4d/uuGrhd+CO4+E2VpessRIWmDIJtOrv+eSoHVA9QlfSH
xGi9Fz+zOFm1MIpLTPAzwzokMqCXJyt9UORGQ1U1K//SXZxw4FxEl1y1hnnupsz4Ooo+OmSTIreM
10yZkxtB9GjPissirAS38j4arQdHrNEu6Zp2sxeBW8JwnPP1E+0BikCVYzO8nboQjkktOKo+JOs3
WqAXeV2meg0RJEjp2rB62obRXkwClRBHweGsQnZkjyS3Ip3nc6K2/OA7uTF9kP6MHmSbqyzNwvuq
DCOfexXi7DWNPu11vtclKEbrYxFSLhPbpUZs8xb1BlwVpKami8OMLIM8HhXUJ+Vr+1Az4MHABzXl
XLoiu3bqUW5zI9M7/sUuD6HduSqW7oqvv79vCYI5lTIznmcjys/GmCYbOWBecnVYH1NYO1jagHhW
k/J4H70fN2bChCSILkgTS7Y9u6005Eh3YKHtLTO1YmL96o2Y5/7USpTf6VhZ943LEYPUiRyEghEL
2TuUJKNfl1+N3EU5I9vkGC1tnW/GnkwnfoEK/03ztRFEp1T6JppddeK6pjKYevMmGjvzhkmZjCWS
ZH/Q9XGevH5HcZx8mP1J7wtuojGjJ+IBXPfGNUf3CpZPc8e3zY25maszd7764KLfBqHgoOCp/V0a
VVdT6SJH56O6MUFafewMf3oRre1ctyQkt1snNakgZ1Lv2NPFvrx1auue0q/ZEUVpfkXo4p2dXweV
tc0kk3lwQL5FeMTm8wV5IV+IO/ET3pOFrXA5TmbVUmkbstsa3IGHjUZzzQmSmZwQ3K84DUdWiVNv
g31wIFFdDWXFRVpnnDZ44bgiF5I7ERGh7B5udakKprHU3fGP+6i17fguYYnALToODKk2U0g85d+3
USAIiog7XnfsEAlT9aMsBFSwVr4/fp4/tD+YbonUYZhB3+/SuX3/PFGSjVPRjgDFGp/DeAoC66Ef
BP4nd7ZWFt/au7wdhz9+3j/0/jzvulHyfVpTl1bx++elJ69Q7czdcS4q/3U0iLqoh7ma9yrIOL/a
utH3pLCuJDUEyvmveor/6FVhcPP+00UtS1vMD5wXwULrXZNaMD6x/PYI85sOBIyB/RCup24RMP4l
OgN938bsBH3JWnrbbsjh/vYB/KN3ftDdl//9f6+f67whk4wkxV/G76ZviKy4mP/zhvMG/MufPOC3
cV1o/oTFaJUts0Jctc5M8n4b14XuT8SsW5b37xj6f43rsIrj7PYjokEANLxJpH/Xd4Q/rYYlC1wE
hytAgb/FJfxDchvxcBbDD2+dCjJWeD/+SBSxsFnjeSd+sF0S28VSgnzrkjN+KblFCccsnUXivhPw
AUHZJeeQ6fVLhE3xo9fQC7p+MTwheByeUn7yf3PixquzTd4+L9B2fP8N9fDNcCZib5JYKnJPhXTb
Vy9z8RqZWbPGi6yVGHv9Q9SZMEO7luXnN9/in0wXnfdRSWuQE1tfknx8M8Cy77wbuSEeADo+5f0J
Q+Fz3SeQhdWUR1drYqAf+50XXEKgaAgK0n5wMbsROUGFyD/NS7N8Dqahl3G3aOecVuhhSgKJCWQg
mnZHueDfBVTPegtDzTslqh4vrc4h48vs4N3DamesWCM9p/epbzJb06YGVLZbk+R6zfqUDniaFkwa
IdVLv3EYt2wkEcsviNhIQqAbgJofMj+jOMdLSsogS5Nm32q3gRY1OiEGd4rkbMt5Wmyd3DWfDCEM
RjPBwwSOqtq6S8+REvhdAw58TqkNDEWh0zryqI062ZbYhTCWj5PeLIGShCMluEu7DOxgbc/6uQFb
hekG3e+lp4qE0Y8en/D5rz4yk4XNxrSyFTtH2sWRlZTew8b3D3PEDpKYSjWgsLP7e5zExR3NFC7T
Am0InGrTj8myMUUcZnO0UxP+p71k5orgjp8Sc9AwZTvW9z73IDcbHyxs6rtmDNR0WumKYGftZryf
2chlW8tRqGtz3zL3DHSTcNMkY0ll5fmdxQY8XVYeuMAfnKa5TZgpoS0bujystB2A5aNHtBP0LhfD
ufK856DQ4S7z/Oa2JA9xP6SwC8A44ZdyBaFWAIWI5zYLIlnEyPqN0GvjsNghjXJmy31p5tgBpYz5
pUZQ94P6fmFiwzCinYoz4ctFHHpj8MpQozsS17PsoqobjzoXLaZqe0zpOAoMNNx+GJVsZd8MB5ba
FgrREEpVaNE+FzahMypbqUmBl31xlSlvLJILvA0YvfoL2oeVP76Qbth7OelKEUJq4i/k4pGfF5A5
EvPb+0DrzUwBDPNEuU2Gla8+EOWRz92mD8iw3iZOwqq+mJPG2oT43j43RZbk2OhEcbDNVn0uYQ2s
QSoZusZN13TSvELEL/JXibubgI5GuvbNMEBCWabFOSFTLuTzOvaLLjXK0NeFcmwCDjiBQAgsApt/
IeGyqGIRjT0pI+xr890ITdvYYZDXV4yxGr0dzGC0dpM0lvyDdkDEHFniUtcbSUM13jaiTmMxMdj6
RGALFjPCRVZOmvYaOAuqNI/oDzJuBWNzKTKVd3FvOu3r0AZrkImuuNRnsz1peth7XAnrYQh4AF1a
3twUywT/bmp7QM92xLOJ9b0RV+99EMliqV2PdGTYkGEwPI25X2BMyyWvfk7RPPUt8oa8Vd0LY0R6
Jol/keAinNtxpvgh79jczgazl3n62QS6bZJcITzAmYmiFunsrn0VQxWRuWpULCDXozzinePswLax
G+kbaJSMUTL1tZfHanAMYGelckhLO8wJ2Owl5k5g6VdvmoTZnUOw+PxHyVjN5TqCuOqCI7AWJZ+b
dK7yAV2J17xOeqRWh+8+EK26+Nf9YPGKZStbY6/QdRerr6079Hgkb3STMTYDDE7YwGAV892EXOHG
bVt+WDkeghvhVWjGmxQvWUyUmDyBl0PagBMhqy9rZs+4c3gFXLu4K08NmyJJHheuQJAhXjLFzSCC
T4ZEXYD3UZTRtgJoYsVt6GtzQ6R3KDZZH6iXFtH3debrCAakX7SbBPQLbDHQQaUa2p8Ha/yI6sU/
ySgqvFU9oO4mgkKr2CBwRR7CbDUVWmEOa9Ruscq5XpHsLXQAV5kjkzVkGldxRoTDg11Os7+hYfd+
8RirkkMDSnrfKgwrdovXraKFu3QZ3l5gT87gRy94YMc+rE5zj79tF84CoAFWm1OEwA2T4pCwaOY+
s/CWIxJ3I9ImYAjXgc1QfCDRbGptGCB6DBp9aJSjOf2kX4iYcxxtXuq5+znhwB9qZ3j6p3D8b3a9
bEBX+9p/LhwfvzBnar4rNn97zL9XvS5Dwsin3XkrAv9dOyKZg1fCIpIVAlY579swybdVL9JfO2BL
CFSMFe3vq177J2BG6Nhcj8KGoWjwd7TB71o+G6I1dGykdwg4A0Tn71siC5JODpzwSMgESooMUDo3
aecvyrA/NF748HiP7D3RRPNJvC/CwGLZDsnlx6loOFElubibEHQIMXfsSmqfA7iiVhExeoXuL5aD
6/f1fd/Fk1P9hWbExxbwYX/fd7EZI5SHqcsxJeuyRDdLjqSc2YSiBSrvC4u7URrVHSyfJnfiYdH5
l9kAlbzzhe/ElbAW+vUiP4wyrLYOixamVjiuhrBomPJVCdwgLbrdkKZI9YYAeLJfqfibi+pP6tg/
fRPrwhp7Lq0jQ9zv34QpyL9FMxcd+4WjbEY5vCcXwT3lgdIfe4bmIK/LwNkZzEu2MKS6F0XhDSQy
XblGecSargEyzuYn5Mxd8gOF47KXIahjaEclwxllPdT5NO416A+Wg1gcDz9+D39QFfA9hAGCeLpw
QMGrEv7bJe3gOqyQAsiauC1VLOBus9WDoha0f5XV/YeF9/pMIZtn1AXkrb7XFHgSe0pHy3GUTHKO
DPT48vywPxNE2t+ZXlr/RWf/7kdE9IrFdY2Yw163z5GzXoHfdDi2xYanNiqeL83FHSfKsFkmKp2/
/fm5JqSLtdUMbQdwxnfPEgmOiwp871GQdX8gefFr50T5sRz+aj/9lt383RyI/b2NVRwBI+fCHw6F
Al9QxLw3PNqIk05LMNiElHDN6HUDqGsQNxsrQ7vWtmN5T9xxeNlVfkkkIOTwbGqWi9rz+juh1+GO
Lz2ckERpsL9BAHhM1760ZaR8yLk2P8qUm9nWAUFqbFKCRhGhpjzJ3LkEjoQ2sSW2Pzwpf8mPP/40
f1V6fPcusVcwhfICm8aQkOl1SvXNt7bWRVO2iPmoCsfa4HaFRpQmwwmYTgmHfrDx57Vf0Y4ZsVeS
j8LFWxzZkk57aXXjvuyEuO4IMmGc2UDsZK34ZDE1uvYi7X4KVF3j3GPHYyn7gxXVKxxdVSSw+BB5
cDjCbqeujCEKzh+hatoxfCh9QNdvFTL9xHFWHv3R827SyfaOMm8ZCPlRdqy7BFEdYNEjCCim4cRV
7TKUBofBacMHZnXFqTCYUjfQIEieTpNfmKj725oJ08ntFnnTEW/Xb+QSuJd1yCqCfG1v10nbZdEN
d8yffPKnRisFdy7a8nEEXFb1DZDHWhs3XtQBc9aaoC1UJLsU3tzBS9yCVYqfgf4sOz82gsW989jz
PHTTUD+RAVp+BYfSzpuSHAC9XY2pTLFb06Fiz+bngG43DmpbvKUanAoNBwLtoX/jMyqPgasgrHTq
XN1MY9P/3BAW+2r2hGiyCNtmSfnFKI3wisA/Iybnjx43EOe6RsRY+Va/K+3oNEujuQaWAN19btTI
6B8rHKTVA3LGy/XzjDEvY29mHQ3Oja7Vqp0XL/Pxuc4ZBLeyri+hWumPRlVSsQKrWK4t1m6MblfY
hMn9Be2zcg7Ui+GJ5ajzKhJ/uC34nJrTaE7Rtg8G56F0903WcUXIColK7zivbS/afZnZRux0M8iM
FSX2sdHDRB4TBHaZUP0iGEqPSk/7LMNgktTTjrNNnsaq1YQvzGO4Ikk+O3hlYuFb3Z0W1VWe4Pqm
1S+RPVdA3pKS4hi5yVaY7Epstllm6hI3Fs3ph6ZIr8iB+5TN2jxm42jeJ9ai8Vz7T3osX+26aWLF
ahLwrx89QnsP2WMK6zKYJ4VquIw2RGOBSDEdXCJFb2xGaQIsJsyBI4rNpLWGHblMXS+MMI0OJSEv
W+KNkheirTQvZk72MAdZR5er+lmYPeNxbkZBzG2o3Odp6DdxofI8nlLfPuANMS68hVy0EXTyVqA+
fS3UYNJuDAG9v/ZCegq76G6Wdh2u4/fuL7S23FPGOuBoObmJ85+fi29olgebqLeXctqx3co2Gdl/
7CszcknNovlFSDd9LhJr+uwHg352pFDnOgwli5Ro3Mi0cy8F+VwHojcTEMSmPE0Wvy9Dl2T6VBrm
FhLTYLBOTR4FC+7GHjRxbbJjn41l/uhKPOuOaWcnk4i1nVu17rbQDI0ih32A5ffNZY5WDDARSxT4
Jc1lQUZlF+f+3J+Zl5WxD9wcaHZIiu1glvukkPqrHIVqr02dVnGyztQWSXfEZqPExo7ENE+5c1gL
UxLbnLqdKZW94x2Lc+CD+1IISlDmmvoCkfXwtETKvbH5oV7Dre9ZWSWgCxlQt/ILEzIFaNBcQN4V
4pcsmFME3Hnw+NZbN4w/HgyT+qJqWQ6ieac6kZR8GFHXMKqIPj8hmq/fTBbTRny25X2Vuv0zW7Yy
hjiuWN1RFxpepw9ViaZEIaLed2k0PbbjUJ36HE3AYpC2UhUscgrBm+w7yi+f6Krzguz6qLXTXTvZ
QozzsOoDlBNYW/S27Isgo+0iIXnnZZ7dRGatYm9y7F0/Am5ieZfeLEFHL4+8nsfYUcUgwPc9rGho
AVQ5YSyQknVbYhArshkxXQGZLAtv50RkTVgcDKR9ox3oWA8eSVqrtlFAcCO1igfbj5hS6khxlggE
Wd1m+is1sHzMpeBcb+3+XGD7R3LjufbBgr94SBrDuxhFa9xrniB723hvliRAZ+EBIPyk2HsjZ1k1
HmbQ8d/KdLoXqwIEw4b1bIbexYBX5BDIvj0MxCyrDfWic+HN5mHsORQsMTmIt1ehySo5QSTjE1ZS
0MquopSWiDcrMWzM02OO74oNIR7sW4FORTJNS8lvQGSUHfj4g/IX4YZ9dimGGiUMvEDWf3PDdBFf
thkL3AbJZZTUjJzcWaNGacjxzK5nZc/1cnq7vf+z6fjrTUcEiuU/N6w3ZfUK8fL13bZjfdBvHWvk
0pZaDLhsx8Iw6kWUu79tOyxzBbn5PltC27TXzvRf4mQnWP+EdpZJu/3vbtVxfqKYpFP1bapjHve3
Nh00pxRl3xRtlhk5ASU2fRA7SlDU7/ogIcuwmbmzn93RAGFEDOyI+2FPbxRSdICpPXkRJs3NCOPK
25XCnwgJHr3ic0VHwnE6M7FaUJnVUZ4cDBKOxANQhOqCe1Ne3I5QzD+xug5evMVvzpmVVhejKuw4
WiUSPTCO+swdq9z7ZYRNXhacyl1vYGbNupYh5dQth1pbxN1hD0qXzCajWioRvUjEF+ERmEyKcqPX
/rNU8xTeatsL4qDNs0tGRqO7c3wQUNsoJdHkVY5G9jyJaqgJPWkpDDuAFv7l6JnZmO6Nqjbd1Z6S
Z/OmVnnogP/M2D0Ge6q6pbvGa8DbzWbGZpgVdOEmR4DqjkDWAFjAqLl3ux5sj95OItsDoIFc5zq0
iahSm6Ti8wSOr+tJEU5NSwrGXkpOQytLLPMXpaoB1n2Z5R4Hegn5hLq9gatKbPFExKne+FOD6pPf
t1FjrY8IItpk4UIqSQwmzF22pS9TQlrxhdgZOjmi9Nql+LwklEwedDYyJTxqlxaXf2BDmzvY5ZyI
a1xjxskkB/fWhGOyITGKICnpIjcYsuaUGYY8pBh2P5Ts87F2DGTaS3Rqd1ZFkLlP7foKtaXcQWSp
trrUGXapAe3i/7F3JttxI1e3fhWvO0ctBBDoBneSyI6ZzGQrkuIEiyJF9H0TAJ7+fmC57BKrfun3
HdsT21WiMokm4sQ5e38bXeAlwAlzV7YyJ96163dpMZCqUhcl+uwh6y/cYfSJqkq3eV6UaxOE7xXG
NaKro2xc2yCswAjQYE9s6mZyyoObJlf5I0s36Q4pIMzVzPD/KkvsLwQlhjdmWLfXRCI6NwAkhq+4
g0cSdQTM+Coab3geyu00lDGt3DG4hik7wZyoljW4J5s9cIxgTTihc/a8NHiIqtHcj5GtXWljMKI2
bMiFGpzGvAw4auy0RIvntQA4Mz1US6qrE2T2l9oWxR04m5SDTxCFo0+ulTn6sGec0S+neb4oGsO2
Vx4BtQQ1F92FYqK0U1kaPqAGNY/eDK1jJSpL3UtP4LR2K6S+6x4Y0rtQkskN+yIEN+jdBVV4SQ8F
zDYhZ7Nz0SjrPqmddZv00lxJ4j4vBTIMwi9itEbYovrhqg9D4yjGsdwzyEfHmRAiTlnVNjeMmIqH
hjKS+tipvlG5PYq6GXyknu6BO51vMLBJf2or9zRP2XhDLR4dSBlt7kMOoE+9OeeE2arReE3KRj9q
c0Hvua5N56Cy0dvKpPo+eHWwR+Neb+DGYDMiUPHOS93+iSim7HFiIvBoqi5eWFJu+lhzFIODxBsG
37XZoT81Np6jum1cwTcqwe5gy8x28Gmmq8IrrIMayQqlWE1BMPGz2pXAEkf488zIj05WfF0EyXgY
tYrhSBmmJk8xqtzIclEuxghk1gS+T5tS9ZWvAkxsXJcOmkm2xM3rfmW1ChOrV6yZ/BoPEuXLVac1
X+K5uUsqzXkbLdhYK91b0IAWhZGFjX9O7rGzy2OO4PcSIU21YiQcrJ04vPBk65wm1SD1Kfv2bgYI
s7YavXy1e2BzlZrLa0jY87dakbOxEsDHV16uKtg/ofwSRpIMxxr70orIN4IwZy88SUP0XzviKguY
K2RF5GQBpwIwcjJi74qr8KU1o/h7RlK93w71pdEHamPZalxHQw9NhVHU3tQcg1BHpaZLY8RgIEnX
pL3eGRpvnIywk9ejtm0YByDdJP7mJk3aJVe+E97mQ6Y9tDHn0CxYOhNRrpJxbyxy8FLJ1vXTUJl3
Qxe431JFZ2fVxz2KN9ovRCQF0XQLn9aF9VNYL73VlEdA04jMpk6wzvU6UIJQFIgfmU+2K0MRNeMQ
i3Q/Ca09O1Sx0yrsTbWmN0FboY2jC3y7Q7yqJuFeavQjz2QmYpEkc8zv9PGVxPPiVqD7ugi1AFY4
YEY/TOhUkEXoUcPJ8VLrFt8nRotXWTbWe6nJt7iqjUvhDC3UmJopM7LGTd0Ak4pzgCvQf9yTZ6bp
JVAUZhfJ/BpRMwLiZOYgx/FLqTd3QAF13xVNRPoNI68YD+s2Rgux08lbuqlFU24024BII3HJ7kON
QPh0CMlSjYN1UzTiEWGf3CWhpW9531+TuXBvawPVV8Rk4z5EAkofqakOKknzTUPzIjuRPscooy0G
CHV6uNfUONFDyonnwjxU3vDk0tvQPXUdE5z4Vo8tKapGJTLKHuk+hHYgD3zDaW1AIqI7UlFrZqmV
X+eBRji7MZUXAsamryN9WE+tHl9qDSQguyggYPdjv5b92H2FyoNo0oUvPTjpc9eKb0ldpbj9jPly
QPYMGLJV0TW1bg4VqyQdJqf7MZlj+y6AnG56MfV3CfigzSAVuqKQUT3yahf9nBbcxbQnz6gVup3y
zJpvAXJqCOlBEV3nUcpLTmqI+yPtQvVHUiEj3yrUtwaq+HONWXSL6zV9y9E+bghG4r667jPM/+8N
eUkXKNkdX3fSdF1b/C/yVbzVhEGHDlKnX+hJJtdDTBIsmldxCd0pefUSlwZxFmk7fM1ghdogu0m6
jFAu8ie3kDvqC2wM1aav6W+aRHptnZHKS1MkNqVGNBzjvESZlo1Vve6Epq31CRstpI5hYxIw8NpZ
Kvb57vdxTzxQP0X2XnHY8GPrNEtU/AXqPA6VnrEthfVa69VN36N3LSDE0jaYdyzRGkg77UkA8l1F
kR1v43SmwsiAP6V6eXaq5sbRUd629W5WOdQ9gDzLkPvW1Tps0TA2trBP3BX+VVp6cWGsQMQd2jkL
t4HMTmauabdeS78ls3tvTz5euCYp8AZ36/WEUXSLwzpezYTK+3Y2YfPvxRqEcLZDcl6uuxlqqwxL
l5TZXuyKwURPqjnmlUbu84q13bnvJG1M4nFL8PfiO5E/+KenJF/FgNtXRlxZbGQpieWF2d8oQ3iv
cT7VSIB5/Ajy2tugW25sDayW10FkG6weCYlX9RdjjsMKCiuN03h2DzmZr1lsPcvA+fLfs9T/avhn
28sB538+Sz3G7WvJUf6HABIkTstP/SEds39zUbmQWmuQl+My/frXYcozfkMGiSXHQ5X0cW7612FK
cphyTZRczDHkBxjjz+M/yRlIR0iOecxlDPifjP9+nJRId2l7W3SZoLew6WL0/rEHzhAAEiK9zqO3
mHQ+/IGWKJr9PFHk+F3TWhwk/3WB/maQ9Xcf6KAsxetpgSoQXKk/N92JfjXQM+TWET6YuxYD/Sj8
/0ynkB3vQ4x8559/3o9Dp99/QWJauF4eZk/389AJIvbcgh4BJVlG9kvi8QEAf8V9a0E9/vlHLUfP
fx9NPz6KW829Zj3VHf2zqQ9FSRT2qZDHNMcKFjsJHe1uRsZL7ATuUiqfBweUyPl/Iaj9m9+SJ8ni
aXBhsTqfpaWqTunzaY08tkaCeMKt0Jei4MBIyDHrV9Mu8eMZ/OMX5QkUHAtt4cJw/XQPx5IzqTPG
ktoWtR9wpsWcoxId897QOXSXQRlW0SEfRyqpqYmG9gkPHaYApCWarxvFfzYZW74QgtrFp4wU02ZK
+qkpAEE5APkYSDh2i9mTYUu803Eu7/4/P2tpjtAbkYIH59MUjn0aUwbhVERRYCnqJTYMp8vxBi5e
xJ8/UMt1/PGBQhVAjwVhJ2Fbf02b7io052Uvj7DrQbbgG+yNXPvF7PKvjw4fYrOtcA0p3YxPN1Mf
EokOJ5Nk57VIkd2BY51r4/8Tc8r47ue/kViuzudfCYM1A2xTcgk/t29cWNawKIR5TIyYSs4c+Ey6
i4sNusFS6OJPfZE2HnCTkfUtpmETNE1g/t4c/B+V2H/zBNu6ZNlbSMOLGfzTAxMYAjYwCYnH0e0M
0nELAd0y8JhjEhXq6zV5q5s0NZaafu4XB+Xy8loVTV1WkGb/84vyd3dggcURdsadRp/+aUnMsMPm
acXLy8DnVtfRKqqihyxWAXP8zz8K7TvsAdznpmF9GlRzTmrKxqnNY2xxeYlP5ZXlvMZS79rciZ9/
2I9LPcs3k2Om4otTl4/7y+NbRV2ZYRDTDgGWzhnhFMr2wsxw7CrcUANzLvcXz7L4cQlePpLZuIOh
wOZpZlL+aTuriFpe9NbeQQ9o+sM84+jW0iu4tcmBuQXDyn01rXm8jtzEuP+w4uZjh8SWdHO1Jnao
RiLI9vexgmCTrLBqzAa2oABHKoYiwRj25xeJgL4fXgnkOzCTOGNbi1XeRCf+6fYDo0nkmJMN2WZ6
vtVnxiZlbGvkm7dpT+g4rLkQU1rSlIFPJMNkb+i32jcMMbF2kzjEd+Rwxo0MrLB7o3Lt3kaDxidu
3HnxhdUaK6/eJGIAKaWQh4kQ9H8dufiL7LphQsGPNbR2Lxyoqg1dGYMxh5HUX7vBKWmMSvPQJFxA
rJjJdE2QOi5xktYYBs6RxgzWC2qxF/TtUJ45EYOh3MNU72cwZ2Fh9bFJ1k9R8xkuV5peDCy9mtH8
SiIRpXdB/PW5jUqekN/9mcgC550GCsEmB9Usjy0JGhjZGoEh94NdkCZZ/dWpCqM65CKeboWLlkcz
OhKWZywU8bOYvMW7N5t2CikKvfIDx02evS61X1LoUTMHC8N6mYTXviFpXHboYbBeAAEar9UcGPuh
durbxsY6ZCkHKG8cStSAxACTvUaEVe6LieM8XFNe0tF1mQ6nmm+OkisaYAifKPh3gWm2bxjIoO6W
hrhntsT18dBO37ZtOD8YyCLeKm+xZCO+9R4EARlvaR4ai+oAVMLcBoKGw4Qzu68m/hRBmOYFFlT+
ljyZxD1CKYHLSKen8bHLFezUtIiRMq6mPGoS1E6AkleT4/Bky8jm8IS9ZXYO0VKYaIlDk2Ixf4PB
GW9hxdjjJtM17O1WkYlzHdc8Namp4ym0U64mcz4IyEPpTjQ99QA7YbWslxppW/jR5YCSAI0lXwa9
xXKYp0v1ZpeAxHmCwwkq0gIliLR88SRaNOv9oHSZYDmTZL9hgrrMaguTZ3kgaumh1QP+WrdDwTSS
hH5diUXiCjw9HbdTxr6M5ILxhV+ZDP1mJ2MCJ+LcehlKTJB21JNJ28L7pk81ieYuNGdjP88qdNZG
aMvnYhiKe3eOp1NWD9m6ZsROELKWCZfsXL05xFCKL0Jksfwt2Tj6qpjLfq23gX2fZXNMirS9KPTJ
KZrOREXqx1xGJW6t1PM41rbmQtelAVnM032KmmuDer1CbavTySh4JpH1621x01Ut59wk6PPvpdV0
766cGV4YTn/2bAuY6zQmoDHBQlbKnzMWLoU3iIugTdUT0oim3bbWZL+ODCnX+BQL8PP42reEhDqK
hOgqXhPvQJO07MuzlwxC+cXcRs+hCXjawXx1IrTO3tXFhIceSWm9c1tlf8XZukjAqvnZDlV5MCWt
eLpscn4usjrdYPGYYWQN3EY3sAaf2W7xnAC57NbFELUMbxtntxSjkJ9HcpnXTZNrtJ1grQ8UL9vc
JV6ZhSlYFcznb7F/LjHydXWRNFG7nax++h4gxNlEWqzdTF6ZP8XpQFzWVBCsU9AkTXCkE3fYvDgd
yWj4hrV1QDKb3w+N2OaEdyeNq50X4QbLvxkgKUgbMxLrxfoFPzmtPfxvq4bha1gud75Sl1S6KJ1M
wcgBABeqjyDgg0j1DOgGhdGFW4KIyhgoLYG22sbIy/5Lldo11IGi3fYWQKki0l8zpy2fvAymRuwJ
rANaYK77jO/hkct1w6400+Jleb+0JWTzKtS5ow4wtMuSxK1rveura9q4PNQawZPdyxR02ExRMqCn
RjU+bkrmycnRHgMKbMMc8QSy2nZvYbNwPcrZo7+ozzyyejdgjnZ6/B5uP1r6ZhkRMRBj6oOlm+7/
7BsWI6tAYMRhCq/5H27krvXYj93eAidAt7ZE8r1wMkjvqdpdGncsQR8G5g8WhDZyjoK/QAlnD7O4
HyrJq9+DSN3LUdJKtURafa1gSvDVYIwzTM+K7KtBYjn1HB5dJt/lAhogJqnKn60EH837VA0SDobT
BZvM6dpNkUj1HQsyRgQr1axHmqzeBQT3do/2JYxWxRiS3ZyJJPrWDt1LUlnmxpJxSEd5Yvl4ymbm
e3dkDZfm3jUi9zw02CbtLE43kVJEeGv2vJ3covpCTzp3Vp4j1ZfBavJbO6zejWx+GhFWXaH56fas
q06GFqDpN7KvjDegzeEb8H11F/YOd443nu4qvAIP/ZqjmDtFcTqt6qx1DuSrtSVM8azK/RZkweSn
hBeqPYl7+lHW5XSqW3I77XmMCVcke0msbO4C7S/6CQ9aMYzFZhRddhqbRl7NzEiuaiH72zx2a58G
d/sqBy3blN1sfis9ezh2JCgYKyswYogwrgnACfD9SvWz8lbo0FguCF5eJ7krD5MavgWVpu4UrL0b
gb/81EDKfU6VDZEOrJ7HXrkkMNakSpw9OcUnNDfmQfMUqZzRELYvRkyvP3dMb0PKdX9E6awFK8nc
qEG/gLlZo5glt04YBh1kmlPjNsoK895Oq2o/FOZ8V0EBv9Snfr7p6EWvPLB+X/usq/uN3rYyPozx
OFq+W+oaPu6A5ufZHnVV7byob/eccrXLBGf4Fz1uDMwZaU9Sh6E5errveXjOih3+XQw16LyqGnYj
G+GxSNo8W1deFKBhFBwvIha3HQMcgVedykID0OkMN6ExKLggSUATuWXJ+5qOHVQ2jCKA+A2WUVOf
vM6vK1wJayPH8QXAszROnQPJezWBUnY3buZIFkShvpcGSLitR5I7cYOhvJCyRvGR2fO+7Z34ts1F
/YXGcfvgZpPcDCM0+Bku8SpF0bySRJqK1TgnDlIx5cS+COboDWkQ+1CnI/kNiNXK1pJLdT3MnFMg
mTuNb5VBfGXozvhFb5R2suIOlVZsEubtMvl2VgU4ky1Ac0v5pRF77a7n2X0PSBB9rFyze8Wp6rwp
m0S/rY6LrvVbTA2o3cqMnK/ARR5JAmAdr5tonvq901XvVjSG122Sm+xyGDUPS8xAifCnqNfRGON7
k07TQIkomistU8nG0G3iQ7yQmj2cJ3INiOt0mIL1snOPaU9/W5PO8IShA/yJE87JlU6qhr4KQOIx
TMuyboWuWbuJNJO7ltFAkmgkGeT1MD/qMfinofC/upJf6UocInn+dLRZv3Qv//gdp35+yfHe3kbl
2/d/XLTZS/H2g7bk9x/8txuCQO+PTqNnGz+0Qx2YeJwVdTT6/yTi/YG9g5NuCBohNj0uuTRT/90M
Fb8JadHyopfAP/4PGOnmxzH7360JpOL8x+TQyHfge5mfKWl1E/ZN7nklORTEOyRTVDLyZU6yAcmS
b2LDelL5MJyIBIwBU1VPWWgtYgRcYWWfIXyYI0R2CAiYEOTFddbrD4gCQ6Z6WZ1sS6nc9Yzc5KIR
bCRy0pxtMkHfdVvnXIFwRJsqrhNYFS+emZ/AYp9MTe2CDjtv11geplWcmNlApOfQxO+93sfnnOvo
1yxXq74o65WuufNqtPA4wgU/lp5+bYvWXHmNeilJ8ES61WwmCewc7Mh7myXpOicjduOU7tkxx52K
ncqvwuLdS4sTbN/bYLQiaLv9VhrpibSRa5lMRz3kTzFEXJGZ/DJVXbku6/nVYs6SDeK1dOynemq3
DIQyv8kj8xGi7D5uXHuldNpXZbskLWruWXTmUzpkLw4Vy1YP1a3epKflCnQ5Jb9Ms/dkWYVbgme2
ZjahuMjBhfchK8OghvvQVLeLDMh3DTu8aDLvFWiqtxOR3IchQUK9QaJwtvQ2VMuF0XVfWvHBiHrD
H1O4SQxwVSWfIjM9YHd7aeoE6Kd1Bk5DlWPLdiP5hZSM38tuupZE524ns9vWXoX9Sy5gXmSaI741
lh7m8kbJhTKiBjwDdfwKM3S0iVM2BvA75bGr4mkTasu1jPIXFniODxOlYKeAmSyfVUn+ALvCNTLW
684gUC6aj8LFpKAN+rFySs3HZvluZvwxS8SnNB2PBjdn77LZI5ngNyzl9EDuI1O4zs6I/jG1ddry
QUOM4zRCDnnZWMkBWcdDI+sAIcF4n+vWepwKDgVR062DMn4pBobbmTG+uuV8HIww9pOoiUHCO0/x
qH9za/PKUzEiSiW2EyXRbPXNnhSA+7m29nFcdTyo5p5CihRCHadM2g3dCoPz0S6naKMI3CO6UJgA
y3gSxrlDXmPk5qpq9YciFK8egopVPjZUqoQLMbe+r5v+Xo7Ze06OtE/qDClT+XhvBiJaUY9WTHNL
zsm2hgsOlJz/cd1FYaOKkU/oZZMtcWOAnKXDBI+f4/dEDuXwKJr2U+w0E5M1HkdNQHtGNPBMsKTn
O0k0rRnSDjcmO846G8OA6TkSBjb6YV8703CoS2u4aMmUXITl2lUKo29Tz1V+Rej1tAVhNxxITm99
Q8vM1060z9PQ2JfCTSuoK2MZ13LdoOZJ1jSZzLWTzuolcEok6WihcE8nsi4e0iJ4yEdUTOtZtl68
ypnug7E6yyJ9RkXCuWvMNmh+Jn8243WF/2iDCoBjTgP6IlnFY0PsU4mNx3bqc6ZF10VJfAlpJQ+l
xny97S1G0731AnaveS0KqIcFMeEb+kFENcLrrui+bHMGlGsm5sG16FByotdCHp0Yr6XgsNvWObzZ
gYD50RBb02FYybdY2GA8hjUisTXFswuTxel3o8FDN6XOk6PZ596o1UUwNO+aao7STg9/2nR+OV9a
VnGmOTBLJa8+asPPk5CYpANobSmyoUEjBLavuyXM+xxbNbHRwv5FP/vH1u3vn+axoaHGhVHvfu7d
weDpC3tyACTzquO5SA9GRuVjIwL4xSd96mwuvxdSTIb6BhQK0BGfuoTKcUYzgYy8NxDl4wvmgMpy
nJBt5JucEJE1qEnf/vxaep86kx+fiQORhjFHYP6bf/8ng0xoFl7kEgSJg8qKNlY73EPqynzNlHul
UQYuvy8NkSNTwugXv66J/PRPg4KPK2timoSWCukITuanDj19PDXjxS/2nCNMNNu5ez2hcV6WiyPp
0ele98ZX1Y6Y7hVhesnQ8t56wPebaHqNSKIKsSH1IYgc7MN7z2NuQkrqxnDVUVGHM+KA7k3Fv6rL
5FTYzTa3htsxDx90K+JQO8pzT1aGP5alt7MsuochTVcfJMu0/vlF/ptHCGukzoQYRIFlGJ9urJHF
Hvg5Wewjo93KUr/WvfkaJH/9iyu6BDL+5YpKASWVFARa459HL54S7si/5Fn1MnnRclCYkFRs9IxF
uCDrfN266akLRX6TDdO10+n5TbTMB+QcvtcD6/JSqkDPTsGcj8dQg7rgqf5e8+yz2Qy7yGW5t2gf
EYew9JVGY3wKLWPa0dOsFrQhaUx6094W6fgwQo/a9kYsD13s0gbB7n+EPPkexJa9KlJamM3olrtR
S96Dcn5wgU7NXcvmXZn7aLL2UVTEfpjTRcI3c0wdjaN5P187E8ZVrNSC9EPtuVkaM46gxvr5Dfvc
r1/eiuXk7QiYxQz1P92wGWFGLTWz2M9KfJQTIysbqlNatMr8xWhoGb79WJN6uInZp+AWOd5fhnON
McVOJqdib6XDrWzjQ04uwM9/nY836dNnOIxpJYMIbH1/YecCbEy7TNeLfekNFXkLIxD+YH5dVvp4
NqddB+cgNeTe04yzCrxoA/r8gNT0sU2Sby6CZRz7Q4MhLDH3hLeyyXqsTtWUn+DNv8+2IiyLhto+
M+0ZHJ6pUMjN7WUW25vBrb64Hf/Ybl3saVM8+fDXaA4JWF3g56ut0TAiMHHp7Ajl6Va6Eb9b6Cah
xqSnYUwPqRVOzK4SClShqH5F5ReQIWlRd7dlYUQbac6/mNjIv3ljuReexFDsMOX/PERj7tCN5ZQX
e5FxUBiiPPZjgq5pOqT8zgAdVsAbknU2ueccCgmxPw0phSK/6hKe5SAtEM0V/VYFs4KOJsp1H+lP
KqnMtas7iE0H+xz0ju33gXWGtZggtmQlqoDLr8GTPOiGep1bfRU78d1oUh16Nb9wo427NNIfJgqx
VRVE1c7MFFwddRta9kI84fmUFQtfa9Pi9DTSkxgaeTvDmh+8qhlOP3+q/uYlYc9Y/rM4Yxmn/rh1
qLAGRaiGYq/cYk2JM64cxdeRIFmDKvzFHRHiR0XCx26BtAMLOzlaxGV9fidraU6oafoCa2xbbASz
TNrTySFgp/IE92eGyrCaJw5IRF53qyShAgyzk51SAPZlYONE9CD05UO98Qh3WMWLoLaY3G84Z5hx
uFeZl7dMuqj2x6I06cG0r3ky347ZROtr2Yx5zEIzfQnUUqWSY5HM+qnusa6NpeFTrm5IHnC3Hbf0
43g5y9Fco543sEOCBEW+6SeVGrZV0HerDEvWxciM9OMQFBRjuVbkxByKXt3HHQdJF4uPP9cc9axZ
3TddSAKiJC/RHIBSiOtai8HTUa0Jp1/HRToh/+7XWs4/gb3NA1n1w1bIpt0sr1E7WiQzqXs7XA4Q
dFp5nxj/ZzXVEuETJ4Da7tqp+NONZj3VicUr1gX1pWeNr01HtlXPBU6y+BQTDA3NmFJcZvIpiYZb
BSCc1A78q0V+0AYQOASNEQbBC9x12YFD8S4P2FliZvyrlrfDVt2JDtNzRD73IRXWeSD/0zSayV8O
RijQ453CM3lEM3EmRuLJgDL5i/3Y/pvXm1qHwCI4cTxRn1kFGYTR2pBWvm+d6ZX89FuoM2fqCy6e
xWu91F8fR+2yI3ikwztPE5t3voiYm6gWc1XCj0FMXKddkWy81Fu7Q2M6QDjD2keKUGy8sZ/2mWg1
DmhpDnUJ1g0W2/CVUa13YurPpAF+7Yb5qneJRJoq3zHPhsYak3TTw2BSbumNWflIxXt/DImlz1wq
65CDIfthZJbckJAy20mI3RxYQRuju21cjqRErZyGvr+VFibDMmPoB0sF87LCsx2pe0hAaIaENuM4
nF7tdq62TdXdOpwO9mlsnwc2EQ6Z/b1pj9dLNd85f+yv/+2w/aLDZgrKwD+tsn/psN2VfRf9w38B
9RUXyO5+775dvP3f//PPH/2jx+b+ZvFX0XdD0fO7GesPWJ35G5oICgoKmH/atP7ZYzOt3xDDEC5h
oEGQuI6ot/9g1dF+Y69DJ4jci6Equrb/oM9GetenmgYmnm7pkpKe7yF+78P96VTRM4AvGMSU+xFD
kdp4GH/pQmCS3UXk2m/BVMgeTlDi3nixCZfViIv4rGwWwSGLXGKogMHyoMbm44eWgNig4m5o7eAZ
vRaT4tlEVEwX29pXjYlo3eMaHbGTsnmmRckwd0ztfI15DNN6hNfMvKTOJ4lIlJwXwR6bh36us3pT
ezEgHoJNqfJShO/jesbu9d7mCBawN09ym2qtvIpgHV2nUSB9raQfsNFrDblEMEHe4hYUZBSaER7f
YWxJvmHKfjK0JqhYzpg69LlpHtTsMtcfY50hD+Por3rOlyKTKei+8ymINhpZAJELevJ9MdnUJNc4
6JA3H4xq+Fw23XTqZ7L9yAPaxyhGnQ04hfw95obvgSKjrSwsFcLxjYO32bZYgVOh2sdq1jB0kfrX
PkosI4+FgobipTrsesIDrlQfFPeMqMurriUx9TjWY2gxEKW7hRrGwXWc5ZkIfF3UpNbMUeXejCnf
q2bzYJ0SQZCvdDMORg6qo3PD2Kp6FqHrXgcZlQyjjEYX64CZG3TwTJVbx83JPMMdNFZ5dZWK2ru2
2mhxxknP2rdcvy3Tfe8ys2N03lGkLpcx/3b8YC+T0FreCVG7NxrnCE4ppCB7k2vtc8GexB4j7gPg
ghcxLqKDRmz4xdg75VXa1IN2N8t82thOIg7YGJRfZ3Cs2ZsNq90T7djxO5OJbRZx/Y1UwvprA4Xp
sdInxs8erS97AS+1b0LL3U3TRcRguWrybsaKCSUyQe+OPSq8Gc2Zeaw34s3yrcF8poHXLhAFzTLW
XaSpF3dOcZ20wrusKtMJt/2khwc5JkW8x+rbzRewUzhMxUGvXRoMe5SvwMttTH10i2jVkgrVXURW
asG5U1V/y0zbwtphjt515aK3Wwk6Q18KMclThGVChb6ZSawTZDjT+fRtwofNXQgCALy7liSqYu7C
hYBtbUEH+gqud0EOergBIRiYAfdnIQkiVO5rtUH37G5DODmg6WCMa92BCWSvX6D+muJHo2q97oBo
1sIjyOPz5AShdoefiBZZGpycPMdDMHTtY1Tn58Azw8uMisJ7TRipDgaj7ryU2iHMdYf8cEI5v6Bn
xgMww8rXmT5tAlzrW93m/3ZIMy9IN1YPcWfEa82LyhMUxXrTsoclvcDvly3nNBh7wsW7HKkH24Z9
sOf11u6L0AxwGzRYGXvLzCsftSl2+wQjtZ3ib6dGa8M3UsKNbD/p8dgvioZ+PXXjgjbQk4uyp6c6
ecVtObuXHe4pgJeixZVTjgcVJ/0GzWxGazmKaDrQcNek9mbNrDRZ0PgkA+8InSGeODagMRP+ecae
d9fNbbh2QrVgAK0H0SwpdH3fU8v25RUg7VthmgYjAY7CYBpBnMs6JGErQMNZ2fgbCkZ2iVUc9aJq
vyeTc9ZnI/gK4ETtR0Dkd4VNcZswoMcPCQJekr58LfrA3NYl0h0VR9NO2vM5rl2c+ACW/Shqs+0k
8A2Ss9b6gn4ADP+mrNapO38tA8xkU+ZczVVz6hRgBPyddCvNstnVQdFsE0KuTjh91JXd4opkMP4N
ylm9K2JmpTFz+y1U9AS7kdX6JXFqe1APMRFXg7bkzYvjlE0DvODweQHNrUPBySd1pmJteH1JYVI2
jyqp1V7Pw+4L/Z6OB0Npu7AZ3/vGznZTlEwbEAkoFlCAPpupRXbrGETywk5kDvWIU8YFBBSV7s1c
WscCVPgWDj3iowo36q4CHH1wA/oNo6Y5N30Vebt4ZmtKcmaunSWxnwz27Jynti44G2IUTDZuHXcY
TOrgwatJDjCtPCDcu4/Os+cCNCnTkrMJAbRPlZPlW4GSZRXEhrvN287blfOAkIIU2EesQdqmG1AG
lQiSznhry+NUKxDG5A/cmPyLU2uPGlyq8MFB2qX7wqtxC7WQ+xojEOMKa1MqDtaYhJdemrsePTKr
RtkS946fwudasPh4RaXCLWZBbPcHQ5hnE8PbaiYtsVlpSHDANQXuzqmc9IB1CmBjhR2qRmnx0FV6
i+W1ZdQb92gCdLO5tYOkvKHZr6O6J+DW7bjSfcZjIAlORC/mj8vQxgAMsBpaqREX4yTfTaZo3/u8
oQ8XmfmMqDxQaHbQBR8K2iQmZIHaWiOrEF/KqB9uI6yZb6Pbh5vKqwmNCoxnzevf47gInxBcEh8+
kZDbSutLIS3txDtFGpyZLkAi1rl5qoMvYSN3NFifA7t/dY3a2s0lwR1zgI3bjKenaZi8NcgVY+04
zUudA3AZTP2CvEhAsMKovoeBAw0h0aCau2ayH6CQl74xM8if7UAg7LGbTdqq9KYQ9rkIAVDS4us3
eWcw4TZC3Fm+ihoFRUzk8zmc0MBUefvWJ9E9YwhKKeoLujGk5ZlDtv9/7J3Jct3I1a1f5Y87R0Wi
Bwb/4J6eh30jUtQEQVEieiDRJTLx9PeDZPuW5Iiq8NwRtss2JZ4GwM7Mvdf6VmgXEB2T1a8Xr8W1
9Lt1M9NF25FT3Uazyu2B7ORvTlk+WU7A/GzuxJfMCfNTm0fhd4IoHiZlfyScPqI+J8jGCl/R/Qls
Y4QS6FKE59gky5UUExZst3ttU84CODXOc1Mm1E4p96rpyl2UKvdUaFNfuEpekAVIak9gf8pnU15V
3PMYuQL7YPcDrYZiBC4riiMAHHluR/3oLYi+7CVrmGzC18iK5dvI/nM7ulP7SNsepD02rRJ9q2vo
pzRq7zMG2phmqA96IlGgt6L3JHU+24COXkXnu7dglyvstj7uxJH7yn+vndq+yJeJQVuWy0vZMJOb
Oud7WM/EUtrf6Hp2Ge72Sm7tZphPkUyA7njS2+fEI8DqCLIjO5bwAbJ/ugP8WBwEu8dbpwkTKBjt
ueeit1V/zPGcZmbwtn4ouUWZ4BF6pVHA2Xg+XFl8IlUnYKqaTUc5o5TB2d60D1NGhkvBUTBUAZ+O
jCSPJf3K6oZgR87k8wh4bt1sdnZzizI23XpzzCmv/fDz9MQADV+9JW6TebhdKoRb2Uia4RBuClRV
zEUbCML6aR4mFJQjJuDmmt1ajgppodM2Ii80ZiJbQE3p1hQ85j5YJ+i1bu4zqgo9/woCcHQV1F1D
Tla/cQxUVGIf6+XO6ZvyZxvnvwe/vzv4cXyjCfEvF9W/Hfyevuu34Zfz3s+/8U9eh/sHSauOCxMy
CCE5rsajf/E6gj8Cdw27i+jtYn/iWPfPE19AYmDAj5wA0QVkQfBn/zjxOf4fEaltOE9w1fz0rP0H
Jz7bc3878tGTg1bDwQO53Hr2dNZB05+OfDwvFvCZlnSlzulfFIoehLXmPdJOdbPYFi57y6Zs0dx+
COfoehgkrGBVdI+ytR470Q/nCbHqpovC5dprJ+vCJG6QIG0tsrup6aw3EgQQjgWtQH8YJat+yHfS
4a4JfePee15eOjVG+8oOLxa7jxyEbItoPw1V55AVZJVL6x5lOUp5DcVAhMUWMNKCFgnIx1h7myQh
1fiwLKmgyMu577tPVdSM0A3ChjPQOYt14DDNTuJxH2bCG1C4eajTR4BkFfWwKVe5u3YMQXs5bUP7
HLYGY75JB8LqFuapOHC9REdHGlPGv5jy1oehVdL8L54SY1nTGolUKiRUrd++FU0SfUuDAjnz4nAw
Iqw0a4VCDTFA5iFQtC8kh4rKQ7dJ9/EyEu4ybCfocZdJYbOizSOP8UGBsVb7pWXKtgMmeAKAR6ZX
k48EtTTuiDxSR2iOI/8Vwp+3idw0O+VD/pjCd+ZiTcV1RwE7Fc78XLTAMwpAKcDR4vRUzinA7K5O
s5dc5xw9jcovSMC5br3+MoNh8TKkdbOFWnDn1hokSqNiTsdp8D7qZCasZ35dCjaADrDlUuMA0uWz
VmODpM4uzvjRvqZ52+/dpJwel2iCkcU57cj56JmxTLuh/s5HtLGQUJzmiP3yAd7lc1A5HzRWxssF
xtsmLtObJevCbT2Nr209nGvVNqdyhAkdAgHVS43224BvkFIQL4w6I0tJMC6d8lkKCxgZVX9f1uo7
fuLgug6W5G6OgYVgK7cQX699djfZlVTXo6e8Vbmnbh2ydXdKQRJJ4QRQyIEC41vrr6MRDFfIiPkC
FEx+aDTqQeJDsu0ydNFXyAPqWCs//xohaDtrWhJ72fnWQyqNhzox/Q6su731rfGRtVs/AuqrjkLW
iM1zmZ+aEozHlItgAzDbJ1raJ0o68r0L6kJ26NFMHtLaZ9XKrPioAnSKfllfcJBtd4BGCFTCwdFs
aQl8bXF/bxX2h32aYlMHnDUQMOvWSO1Hs/UX5Jm+UNUeykG+iRz9ZPsN8LGqfLaq5GIhGHpTD/Sg
/dF68U0iNm6pi3PWoW6yEMF8uKAUvkxLyNpJi76cvRLVZYf4kbNweVWrcroMyGm6g2EddaB/Fgt9
TsDIV2Gz9TctHiTw34VibSM4yzo5pZge6KAQilVh5bkLBDA7tAmIWiTqgQMb3mifoCbkGEPK0NMQ
1CO8BXtJj3nROrTb057kSHfk1bix4IDQ3X+fqo7oo0SpO2QGNols3BZprCo46Vqbb52kqO7T0DPn
acwbxvWzmYE0cGvpLaHFQm873u3K95/HD7vrwEemRB4fAj1N2YcphphnbSa5kI1AJ+cbxh3D6+Bz
tzibzMMcZKtaXGZNXCPZiiQoBcvB54j+oivp+JoiOIZZS5UAq0VYEmcGn7MBg9JlDRfp3D2oDpKf
UmTeToTEmdyL5zCX+qYqrDceqRdnyQVheGVL0A4neavzbgoBQI485YLQ6fxbMkT9Lndk/lz3BbQI
MhTya3r0CpYMrPcdoy5mEHXyCepHiWs9dmlqwLc72zGgptBVV4oe2gNKPOuRHJ7wzSGrapeWMSk3
ddwX6LwyHmMALc4+aZvV8WHEdZCYdj8mI6e+cRxvKixDSFhy8hAsYY79+tQyzg/uCWZ3D0mHYJ4G
RkZalrqDi5TvczOcZuzOziahr85askQbFAXN/eyaV+x2PoqROn7vneE+1B52/KEkJsGNxs+BWc36
ggBrx1UXHjYRaEmcuzejLUcG1ASUFdZoXRqM1IdoxQM0gthaMhOBp6fRShmwqQeRuckRL98ullDX
Jo8LBkwTSW0NnAA9kDqkQudHdmN6RLKFEHZ2CIcsimkj7f5IfCYzVne8jieqFnNZg9CMo5AAsHYx
lp6/Cebe36T2/DBFqL/LiJZgu7IV+GxQg7U+WqZDPy8UNjJbC7qIcf1uVk6DWKORppXdIIey4yy7
Ah0QhAxPMLHiHUETZtfhh8Bm0l3EVgzDypIfugs/EQzY7uEETgcxyHxL44tYSg+pEbTF7DCh1zpb
ZfdtTahmu4k4XFdEOszrqdMJm1uG0gJ6Cxe2EaY4zCujYqENjaobbkUnETfDwyKDPiU2zIr4zBPm
L+bNJfWuC74sK/+iQTRDnuT4xWnL8tKXSbKxDcDSxAUVL00BqrJSeJRWkMZclh/Q3uODxuCSyjWY
/QdyA1Rdcp0gBaeXUlD6yzj9uhKEt4IYvrukdJJtRi/nZvYixeLu4BgT6SvAig9OnN+9Ma8Olc+G
QWnvBR048Rnl0D1XEb9q6eFTSY7eH/3kMeXDNLHzKKJEooIQaf2quI+dVl6IH3CREsHjDHNkqhOx
o5i2VO1cvUQGKKs3uo95DtlUpTSfCo2qcgry6itZGA55HaBNJq8ODoUKMaTEVnNgolZfMZud96NZ
vK1yzdchSwwz0CDEyMZ7mLOy3AsOzc+DcJa70h2gijYL7AFomBOkzhlfar9R4A1feezLkaZOEz11
oc/fRf3+iOb9Iqj0jIs0Tu+noZrv/DEpXsMiePSDAFl5ld54Tjuc3ClKcUZlhURJlPBF09v1PtGl
nLFLcbYwY7T3liRwtujR8RxNaoYWtIJr8kDRAE9bh+abbmixcZ03jrTbW2Uv40ksOjyF2o++zOUg
XieAOYVMxttFuHgylMrUCeuaS5JYoGiCF3hhPCFH3JAZMFpHxfSzfZ87QtQPXRT7DwipBrGlalps
MaAVbH1vqD6GHlTD+qCmXFP0WS3Wuj44Smn7PDINLfgTh9xl2k6E4Oygf+JrMEjWR3GFab/4POD/
/Nqk3bmas2RB0ZSl2y51v5Ff6NOGy513GE/Q0hYylcuNlU/6Qs4rUCkvs2LaATrV72JFL8kfEKYV
x5RQPK8VHrtj3AR3S9BcJhwRw51iOdAnpngFt3Ogwm9JGpKc6gzhbTz6+Ysve+/annJ/B6Ws2vvw
uJEXyIVmTkdPuR3d9qF3vT7neCiGG106Eb3WpMU3NsoJOgpOznrH4ACc1Qq2Su2+OCQhwCt7RV9J
3heqkcA6FmQn1EekAPkL1ax8YYmbPlezFo9lMSY4T8P8QvgzO96kC85doyy0iwiLyo1BAf2cOjka
N2UZUkwWIKUoUHggMkHCgsyr+Oys2K+s1na50V4jsSKlYo+3rr8fFz2+iGiZvvlM1U/R0MaXbVGM
t16a9Z9a1++x7w1tMe5cwu7K2l9N71mHFKIfiZXk+DDM0MKosFvOSVO8W2LpIqCopFH7vOB5uATM
gScvWmFqcxItwecUu/yyU2Dt2f1MXsyD2INjw7tJ598rveAmIK7xVYVzYLFZmR6rpcFaDrnOuq4a
nb8CxmwOfRLV3q5edEXHvyErMyrSaON5QI43w8qUE4lO7hV/9KRryiuS9UeShxo2Yd30tVnpdBYO
z0MwLull/4Nf16wou7FW9RODatQ0InSO88q8K1rod6Yes12bdtVWWkvFCKaX/mFeqXkMw/p+5y8M
cgoG1XtV2NNV3SwThKKiOU1AX+8cgmvNQ4SltL3VaaZ9rBxadNh/IcE7bBZqWqRmja6YHAYB39hu
5jTqMLV0s/fYjmlQ4lGeTBuF/XAq4qyOIUmQVnNZac/aBkNh76EZNv3OHTLqKPpDzdYpcE9jFvgv
DjkdaGTnVIanvuRZ/Iq1INkJq0jSq1ypvGMGg/cZ3V867wJnIoGvtMKZ6gNR9QrEojxNxBs96G7k
LEAOzXHxg2ynRmOd6a3Ki557cjeNbn4lCx+PtTOFH3Xfeu+iWRvmfU67+qhr+TSUcZK/YmOYtjXp
M3QZg1Uytyx0KoHuf28jmZ6CqWYLbjPx2XZ5Hz4vxSz2eUB13sdDVR6APCxvgo315WwILK44H7eh
FMeWX3tenG68l9iVP2faqx/m2fbPi8znrVN7cudnNqlHdla7YLlRr2CvZHfQrQkw2I+2fV+0N1iO
YC7wHj9h4URfoHUMqtYu9ilrHZvzzuy104/7qQov6PWqXcvB/WFM8/jQl8J58zH3neqyl0BmqUyY
qqNNmLfZMU9dtetbQPBuXgdc3iGbv1YxPEashLeuzuJvAseP4p1gPxAOYwHHnDq76thKTekVeueI
1E70tAyTgu4gY+3vO0YS6JKXSmzg4yEhT+qMwCSW8URb5ZeBPf2mjcP6ZGE0B0jFStLMQUOyBGbN
rSUsg3fNdQ9t4qHUj0PrdnQX8yDn7DQxqrzWJb10P23cnh04BrrKZNl3KQPvGgMoZirZpYyzyJAq
Bwr/JAsmGxls3x7ffY+6nUVnNvfZKOIbpVNSX2h1nsog9/dMqSiYQ9uec2HfRVGt8HDiMiZXFLRd
yFS4aYFrs7HropsS3vxW16Lc2xV2paKK3dcUk8zGndfA6zrPaljZwyuAwhLFdXT0fG2LTSvVNwEg
+hRh97gw9crk5+CZA4gaJ1RK6Yq4ZDZUhCkxZ0v15sdutgckj1eh0Z8ltuUsjXZm6ch2qj4PBeb2
yplEu4ezToSUdt19ENHORaCanLEZ+G+wuxM4+SLYsme2xdZqyFHcr8GqE2bz7gqOXMPdMoQY/8pw
6/ReflWlaXlH/0GI3eTpKdorKdTNMLLfJive2XVr+0dHg7yIu67aE0G0nJj9i+9zwxGtGAt1qr1x
2s1W58AlC+kIyP59zPR4DmsSiODkh2f6WrssM5Kk5gAbKkK8M8NRdb+UWXpIGdxyXmMrZhrUQt5S
1BfNJFWJyW8wLwwXyClT87WLWuCZrdRTbnV4/vsxvMwCpAmdXtg4thkJb8vaZp+sHq/z9CW2O3wy
xt1khfPcWJS8QnkwlAPS6WffjV4yTUSq2/UMuEWkUKgm/tPSlsRSL6Vz2ZjsKrea11GGw8kM2SP0
9g+82+z/DLujJpWkdLUOGfVEMLiq8b4N0AJ3IkUOLa36WUPC+JCytrAT4v2H/wiJcWtpOTGtCeqH
yIwi3bRpAb1ERskXJSYmHlopnAaxmR86eIuMzKKEaQ4NiPngDwgw2fzTLvcqDdxtcuOHhoKFntD1
24CPl4QT44JstHgS6n0gyv5MG3wzLzl5bSZNdlwqGV7Dwpa3KvBoEtiltaaRlTmeVge4J5JPhE/7
SWTyBpdYdMF/4UdlE304qfMAJ57iEeXE2kM4PxufxdV25/eklBMGTatM9zpYJxIhuHu/0uclD0se
dfu5Z0naVja41clZe4GyoaUdT+EmtIM1OXxkl5dDLkTv6G3TwaEkBLpX86loMS6q7ksaLWf00WJL
8CqTndS6TmJmr0tF4izwwrO0wQzPbhnuwzKoztKn/QdRbtg2bPUh9CGbTbzuqk/VPQndWDNz7vjE
+Az9m/vOgxJHYya8aDzQm6E1ZkfOLjQQl9q6nR3vJbe94XJMLAlsP0DcXLnNMRMy3edtbZ90weGs
96fhokHsR+dibDei9L8xGIzvJ0vQhkvA7GWt+VLCDdk6o3EPuORxqo3uV4z69uMcwT4PNHN3hPDt
/N0fQvVI7YM3EfhksEF4P/cdzShhF7hLLe+6wklPnyXPnX0vyvIUB821N1bDNllcD2dITsLMPkQw
zrgBjNiZvDlGjguJBrmRbwOslNdViV6v8VTLewm1U29tU1pvbVD3t6GorFPBgtdDig31KSqL/ios
OSJh7yhgReUpoxUv3bu1MV/ZZ/FopbJ+y5ms3Lazm1wvYza9W3nwgfTASKgC1nDuaEPfL9qDyJ+H
c7OVuZg/Rdqf7hwn85abVVcuN3NYt0e6oDVo0NGVK5Q0ONhtboeM+nO9k2iO+i0SAwnCFfmcJxLr
xkbVq3CiDzjaEvVkUv8TOwT/sQNYQBCjGU88BwhJ+oEpXRw9z1FAhc8a5zEVDJeGzL2N7CF5q/Ua
G1Qn0dYOHWQK1RpPfDk7bGquKsb0m45MEJAS8agPadC32O3yYDp7DfVnE4yEVhzTBEEtTaIKVze9
MPY0dWBvGg43bO/mVvrbMGj751563WXXkVmwwVQbE5Mm6PEZWeBpoi68Bq2O3RtmUeJJ8QuCXdRN
y8uEHHzDY5zQNKJBnTElNsO1O8npKuTuATciZ9CVXZMDkJSy37FgxZuRiHV2TAYlpO2MRBb047oT
osq81mUQfvH6LOLRnorxJCMcwZ2lOzatEYyeTWpVCmuFqx/9SY40nwSTMvKSiW+XDjSQ6ofwIoMn
S0hKkuodPTXzYEoE4FuXB22/dCslNBw4eGuHJZotaC13ypUfM9vrPSOCe2OxrYeHQ/4FcqmdL6f5
mOZJd69T5bwUBTvwHaq6mvO6b98NXYvnHTlW9DD4Pesptay9AyigXiwvn85u1tGXqRngX/fGGl9K
aYkbggTM0ZHoojm8Du79gJ3nIcbvz5zSTuJLy8qcrwb8wHkcIvXoOKtEVzsTT2nbUFY3tR8Bp4wG
IP9gRAoeyhlv4G6a6Qpu3B718Q0d/pH1JO7dCvOPY/zDGMw+V7ou9snYp8VOl8Pdkg4E+gVGYjCn
DfUkljA9w/kqtw3ssg9ABDb4h4GN2hIAqKHT0aM0R/BGBE/evUyB3x5mi1U3bT0WM26pHYedfC/S
oThCC4gEISr1ZZ/o8ELNYtzDnSmvpN2QEF/im7hqEVx/Ii9zJBJQk3SNwol8md5LKCejdS8hftwg
9I9ONYj1/aAWecT96G1dWXKXWD0y4Ahfyme6txaL2CyfBPu7q77t5sM0svunnRnSpbEyGGGF2kZx
CmKAWcY2lUN9PY3xu6Vse09xAsqc+ePOMot9jcHB37oFtoC8cy/azI7ucJHqi9n46hwQXDNvQGaD
8ubUMbFj3NJv7s9DFk/XcFXLK2KEvsJrsvcKpNWhiMxbCmtn63hkRSdRQVvRTmp6Zb15BieeHMLe
zvbSWYjl4kY/ZgqQiOqNcwFqjZ5NWzbGodG27BBqgShB07kZfeTlllj61xzjx5ajAlkWvcYjEdqM
caOwpQ9s43vfAcBR1YP2s5w5M4tN4a9CknJR5ZUVdrvZZ3xDj9Vmp9FmBxt5ziZulxu/XPj/RXI/
uNrczmNDH1iVz/HgfHZTirVvNfscOfuOTslb3PRwpFIGHjNww91gVWLXYIA5OHaJCcyrj15aPCwR
sZAtcDPkxSDXyUG7Bd/sbqqie5FDV9wFKcIwyzmxsRqPiuzVL5ZmDOJAdXUFwa1iYYcMiQSBDXGQ
G6Qcb3VcdPfz1N2jtqvMRrQRS7u9HgSzyrolZs5s0T9kF10jnCu8ft88K5yu1wCdTU/9xwK5ICwH
ufZ5nJm1p7W+UlJqzMLdy49Z7H/H1n83tvbQzvzV2PrT+Jb9MrX++Rf+MbUmyeEPAQKU5tc/ZcX/
mlrb3h8iwObo24LIQLTC/5pae4iRoS/a0Z8CEX8kTwgBi8pe8yX+QxDAD3rln/xQBNLjtBTEq/2Y
VAe/I1FbBBLso8icjRkrAuGIEEOaww9IV1177kWpV16eSlN5yVgG5acxKGZyBPFmRcf1YNBXgQbu
jWmK94jW9AO8SP+OKjsIMq8qTR4q1tRZTJx1iKrykvnBCo1uOLrECkbCJ3ZKBBLCLyHtEwwTSa8b
USXWbVwzozi3fUGncevAw44+XBmafDrNqL410KpwsvPkAsiKVWC0jjr1KBVf8qPVtCGdOS9zvD0x
az0OcwaO7EhKNmUkVCmWecmMMK2ddDUkLAbDQO3VcAeq/AZsXkYbj0IGCytInprayQCQwdXhQ+GS
BmzwdcYH9RQVHhsEWWfFvW79m1HTpVxQqhyyNpneklx+7xyb9mbO1hT3QoGEtlXoBbGNLMhhzgVK
KD9kWSqZ/uAZF6q7dNgjN/a2oPDeZGmprAs9t/SGy9JKzaNl7GmhVZ6WxTpokb4THp18FdmoRLRj
d7JFCtalgs6lulI/gI3O+2upB5bckhXXwbz2ky7534LwNwWB++gv/Qv/t3obyl98Cz//xj8LghP/
gUSENTQK4XAEq0H1p4yFffAfTIKoGBAr6bkG6Ef+oWIBGuKyM6REEJ+E+2slPv5DxeLzI3Qx/NR1
wbRiXPhPfAvurxaz9e3Yjs0OEOQtnzP6vSxEoTJ1PQnveyYWWXxUuE9dwbLoWB3kg5HY7ueiSvPx
MBi3AvQ0gF1/10klmyv0HW3nHKTl4Ucou8hinW7iRCC4iio0hJ96UVswDnpPBktAXDJ7UqAPruo8
5IcV7A28YsU0OLfEm0rIO6lgE0aszZT0+6qYUvZwHsxD5IALGuTo6A40PfyNzgs/7rc03MlbOzSq
WGd0tBqIJfk78OZqev3/RZORBLk863mdf1M2mHD8qvChI2uTzLX43+Uwq5inDVQHwr3ec93yOk79
mJfUdt7UH12AZ+vJC9Fl9FuQHD2fp7HnVH/601pz9/O1/4f2w12bN+Pwv//nh3H6l7eEFNT2EalF
fuBG8e8kAETeCIqGPv1mV8Ivr1EYpD/QHQDkjpkV5Lj26jDHv7GqGaMJ9aaW5XqUlW0JMWUwGCXC
CRH6uRJqgOmxJOlCs7nSXIr9yBB5ec5Ic7T0PljKLrhZyLDgj9XkZfgdCXtgneK/8R7/6gf2IJuu
92DMmkhqL+Tw32yVSVbCCAOl9l3MaAke/Sa32oe6wiR999ff3q/W//WFoA2QrBL4dsSX97uhkvZO
Fy/wMb7hkEMEvJdVUnokLQiecO2GhXdLmLYP6sAEfmWNW2mnoXoo8WH8XZbrr3a8H+9kdSXh0olc
RtK/p/faMGqw+hfBN4XsILjxmeiCDoEqiJLgnKJkZFb515/9375kGK0Qcn0Q1wIY4O+EZwAZVgjg
yn2vJryGbOeNtHD5qYh4ov/MTL5+OgqXZ6+OcoTBlL9fnxv6DFUp8Zp803bKhPq7w2KY0WqUE/dd
Cs2Sr7gywbqT+E8/JPdQsP4LAQlFl2L7Z0keEa5DHxfl8K4FOcEYs8MqgvnDyIZv969fyv73S4gL
2AHQjYGd4v07u6JoW7tEvlJ/Gxgp1eGJhnLzqXJGatR2JHI1lbc6XhJRX7V53wRi76usXJ6LIcQL
s6krCmJClmJSx/c4dxFAMoxvnOqKrJE+Mqdp9rz676DMvxqYuTBka+PxxrmCZvHfwfhsUlAwOaJ5
b8zY8y4w7pTFh7INHti2rQNOaQmaMSyzf/Nl/fvdtxpPHTqNtgM4+feylVg24c29b31dfMsGthmH
fg54LYxk1iPpd2mGVLTivDJ8M1mV4j3o+r7HvVxb2lFPeb3MHHyg+y7j15TZTox1KXDMpV8bb4h2
f/1ueS64T/5UZUPeYOj/eEwQhET279fWx23U11Pffs0iEFnwiOg7L3cYEXpuqgUTk1Ekc9AfuLHc
JOdpGhrPYzEAm2IolnHppeadG7AuPgKGBPyGPPEwjKPN90g4/lmASV+luviaCNDPQxoD1NyqOiy5
UxWjHq5O048By3Dj0qSFb1Qna4m2aKTwgo7RVXSPI37Ur4tZtxAbWvqoGXYOeZMUebHAfS4Ojtet
7IEum3NshIFX1N+Dme20vXEZESx3PP6x/5lcEm7NnlYD79GWRdxMgGsn+zNHelnQawp0tTwvpEKq
J9V3Afbhgv9n3mRNQQVZA0xarpmTYb/pNmDywERuC1diEwSox+/ghIAwk7mFyRqMe5thLhz+ZMC+
nj+Sk0VaB0df6Wy8H+ljspiZjvbwuB16r4DnVaQxL23RnOWPY4ZcX42NsoTSEZd599pFua9OCcTe
/LryGnw9s02Y1iU6MjOdicDR3Es6StbKl5MVYy4jxTSPjJZkXNfMLoK32tPE60aIHC1zd1rD//gA
Pgp/PmpDGkNQ7ARdU75QXzTcfoNO1yJW1SHZc/sOli7/ADlm6mI7SHq///wdnezgS2Mc9PMMvlfU
0uokx3O1LU5YMXhpLTOKo3FbPlP681v14NDyzfmRxDZymueRdnRT9RNGHTuL11ckLopdmyF/k69F
mhDs5o5Cv94ubYxR+8MtSboc9kUSFPUD4t42hNDmuuvtIv0CuTtSpDjmrkkdJI1QdzSd2HVgYycA
pvBgRzgLPTgn712t0bNusYPCFN76FEY7eYyIq+E7WUKwMvCPgkbRM0oXrCDRrrC1y88Mvaf1QxSx
DPR15yaqSfctdlHecegoqsC+X1CloNCAXs876V1AJKgxI4CO6hwPyuO3tKb1eBSmwgWLwZUfQ9au
3mlH3hJ6t/WF5qlY34sXZ6s/H005j6ABvc+d4i5B4J1UELm8PRxXENS3OiEoLL8ZwOb5n/PJ439A
8jIhbwtv5voddxDvio9JzxNf50KPit9UsQX0TsVILz48MDNcb9F1a62eZNTwn53NmJapVTFSG9g6
LuwyPCB06sH0ZlmLR0Y/663o3H59pL14/aWEINlcCYyhE/+AgO2qpxB1N98CHW45mJPSYijqawUk
ml/Y9QOY9C390Gm9q5llADuTZbzY/gkpga/7XSGe4szPiXO0ocuvlSmrMKIcwJgeSDdOpXsYS5N6
Akn1AhM7VUIud74xmts/GhCSMrtHRoMJrTNzi8rD99WatyzGqgOPlRRufttiVGPMyF59vcJQhg2q
YlRYA6fZfCA4A8Zy340Y6nRFwvF8WSYDXCSaZgPXpvMiFOFvzWDDs8cbV5gUNmHdJR651khbdMRZ
OveQ8lCIKTd7KJ9YpOiFIv2jGc2+XatN4iCePSVuMflE7XHwJzHtfZlBVQPVs4k9Wg5xQWsDg3Gf
6SxjKo+7yg45xWMy4uZBC7jeiTTfsWmXJlnvSzHpgXsocfOuTC9p+y78rHPU1Ns3i+9SKjHC8S3t
6pLr0Wy0sOypu4E07VByCzQrXKXG9lZmHkyVmd8Vd2KtgnCVV7aCyNFyKSw3kkEgEpSh42cgada6
VApV6/t4RNgDdQZWM+VJejrg+0NhQXVQfIs8C7ZDwx30R9e7iOS4+p3xLyMDCvwUVcPCG8+0NfHS
ng0PWR4olyxHysDec6GkMCsY9pFXrYvsOE4dt6PGfAZ5JYx6RpQbE2WWd6uFwQu3oUT53kl2Y8NH
ikju7DHPOesWa21hm3dC1zmNgBBczyFU/fXLmdvOhTOFsCLq4n2aFbNrXUzFsqC0AFqZ7rpkbhK6
tuikHpNO8+GZ41dUe2UA1MtDWNCuV4e2zkIe7IKOCDdPlNPXgU7x87YmQX39mfFalxt3oT/KOw9a
YtSZTVkRi5ZtcVe6ezfsYUbi9alSwfNppTlPLq4KYGvoBe2QwW1O2d0NcQnlnQmmbYIvVjNX/aOo
dfUUO07MHKrvYcifg4ZBO9HQapLvtIU667JPa2aLSDlCd0sSc959yam5y6EMIV1884pq6R/qdUL4
Ni+kOd4S8okABH0GjCjm0DO4y6hoYigkned6Axyd2Y/UTd/RNEOLXIvavnIrltV9Eo0IXzquEe5C
yGXdQoZio3oPAT6amHVLv/SzqTYeAGwn3sjeMuNrTDah9xhUo/HSbdF55SroJzguaTcy5vMn3KdJ
OqKQZyWrtuFSzcuyi/NqEf0hcRa6f5qHg4i4kZQ9IWx863GYujufDdrylDJ9aFn4ghHZAu6raON6
o2NvDTpstJdAWIZ4TQxYTShh6PTb1K/SU+i44w6fPZiOJG6EONqznTmHRGrS7DYjAHyGv4nrW3eS
fFHv0zSQ9NceBc1BCdKmFVo/6VEjH7ZAxVsPnuUNeMsa7moEX0HQf1pCkoJWC20Q9vLIxDRdNLKI
UAY7enNVeUzysdAHbJERgve4bF0nQyTxw6Fg10XUfMtoeiq9Y7pmuu8xoKcJXUgo23DjuIM/Ejad
NP+PvTNZjhvZsu2vXHtzyAB3tIM3iZ5kUOwpURMYKUroO0ePr6/lpLJSpColy/kd3cqSREagcT9+
zt5rN45PRKjpwDkMSSGE1Wh5RpbhO6gpa+NvsY/zBLFn5WcwPDeWg3DV3bqyk0aEiZUvk17+qL7N
OQ9d63rEllG1qxGVLNtSjRe2du6Y59S1vanDUYUD9RTdwewwD55DNRaaIy+MwurO818aKuU1VHLS
gDMHE71+uRviaNlr2cB5HcjU1Stc4Zi6wkyMObRC0K35GCFElm09+mdLExmUpE7cIB4+hx+XsssQ
UBCJZU/+Aj8TSnylqz+3zfTJAdYAkoj1TDcXBFPfFIn72cE4y0exasMDZRoZHb0GRA8Oy6TTtlT2
Pqm2tdgD76AKHk1qN9BPM81p5yz1E71phAZpoOzhRQv1neBbd5GHwBY5JVEpOPEbJyTOmXxR6hKf
fpPjFEoviEUu2KNHnzTlkVlY0HGB6tLTO6ffjBOfVEWxx+/uvcWrlpvBdiDVrKsQnkHJwawKeZda
p1J8/jZI9TqZ2V7OXxGpFfCJyMJsLci2CooSdsZwYLURXa/cp5E5crVzReqVx6hKB7ZFbFi6lipr
T5cscdDpa9RVpdtZ33ujnQHqjLk19CS7WCV9A4QvWKcYbplQt4pz1vBZl0gv7R63LfQu9WMHI4SK
65hVKA+6tUsCLJ/ekqHBhQTInQYV5nvUn9/z3uDCajaC/gR9a6CSPvx1JZaGV2jV13KhIvXKmJ9Y
FZ2LaDOzIEaR/8k0m0uWmNQB104xhc7nXFn0nl5vIxumZd1z/Ou7W78JJ76xhLDOPeph3zOILelx
owxfCNQKCY7OiJnIDjFu/mI8sSlHAa56Qlex1lLr5pNS/UCEaG2WuqgwMYxSgo+Q49gUfbfhYSno
11mE+46mIqcBAQpVSiRCXc0PVa2Uc0Bo0g7+JYoKUSVHF8A2nwdVon4PpFQmX3XIKDJv89bWr0gD
x4mGV5k2/IVwsHWhZgGz+Jw0ln7AZNgnMNsa4YHq30Svu2s8kOhsrBGfUKiuAVRRBbpS6Xqzc/Xz
GOYpfMG1yRUA/Ld4kKvW/P/136YqURByc99ju7QQRLOHxTEiLRqqbh/pYh6LLR/m9fXIOoajt3k/
VtxU1bLwFUc5ySH6MvhjlBDMhp8OxFpB3CmPaYJvgffMRqrPDc9Lkp3Pi9GKhm4T5a1vMfDvikJS
1ALt5d72xlDwu0q0/cOtWQ+JblaAXoTpOlQc+SIvSNTjoPpEu6MyRA0sLvNoy6M9Wl1GxLEjeM4K
UG5c2bR2OLGZFlY5XiM7oLzk4Ml97mZnmc/kiFbyjBCheQJfL2STPQ6xNXFRwtfKp43MgVqjrXzF
t00mvG3z9seJ2F9KwLW7KYoY8myRn0v+K+LMAgvaMIzpK94gzG0mqGFzLWMym/zNEKuI3EnfrWV/
i3JQ9gYgZQghlwZOe12zu2hONKMRLyVz6UDpQj6qK56PsA0j7lpX0NAl88A3FiJRFKYxapTAgeXI
Vdcr7mI1nHlPGq8ux1afH3icXIdfT2sP0z0/tmZNdg+15wBa3pZYcqhoLN+C7jlnGFK+vr565ZDr
0io3Cm1nmBui6YghHQi95cEoR90/Iodj1o8kHtmxvDDtiUEbF2TRJ24nMDou5Gh5+hXntBzV5y65
YBSv85hG+xAfS3/lTt7Snvj9ZOVIyQVnCjY2bC5AVKYOUdyOOJaKHxPYHZ7rfdqUuhIVwKFZZ8bX
U+OUReRwnDQgQVikKPh7FwzvyOq8RbugT4GvB4s8RFRDD2BBW4pBoHEB+q06f+HEaw9+yoPOIcnk
6R/jsuSWJhap5NnBZQmVWO9i1vxua0zIzM69muYIfxEZ03JJtJNesDpuI8BkRCLQEVaugb+eyUCM
u+1RVsjzg+38unIE+Eq5hoWV6afy912j/6Nn5JsS3xcDHc+x3jdY/akikwnoz9MUdvqcqS0MsbMx
7JmM2VULtoNb+vtf+b6rRpsKbqcDRpdwIFia4m27c67L0jc7t3ty3FFPb14fjdxH3/ynb/frr2I8
TY0LNBeMzC/8OBFH9TLQnXgi7EKvT5VrS5gDE4s1a9fvv9ZLN/Bt+00nMUqmmrYk/vD93KU1LSw3
eSafJln0HGT6uBA8idA7Yl7DWMFyK0BQVCwaPfALIHaQDhogvjU0G0gUA5YZunAcefXa87oy/5h9
lCrSRwQ81C17Aqrskf/6/cf/5VIBpyHhMLAYt2MSN/Wf/+QLn1RYdNHoOY+kEU98DjYofSxkc+UI
9ftf9cszJ2kMB4yCmAQJHSXw9ldRRiUCkW79GMS+BL8Xzn463luLp18RIEDjHx+59yMUixuDx0E4
/E7GyO8zBlXTSj+if//I1F2vUd3Ey3ZJkLjeIAR5qzP4K+p9iomZ//6GI85UFxor77wOpP8x7vD9
ZWZq6iCl0FNVXjewtW+/+4gMC7Z7JL/Qk+DoiMydLpVfQlL5E7b5/VUWsJf4tlhI+G00x96NAbEh
Nr6Ed/EF/IkHTbjO9dE8STmpHYZY6Krx97cVJcib9rNwGIP5FkNehwkf7aO3Xw2m5sJiMqsvqmRO
FG+VDPUyx6I4c19D1eSThdMsmmPY7pkTszP+/gNouMLbT+DyEJMX4XgerARHvl9ZcBTlVu2VX5rY
nKNyyyxrybZ0PeIg3b+WLYOKdWns2sib8bS9NsUNp9MtL5LNS/aF8fXiFLCauEa0/mfe4gqlCqeF
BdgAW0KbjZXfbnzZGT4ZD1bWsVp7o6M3ywEcFIS7ODR58VcAIXT/tfN6mkfWqCY8xkNGi27rU8yL
7iRhtIzqrMoMXVu1A57EeW0o4XGKaUl+4565dUJt47VSb/GoPGs+lvfaoG8p7Vk1ycfURVPqdy8V
n7B0sRymBbbolUm+Edffj1JFZ1IME8lIeJYz2rK/v/y/PHCeLVDqIPsJSOj65dHuOVnAP1nmhypu
JDVrVMMKqjbB0ukK4EfL+ve/Ur8tPy+5eqkNXmY0PloA733GJIOyuWtaf3wIIlf3GPskcLNztJ4i
Mz6aLdZC4o9ybLr1biJbiBtBUKP+NL//GO+/uYTTSFaK6QZ8bQbveiL/09pZuk05ci/jh6yi/Xma
FDjX7kQ2CnUUbfeHFOX3DznIQceTdIpcTI7AVd895CgToySu2/bL0NRgWp3U048FkYC6svr99xLv
Xml+OhYfDYf0mLyhxHr3xSLsgXleDuKubDsUwCHtyw4XB21UTrpJOrI7rBh4F/yPR8OG53JyZHDP
Yc1R/otDjBYMRx49v69HmVOHWoutC/WEGI7Pscci8JW8yVi3tSZDtwH8zkX0dQLrR7eJs4LpyO0A
NY8vZ2QOe1EUEfbIsjLAFeNUZfXZ1Jyg503mfEeQXWT/AZ/87npzDQKOcCbvqe3JXyemDkmeQeH2
011fpHpnDitGFbhCx4qT8++vt3z3POt7yuLlIrhw2Rbhg759kJCL01O17PDWt6uX39U7tE61Wkpv
TSz1LEGvs/cckQ5XAROu7pL++C81YKbSSSsmF9exAUPqgUZes9KJog3pKBhZ2hvLseVVBeKS1EU2
7mfZc2Da4vvieJyAwORY8mPwx7RID5GMPBW8O4sP5G8A/VjoG744Kb/FeJmO4yDUv3iw6ICi73Vi
fSdTi6plBKbEwl9tOgUEk5PR6wiNN5JnN2Xmwb4XhnQ5iMq0EG1Xf9hv/be3DwaPzSQf6jUh7eyF
jvnuEW74BoNv1uHXfJDe51Qh1d0JxqMHN/Nrmx4/rGAcU8HZjH023NQ2GQuFyPL7IUrMAUd7XzI0
jQjvMWZAm27cNXch59eWvL52iNew9sUBgsBVwajt61DbwEVdZeBnZpbjXgxOWJ3FZtKesyPFmsQS
D9nGaFP5aWGOPJyGakwdgokC097QNQTQsRgdh4N8isd1G6hLm10p25F8I8+9WQ04iOZmy0w8vwf/
ZxP6IJgSpHVHO6/KRkZ4nZV/QTXhnM0TamFSQBronrJW3q1gf36sY7zyq1C5MS2MqG1hgZXl7ejJ
/j6REiCibwLuRKTt1A9ZTywrKUvqhnSclrIo7AGM9emOMcGs2dMMl9fTGBCWh999OCVybduNwUDD
Jk7TT73vunTNwz7DJqCq2wW3y4by0yAw0DDsNcLTK7ubzScxd+0XUhmRW/ZOv44ntyBKoE22aO6T
PxDK3y7WPBCMlVnMHEoFW1AovHsgKto/XoPV8Jn7NV0GghjXrZu/BLQo0737/Rv99oV+/WUeQjm9
zVPDva9IwsWmtCML49k1vQKN0GTeWiX91VVRAM23pXZJRFVxxYgQR8Dvf/cvT/7L10Srw8iGRfz9
eaR32gDOqiqewR9ycCXtmcTWQiLD/8M28fKT/t6GX74lwd3oc0DMsyG/P0ROQCDEgFbm2RqBH1Hz
sF2sKg48yWaKc++6FEWoE5+NGu2sE9QbOWAa36MvdTdT3iH7QqznXihXBaelAcuC/RZuDX3F7r4o
KF5EVxJxIzrLviIkvfxe9NI/lrRnrwYxi0+BxkuurMoy63WURReS1GOSj7zCpXuTMYuzRri1pgrm
Z0xtHaOEXu2syDEfTVIE1wv37w+1kKZF/1SZcEl0GUAZxHWR7NHvSwILsvxk+/PybPf64iPBj/ey
SvPDtEyPJaaBB2kE06YXEUOPhmz5g13OTrn5/SPg/PIxPC3WRLiNlFdv4+82FCsLC8YHsfcc9QwO
aKdhtp98iB6blilJtxnsYjp4RQfEIjHqgmlPVYAlnILzoXah8+deZFwsVmQfsOvSOFNh8KXA9uKs
VWacJ3PpHWc570tZyFt6oPlFZXDTcG7gAlov3cTYBWd7uPbqAP+N4PC9w0fzfXbT5KP06mRPSC2k
ZHBXF5gb825ThW2PMSfu70xHZFdG6bNBuJM17iT4HmxQEHxvxzyICbtuTL4Azs4AKEbECMBLm5RB
CHviDWxJ/wgx1f5k0dUmgSbL8Aj+/uLqa/fmqefaEm1EDepymvWEfv9+qvp6WsLcdy98bhLb+Wg0
Mr2vE2AwmwwjxEdr5Czxh9/4LluBp8rTYkyOOJaQSPDeJ/FYpshVwdb5La1T+5S2GcjUsJ+NMxqV
mFUhpLDSO5F6rsHv3uME7Y5JEphXxhDI3R++/a+PFqUmy6cAhIYS970YUBGC1/pRWX6LJgYMnNur
8EulFpiFgEKcVQOniA5HUZEm3Tn0Cjdp7BIXgxx2Q58kCNYMPIsYp7pLqFmXD7r1Swu9NNr4HOd2
e2iknD66fUxMLTp0e4VtToACIgr6RSAP3lVZfrX2i8Wp9waXZZdmnXEeuJZW0I+ecXyBkpPsx3YG
MKDeRSO79xo7WXYsGPNSUcpiiPCW5RoQC+tgOzD0vHcGjqbUIu1NJyD6xEWOLV15yGV4EhkXrV26
fpcySEpGrijqoCBMzJXIe8vJ80L7cD7WAUjpKsGAvOb6VdYJ4pRR7U03Ep+gHSSf+xLklJ2IRIO1
Uigbv787v64/PCmvwSiWy/15vyRLwSQ0m8bsm+/SHyAdKEifUHnMTA25ZZypvOel1cCY0niaiYoB
6OYOdfGnj/FWqf3ywPpagszWh1mC3sDbdwSlVFu0hIJ/Cwt37qEvkDjvLn2cH5PchQi8DMEtrux+
B1MQzGoQTg+xr4aa54Qo4z9ck//jhcXjSm+ZpUNbWsTbD7MU/ThUU5Z+izzTvWlcq70WOWZej8bu
Gfti/xGgWHda22Vxkk/SOu9Kj42M9JTpMvFiH0FyOQ44xXv5HeV846zACWc3f/iUv5QMHh4c6fCK
o5nmUPnukg0FJsWgsftvdL2b6I7KAvwenUQwPC12feEOGTMlSMKgApVTfY8X04NcCB1n3JP91t47
QR4dTZJQ7nD990xI2AV2+FRyLneUemvAE1DhXz71f30Wt3NNoOrjc5GUm6TlkPK1+9lHhZiWdfGf
caF//Zv/VN//A1+pL56SN66L13//w3XhuR/Q7vPk0BOVdNIEpesPeKjnfcBqBbaTUzhdBtos/2u7
kP4HUhTRoQc0BdCPuPzRD9sFf0QwEi0xQvgcTwj+6N/AQ/X78feGh9YdzSehrARP2MiyaQe8fX9m
q8xYxyfzgDptXUTfc2qDaQatThJEOXJsSszT1gy3Qdh/BjawSmX7h3omePsKv34E6boQ3fjOIrDe
vRwVHKva9yPzUKnZJBbuJrGIZFx6Dl2iMcdNaphoSPLwvK6jdM+eXW5H8WAPqGziDQVjdG4uxgqM
/q7D+lR71sdGB9TZDlRPYiCNgaQAs/5qT1DmoHP08PzBm2CNx4OKwN4m/TmZ79qF2R4RCa2xnZ3g
YONtYsfJ3GNjDiUUa7OrepyzrZQbM+vBFpb3Mw4nxdNwmFwfqWm0soU8i/rRoyO7cAjiC/gawu6T
DO2kKFE62W7b7Ggb/VUel/0WisgKA3Z35QYPljS2beQ9LujTtkVqrQJXrm0Xak4TrEin3vZVDhOq
WKs+u56M8DZtRs28LrZDV38hqsHcJ3l/GbUexuXyaSHBqEuzdQPoac+Q0V+NRAKtZFl+LSbb3GcI
iVezOX4t7WgTuX17BM4MoYRqu3YBSFTLLsnkRVSk0esR5r/Lyh+WFebTuvfzz+vK4XF8TJKfV6If
/+QvA5dj8+qzWnAoe7Fi8S7/xSF2zQ/MndiM6SE6/BX27B8OLiE+cGShwkRFbuMQ9Zmj/FhKLFYZ
WiiUe3SZGNsF1r9ZSpy3mxznEQnWNNDaelynVNH6kP5T7UwnNQcrG4mbtq1rqIpL0c4oH/mc6yUv
NKMyUldxkquvwO3FbRxnxrUIGk4atkHjIU98Z523E1gnk7bWxnCtdRcY4OymoX6gNc7PcY1I4F8f
quQyVdiJIOY72mg+ZTvgfxgw0eMfhUEPIA7IjE/ou+8rMWfXSyqXQxB58GUso/+mnadISO3RvjB0
GMtU5lgY47YbH1Gkzo9ob2G1RDGXbR1jFktWKlPLzsvN5tSZjfqpF3H6yGxtvjQyIGMCGcXDrBa1
DmpaEWs5L923QUUWHD3CICOmdFekNl5ZnZFAI8hbcddLEuj/sJS+tB7+Xs1fboFLxiR31TQDn3H9
21tQ0IdNjbB1bxYlgxMkYs62FpP2mFcgnTjEg+FaJaIILqloxbHEXUfygusDSE5Qe5L7Qr1Mt6U6
gbQ3kOjqxB9Fb1fPlNfGJ+RlLV5bCnonSYkEdDqigv24y+/zHMpNFKt617eyuvB9ddfl5IJChzuS
riFuRSzApgbPaeM2Tz+9JJev3+5nI5oGaf+0hfGlCbnVDzBOZ5O4wPf1aE3XNQpNcD52VYQPlr77
EZaYz8wpp0uDoR9ST6lOGJx0WzvGW7sqUH/tWpku58jxzaeatJVkFTjjdBEx2D8dAdjdhDP/V0Ol
9g3dnUUepxgv4t5F/Bg106Xjh/d0GMU+gGRFnPA4rN0sNw8JeybuN2Xss0FjCknb2BIWxDMtO3M4
Mxf5XLr9cVTCOmAvdA6zryhH7RAH4jRn28kBVWzWQbxzkoe8DlAl2NX4Fcc0dv8OUk+NXP0EPSVG
6I7wojAm/qMeQA4n43TNS5l99AaDl6nNkkMmNSYnVRzdldtusnRBlmsT2INBeiK5LtHR1l4a7MEh
0I9JiAb3ynK6RsBBUDFzs/ScjPHmiOpKfJq7sv7m502BnXBUQOVIeGvofHgW+oa2PQRTnZwx2TLP
Q+qJS7+0hnMna/hyQvbQjJp4SSEtxClINBsUEUao6aLtLC4oelfyZvzlgFiadxNe+FUxjMQmxW3z
FND8OdoIh9ZmNE1/mLu8W7PoHPu05fUYhBhF3c+Tb18YkiHCMBo84xrM2HLVBTSGQaXn9xww0f97
fbBmRsizo6rl6yj8Zd2yq8M9G+f4OcWE/rF2RXjadGbzyQNCtAFgZu4bv/48BXa2aXq3uCsafko2
KCcH8wd1KOfeHysd+mF20bJtnWjazkTUXk+EtNsr+sHBeu6N+dyOQ1SnqIZ3CAKJkK6BW50qp+6s
LYhnsU3MvuFnTsP0UWXVcvXy2NYpUG8opvO5ahzraNVVCJbbNz/7RtHSVLPaTyDfmo+QxiEBQw/k
uC4JX3oCCrNvCBfCkj4FMK6Ql7p7myR1b5v5sX/hm1g6tr9/dd95SPXll1ougnXNZYSObuTt5R8b
qzWiRYXXQtWusekgEwB0bIybdAn4BlYqUPg3rXGbzgkNAGeqg/ocWWE87X367zPi3okrI/ImPPWz
oX7MBpcIn6AZ6wjPpAoflD3zZeixWCdN0hu7f/8FKOr4WC4CT4/x/NsvUC5ZC4Mk8q5zd+m2NBKm
j00dRbsGr4nS4O4FVvLIeiHQApFh6BhA38r60QxN58wa3fA7755kYZ6rRzl51tFl6HKK1LcPdw3w
sNvcg/SMrDqigvv9Z39nLXu5+Ni6cZjR7gp0+f/2s48FcMXFHp3rqneckuNnG37naQ59QKsqR7uR
LOfp1E4XuTeU+67w+QaiLF0ocMlwSmI0QOJAqJPcGdVJ5TXGLTLNYB+M8HrXqunLi8VvUbYIvv9Y
oPFede3Yfkf+RipMkNhPbTj2J+ayAG/LmmW67O0xK/fe4Kk1MMgFdg8QxA7Y+yeBjfhg+IZ/yvgc
ajUTzl3eymhX5/H0oNxy2atxCMkfi9V2Kb2SpBYhpm/MQlivRGEbw7qthbVdZI1hr8qetCAUZFTZ
QEmv65PcHsKH0uNVpyaYLl9evTAwomcVGvGwRbLGxyOZ5XSZlLjGI0jjo0jlAOC2iZ/Nul12MLrC
B5684ZudF3oF0Zcm9cJTINrEKnBGSVY2Yc3XdUJe7Ux/HWmjgBpukwr02SvSr7IqqpMGyucJY2Zy
RpQYoD3n4oiZrd04Xj59pFPFXvL7B4EikTv9d9nAk4A/lprB8lmzdTn4rmxgrUZuyUTyGqkFnM7Z
5AVbvazNeNub/Rw2tGDjkC8QLzjnKMXqR1d0y9UC4y7bRkV7EtPiBx2T5qcN4a7jai7MJFsD90wK
gDXlroOUyetqeebTTE/zTvtgn8RoD9/6xLONDU7pwtu0sU8KFM3e/HzAI7alPTfzHNilzFe5zEMw
0FZIHF5A3+fgR8YEX7Em0s4u7oBWWJJP2c4kqAtU0I1rXDG8mcdN25v9M64Qlsis1N3JpjpM1tLu
bd7aA/RcXXLq+0puTPepnbKDY2TDvJlEsmwDOX+yavBysvKZiJtzjOQ05YUIIpuHNRUk0qCN877S
2i02CtvDaWWl5mEJ0EmvXGTM+6XBk3AuptAO1iRcxffsA8l9a6Qa1s0I3aerWKSfgHUFSC2xukeH
mLplWheS1WDVIht9NsjLviaWThc4aqpOTX9iq8KruFEQiSIsfH237aa4MPm6GUtejnPJxN0ILRsi
O7a91RyLJSR8trVtkCJWeRthhjgJTdi5q8VK5VOMg3QmPMGtszOj63T5E8xXUYcVZ7tEjflUQCSN
1l1DiOnMyq4JlYt1jJwRlCAPgk+HtqrO0BnG1drhvP/ZqpbE53nqlys8JZg2LC+drhW15YGwHEDn
Lca074KxLfLPxdjSbMmQCxDpBExfLePWHoYAF5iLV9Elu2o1KoOnMEH7BUEzUpsOwLWxAkpubgiz
zL973njdVQ2x6g5la7gasb0AaMiKjx40uktBmPCazQBWWxvMy9XLi/Tfk+0fTrb0gvWg5J9Pth8p
c+P/bB6zqnv8+Xz74x/+ON8G7gfCU/HMYweHK8F06+/zrQmxCEYIUddUCfwPB2nOjV38//+fDebI
5GzJH5skbjK9+N/zre18oH/Gvsw/o2OtT8X/olVGr/3NMon9EmWSRxfPAxKBzvX94JeTSM1s3BPH
xXTsaNknmAe7cFMJc1WA8EPqTCpBQWt5NfhOSvIXmK8HmNocZEViHdqhNo4hZ/Pt3BjFLkJNvcbu
0Z5XUXmIlexP8UB4G7RN7lnVlyTzlC021zIyzrrEt7DeFe4Nke7TXUrUcEmwdmrsrbqpIAunDSxn
Flh+HsbHpkF8HAwhoTFNEJKQWE+r2CE4JonPXWRcp+himF824RXI1QtYPRvESSa7U20dmhbZBkeq
bO3l7im6FRRCWELiqHnuHWvE+ApkjUD6dK1kOZ+HKoq2Y2dupsH8qrEfqyangRWmqbWb2dv3oFkI
oInE3iid8lPAXGKLHzlBdWdv80ldqIwQNyPKukclOrnLvcJf106tDrJw+f2F1a64UjZ+Hz+A49on
114UV4QoW8uhzgCIYxngPa/r4RB16YWaA3PdtNlCugbW8p7yH7xkjc/IdOQGr52zGoueJAEO4adZ
4p3HFpGcliyuyVsB5B96+4C9paYUWYW50Jk49B1sGZkbEZp7AzwmRqT53umGeT10+kuQbLTpeuJo
8pmcL9AC7jb3+6cCo5mcpuK0Lq3krIbKspZi2laLtzPIydw5S1Ni1gJWDpLJWzXEMgRhcNrNlbn2
MyIQkiU07meZkFFgcpDHu04LsZ+mnbCjgCZIMZ+IKk5vvbReTlrLHwjPG5tdO1nOTrQGKIAJ/QlW
Ps5qfrSfetdeNUzht6T8fKmn2j5rDP9kLsNiTWHbbPpWjSgKiMeQcF0DjOKbPDe2Wdrcwp+596fl
SBiRt4oG194ZZWJuLXOJ9x7QUHRDX9Kms/d4ldR6ZPS0NYMUxDe6W3Jk0EoOgbPhmcDgArJw5JHw
VXQVVGm167WhQUQk9mSM8QefWRx5ADCpO+ekweD0ZbYXIoJVe0YL42mZ7Wk7xX69TYHXH5yS4yzR
Nz56Jp6FBMcMcZ61fYhxgHLan6FvgcnDO6Q+4yuClepN4cYldpyh3tzsGZ/Z2wr5ww5bOv5Cmd4p
4UbnmEuLnfSfoqA1T6fIg0DLAeUW1zM59cSZ2hvKhuS6GDJ/XUK9JE+HKM86CdStWU5YaLyAppPn
2xt2uHNmEPnOJ3JnK8LY3S1ZDweQMfO2BEuy6mhYXSauWrbmkhVbq/XjNe5csYk7meoDuntiEeC4
TiJ/OAgRnXTOIM5ImSVzXsT1Xe9IrqJPC0HYjILcKBg3zkjyoOnoLDonNe/mELhMZ1g4coZm2XVx
DRKsX4CFL1l5kxlyvgSJYp5aVOgOnWeX3M/RyOItnflxM3WFS5oUmho5t9mOjwqq1CAYKHAN8tNR
fVRYDQ07e0oGN9YksfxkaMCM9f7AJG7hetZL6xxAFpE/IM3vJIL6Gwo257QeyFJJ3e7G9JOTvhzc
U3/xqJOVc42zu0GxLgk7CSbIS2Pubmwb4r9ogq99l18ntBlCq7/MezyaZppY2MuMb4W9zLscAJvq
vCNNkW7VeuV+BIexKu2y3CF+UOtCtfVmDgfagR7ll2Unj00Vke3rLzdtJZBP6JoqzzxjNfo9xnrT
n7ciIZ9SlQ2PVOSq81l4Owhyj0Ej6fMnsNaGoqVvhEFhXXjBlhH+ipober3dfBsYj2PlncOPjkrl
3swt6zQETrVLczFss7luCejIgBMHhX+IpXlR5eKL67bHFOPcSetM9/5I7KCXuN06n6V70ptJeRsE
wyfCbcdNXXvf3Jhw5QEb6Rrr5C0u2zPP7pSOYjolzatYOVWVn+fky5emIrInLJGmxf46bJrvWNyo
nwI7BJ3dV3ubCeMmdOZ024xdfpxzptw2wJGVI8PgkKdwZWX8hfzn4Ha250OVl9bZ4qb9DuFOs+v8
HFaoz28sl+W2GezkElfmMbXYhJhbkPo24kDNrCjfKQ6eK7NwbuqMNoTbNQmJq+1JpBriygZprKKu
B5BOb2YT42B6yLPp8xj2AKVn77nqBdzdKCcHBxXJHtGkAak7hM1bDMEF4oNLE0jWqqEpxgcfz2ug
GOvOEZBcwmvwItV2dJPd1CSwUFw7P7Fi4xPy1FSjc58lXGLWwr4/8TExs9YkGLrCkCjjaUpO48GG
bmuwyo2+4ax75RdMeoQkq1Y62L9GuROACNaTXVv7yEs/jciiThbDv0UTd0YGEEkLRvRdGrWHvC4P
dwYO4xV0MmsHF8PfWnZhnvo1cHhslmRMsqruEFJVmxH1kSyfyDQpuzs7gZuS8cwaTUBaxWgkNgyG
rgHpcd8BZPd4FRsSHtAi8fQV/kXoqGAkXD3Gq8RLVqWoPSQhl3h7LdQ8nP3vZD+W0iUfZFYIQbZY
U1i9gZJwTEHVUIrQuZZ24bnqAS9yuZSn6M9boPFpxRHIIS0tT4w4X5U1vXD1Ktr9b3n9h/Ka6loL
Bv65vP70re3+c5+oKCnfTqJ//Mu/RtHeB4yrLroNi3EvYDF+6I/5kS8+uCga0SqjTmAQrafUf9XX
5geU0loV5DFxRFnC1OmvUTQDbKbQpgk3TCdcwg38F/U1PpY39TWNezxEL/MrelK0Vd+7W6IZxAZ5
e/FJW3j9WeWXDiwPUk3O5Iz9N7fhd0C4ltZ1axk0GFCHERMO4Nu0xkMWK9KIwrD3dqoL1A3TEbgC
Mg/uE7/L9zG9nJUE2FCdVZPT7GjMdhk2vdg5aXHCql2f9uGyBtYxMizxndxZ2RlKxiGYs41TI6iD
BnIK0rIfVmomKiwq/OiOQFuKxwEF3RpDyOdgxPHUYpunn9/Od+iqKWVG9DnJYIA3we17xQHZOsVs
jYxsYuBKvanZ3IsRNtfO3CRH/gmh6Mr0hj3ZnFdJWKftJp7S8QCMpjpfRgR7UyvNT7xew1lKRNRt
WMOi53XldBu09O2Br2iiAtj8rSjcZJNYab4DMjVArRrn4iaKSWMScqrXKefqDWB66yywkjtyssk3
87vh3Ldnctbybm2ACsE3WaGnAp7W3WR16l0S4yWvQluaSKRATlu7Cq8l83m8qJugD4MVKEd7K+Ci
QshuctJjuISy7ey1XQUF826K3XCScNCz+mAl8dGzZ7HHUXTB7osjWMymnW887Exr2xlJKMmjxT52
hhoIecOlzuFk6Ygs7g4Bzqs7u53TdFUni7U1BngOdjpjClZt6XA/nP64+OLQpeZDkgqHGGLi2LKw
uw8xc58Go7qbOX5g8zfLL2i251OLyojDnB9vnGwGb905mzyNouuWFlS5GeDWnftp0XzMSzYkrjKY
jVUNTuMi6luXfC8j1PFAw0OoQnHFAS/dQhOYjnSpvnUC1B6ZdAAXwiaJtAG9PZ1gOaqUST9ux+mY
u2Q/55Ybbjj+hVeW7D5HgFSxG3rZCQHBYXTGUSsfribsbc0jR6/2C7gForixvV65oBnOUizIN//D
3Zk0t41kW/ivVPSeDMzDojvicZIoSrIlu8rDhkFLNAFiJEaCv76/JCAXSdmuepVeIDqrVpaUBJKZ
N+9w7jkB7Fog9uPylp74nTUuqoglq9Mouys15XO9N8r7AdTvU61W1iCjPtt1DTcOoke7ebU1SjRJ
cEGgylPzCRQGzidn45XvDwMhpVwtw6m1W4YlYoJlGV0rRmmiTmUlcQgUta4/e5tDokzUBg3CaY7O
Mhf+NlNHB77lqWkXsFLhfSsPVXLA41c85TbduXCVQLqC7lKqva1N9dMhdz8pGWBA2lynGd3yKZRs
fko1xvZ22VWVs2OUjWZ9MJfO+80yXSuofzSCZC+dZvS+XJtI2jtv0GhNYQIlUQ1OUbveYHMemWEz
slE7us9xN2BLreeQfAD8oI/U26O0ktfaXe7mqFQ6y3224XZPP0UAacvHrGhsHimfbQfl8i2C8Mko
2wXpXQOV6CSvrP2sVOD/N3RvHsATvnvQDpoTXZdLNSKJVTbbRaAr22Dq5yn6eXslMe9yXKqpraN+
AqmaOt2lBRTpNvg1larsB4DeoC6LwyJW7AHhbe5dBU64GaHiBnnSsqlGrtLUs9jYInK5D4OPdOo0
5KV39cLx7ZkRF9EoXcLgC+k9ap9BtjUfvCRC3stCq8SCUnjsVIGBmxDtbrYBpORJWaZXFUBt+j6i
zV1dmTUrAFPO+x0sn3OzcLK7PXrDf9RodZfholSCzSQK8zQcAfh1pnvQl7NturCa/UdtubcmkFZo
c+jgDlOT31qEppLcqaG+80emMdhnox3MrcrEJIax54FVOViqbPegQ8D/3jEJhAQ2aOKBNa3HtFk3
V8sBGmxjNwwCNGxdhAP2dr2AVhaZ4az6HAYOHDRVSfoaPHQ2gzHvqA17Hx42zdfSO+AxVhCPkQyB
mcX20/Jqv8yf0LXcTSzq0wgAWbEqMjrlHKZ5ODiIZ4E1lp+5WKwZ3nB1HR92Nad0mQzoOU3rmpgK
9PSTFnPbTKm35LfQ0LqzaqO+29iWcw2eV1n4ip2Os9jZXoU2+F7vQPUhheZf5YKl+z6BiT4eEN1l
sTJXGlAHSzfw5ha1iKkFXndhFTW6DUnmzHLcwtvSVt3FPrZ99KTCR+h96EwBPHQlMKoOfSD+15IO
eCGhh6ZelGJ7a7UKJ5RAd/Odq0b0lm1QolT2+ttMTcaDBPFkFGaN5s5LN/69j0T6OAhTdGgO5H5M
slc3NOUtZ3W5WyCLtiNS3efPMJJA9ROl9ZRMdnpb6ECgDqXhzbOD+4UUVQTIN3veuZtyWgb1F9i9
y6miNnD/l1w3aubNKX5v4JcMBQ2Uc1+py8cij/V7PSLx4pSV+QCwPJplg/x+02wfSyUfPNTe9u2e
db1Z7k2N0xjeb+zoMNtbgcvV6NMAMLKq3CK9kmdwcbgbEO4VIRy0RM3vRkAYCPdDbTzuSn9j3Ry2
RVPeNbmySaYaNyfFIn9PPFcoOq09I4PkkjJF8+qgTL0lgOx34OHcwUeaL/fQ99GJchBSEhqC1kFs
U6kI1JCEgk1ZW8hvbd4FAfH75FAdcGXyIDTuKzIRbCuy4yPoEbfIzKhZtG5QDCUSoq3njUa7oTdJ
t9nhg56W+w8R5EI3NooJi5J84NWuGdRHdsa9JcReqhvFCmpMfxizBpVXXFN4OUxVurlQfBlYqwaB
uwn+3PamgogU9jvNRrvoUPo3MDnllH5N8B5uPWtQcHtGrntwBQjGfJvDVwdjzQ7yFATY4lEUY16D
nc4CBQ0tJ56y2fxhNEvknLdCjCQNcpyOiDZkUVOsJsrBLCENKpE943ajYywxUn2RQR/oTQuKvWT1
tKZ0AcfBSQMBD3fbyGk8B7JCG42tQxB6Nw38MwgEOXlFldBrykUIYmiOxoGF47dEbmlE27v7RiXh
VoyT4rDzZ4EJv1fiuAdkDPQS5UGqFoj7bj11st8q2wfHy3aPW3db5+QuGh/YuGte5fCfzjI6La4P
qgeRG0R9lTKCbczOR3bWFB9C13UnS2TsbiFiioSM1775eNB9kka5eaUjvIqK5KEom5ET1zp/7y/J
LqFuS7qxrkaQQKCysx9E9wY9EgLxZ6MGGAHVmhu+oXwACiB0NaCrHm/ogQlm6E7HKJoFhQK3R1F8
xHgfpjqLtEhc9QsyI8RntqlEpBcgLCNNIZSO3Ix0TV2U22ZEWK2Ni8I6pAAIvehNTDutCj7FQ/7W
9O5Ss05nLqKGt3Vpm3OLZBqCpoC7HnIoHemtNuPwyoitbEqWWL9xynxXTcLYaJ73S4e4H5/7d62x
7MUSNI0Fwr+yb3MF12yy3Kgb9y4i0zrWGvtjEen5h2ZJJsXamMYsHBw2Y21vKvNMa4BK5ZDNfhIs
NfTEOSR8fYBv3CWaexdum2atDZai1uSrK+ypf+PXA5XEuWF9pMSWNyQEI5vAeeeTSgK7oZErIIHX
xIX+WKqJPoWIIh4ljR1MA8OnKr2PSoEkqxYwcdX3DQ3UjzkKTgL+vR+j7UGsHaTeqqFavxtpSWLM
VB/561GqptkUxr1iHAnBYZ2+xunAIounVeDttVjb36a5f7h3iJHfpTCdmGPs+fZrUqjo+8ZK+HGj
KuFmQjrFvUkQ8brxgZHd0L24Q0HK3C0UKIQe9ENRj2slTebaQeED6FCnVmakU7pxVHx/xZqa5rIc
oz/qBZjmKJ7VVmpebcNBPN8r+OKpG9bvkyzUZwMlmxYweb3xN4jebLdRdb+1bW2BkagmHEAOi40y
XE5T+50uhAKo3aaIrW+taUN+MwGs0uxGiLZz1uE8XdAAs5yGkbLDgSrCJy+wTFE19WpUXkrra1Uk
9bOFzjx5+9Dd31UU3vVZnRlJC7b4n4n/uxeZrIrVNC78onko11nzuM7pjspfAmPx0yOl+ntEl//J
L/18ot/Wx0nbjMITVaJCPMHGT+KzuptgWTjLJxwf6fi8P5shhCikKJ8Bz+vu0BScDPT8/uu3kBpU
9+8Dl3IcrCy6To/acfBzPulkbX709j9/sXYZf/47Z4/+Q3g/GAcKe3/n7S+mOHl7e6iZBpkUFZyl
GAAmThcBr21oqbbo0VG5Gxh9WwSNloK/uQd+uAqGOuSOAljstO/okk86XQW0I0wByrTotj8OAEb9
2goUc9vt2VK9fDubrw/CDxfh2KkBbob81/e3gmIORVe+bvXu7VVFaZ9J4u21odhIIL67g8CEp1vA
sYagc0HZ0JnVjr5tATRvSUPKWQNjCHAUAiKSlscBivF0EVSVgyIOgQA3dNaiX+cALxcLJrsImAFo
x2D1P44LY+AiMYMYmgnKsz0n7ar36F4gzLnMsv/gVvyhMcAimrZJpx+tfi/f9OlOQGeHcmLXBdav
LaBxVZHZl9oDhoVY0JEtoPuOL65F1xD1Al3hrPTNDMDyLH0CBBAJ4KkmKBOO49wM2OYQBJNFr113
X/buBEB0JDBNUntAc4ZgSE162fF5Tvc+JSbDsXUDJFZ7Nvp3H3KDy/pEOoU0+ANAanK7inFxBBx9
aBigyAylOyL9WwUQ4bJugWEMaQ1XaMXs3N+Ly4DyHvVGmBXp2u6bJaCf/VW19f99DyhDmotUA7ew
tQQX7++4Qz4GlKPzp6no13XA4zmypoAYkQAJipxuEUQUdGYRrCFXIfEBrYnH0R6+HrkEOHQOzpyU
QRSKmrCJAGjtAuILF9nViaQBsKqo3h1H7wJm1YJoVXIVCJPgtaML1bbbt7ywi66DxSBxQE6hPTHt
svdoL1Aq0qTtojJ0AM/hJnfjYhVgBKCJFpwxAj7H0TqkPVoFKGEEuZbUidDtIVUGmLoESeyZQTAx
CLw7bcrt6/fPILi4L7KvrwwBn3Diwdq043wVXJVNIhiOoXk4jt6tArB9wWIktwlIi9ByacPf177l
RdBsc0XC9kpjYBszC8R/z65I0XgsuQp0KECHSG7gxOydngjLHWqYXxqcu9RC7/YCjCECLCa7Fxzg
Yy4God0Ll3ZBxJU6GdeXLFPvwkeotaUdBZFJFHbRvHCTYJCxIQ5yAaG3q9MaoB5dCrTdGLJWETeJ
hDmBkd2Fh5dXIzk0hZIDnFp9MwRYaqGYLHUEROaIcoEOx2DrGrDFTw0BZRXuDPynF9+hd3GTRtFD
NplO3OiwAxBO/37c6JjkzxQiChFXiNG7S4HOMEU6biJLCOIXsvP2JV/FTRSXcEapOHQlh96tAhSZ
grxO6kToOuQ02Dz2VXsisDCnJ8IRvjRpFLLr7TL1bhXYC9IpVS4FQNHkzFnQ47i0C2TVbJvi0ksR
roerQL+m5F4w7CGWH0lu8mbHcbEXIIIm7cZqW4jQ98xNhFtJl3aQ3KFuIl/wzVm+cJBU1cIk4C0j
p3xcn9Y775OLIMy27C7Qh/QMEDW9VFcudoGoN3N/wqTaFSP75ybSeSG9CuQWdV7RpCP3OC4sgk1q
lasDRqnu9ujdieDr6wpA/7zwjKegwMHNf5ebgAQ8DGRw7cMmKEb/HCW4hqRdBGPIxYgADk3vx3Gx
CihWDOlJZJ8ICrB+xc3Q5Viy2QOiBeIhzRDIgu+9P7U2HCTASS8l+f5di9AGybpIhjJElc2k5tol
VS92ASU3Eom4BlAptKN3e4Gwn4eWcxTJJCGdSYq93QqXJTeXdCNHgS414obj6N8qsFElV8HAXSZb
RlGpy51eZBFQ/xqCvUAwp3cGAfI1eQyOSnFdaOe8RAu85Wm0QPwMJlGUHzogUu8y6+QBtdZK/fNb
kYobxNzCB+rOwoVvcEQi2aSWBWtwz64FOE2lEYmiskCmTBGB4XevBWdosQUgJ+2ujd45Bxhrwc4l
ZRCJllD7A5xLx+5xXKTWW1MgCjldUNk/iwCJaeu2/vOzgIeIhANuMtjEdpxbBGrw1KCAqiCT+bJX
/q6j9DcCq2+A7zGMts9HqLe/zr+HCP/RL7xgnV//vMM5z5///S8NJPfZLwrkd/vZfyLB/3MGWDti
sU9++ILNPn5O9+fdC77+6LPPenmrl3+89tfZKnvyUL8VyPbuMe9XEYDx/wtXX1bR6hSFTvzC3f/n
k7yiZP92Cv5i4jy4mFfUZaTnzXxkE84nPmJF5ScOVnG+yl8eUXyNLQBTdubxKvS/JtkFCUCLd5ee
OwmTbPWcnD51C5+WnxlxiqfCh7PlbPIjHFN28sk6hFU7W5/O3GL9pGf2W+WAv1ABOGnHODuFJzb+
Z7t7xqr7z+e7sEXpyT7/1TqBMOJ8Zm5FzK7szD/mMZdcjPnzyjvbgGqLVZN94HkY+tAUnZ/IFgYm
PXX87K8urEgLrZKeOanPv7wWqyQ77eK1bWrhP9ITM0H5FDQv++to9lo0iezUt0kJXfHlMrdQDdm5
71Z+fGY9QDD/iuvlbpU14Sp+Pl2Oroos/8h5vnryynxdFGd7uqvTSs/vP6HouzrvKGurf/JTcxfk
lyyRLTRdfu489/k/Tf2zRW8rdr9i9qTMLqcWBSDpqZO4uNjcmtCNkZ/5fv0lW114T101W/ah79fV
6vze6goh8hPXv12vojT3/PNrnflFieFXzH+zzvL1maUiaSky979i8rv13n86u8aYXGSEf8Xkn5Is
eJnpGB+0yVbpqY8EruNVlnBTnl07HRbs13zAjxliJT2HN55/vuJt9lX2qd8EIR7JeVSDAKlIaUpP
na03l027xyyh7MRv13EMB3a1uggTOnyr7PSPXvK8/m2ev7rb2oZT2enfJSVMwt/biB3m4Nd8wOuN
KKYnZyg7/XtWf42q7plL0WHo5Ofen0eVXWJVdt7fi5X38ubCpnSZStlp/1hnETfb2cxtZVB65u9R
4bXpRdmpP6y4d+INDG3nz33M2klP/lc8fpJW8IOfPyVx7p8/e5trk372JkFOb3O2KpYrxOd/PvP3
Mk3f6AJe559eaAC+92fnyTXxG0/hepX9578AAAD//w==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sz="900" b="1"/>
          </a:pPr>
          <a:endParaRPr lang="en-US" sz="900" b="1" i="0" u="none" strike="noStrike" baseline="0">
            <a:solidFill>
              <a:sysClr val="windowText" lastClr="000000">
                <a:lumMod val="65000"/>
                <a:lumOff val="35000"/>
              </a:sysClr>
            </a:solidFill>
            <a:latin typeface="Aptos Narrow" panose="02110004020202020204"/>
          </a:endParaRPr>
        </a:p>
      </cx:txPr>
    </cx:legend>
  </cx:chart>
  <cx:spPr>
    <a:noFill/>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_xlchart.v2.10</cx:f>
      </cx:strDim>
      <cx:numDim type="val">
        <cx:f>_xlchart.v2.11</cx:f>
      </cx:numDim>
    </cx:data>
  </cx:chartData>
  <cx:chart>
    <cx:title pos="t" align="ctr" overlay="0"/>
    <cx:plotArea>
      <cx:plotAreaRegion>
        <cx:series layoutId="funnel" uniqueId="{BC2FFFE6-2B86-4485-A556-28C7C3BA0AC1}">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microsoft.com/office/2014/relationships/chartEx" Target="../charts/chartEx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7.xml"/><Relationship Id="rId3" Type="http://schemas.microsoft.com/office/2014/relationships/chartEx" Target="../charts/chartEx2.xml"/><Relationship Id="rId7" Type="http://schemas.microsoft.com/office/2014/relationships/chartEx" Target="../charts/chartEx3.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5</xdr:col>
      <xdr:colOff>106680</xdr:colOff>
      <xdr:row>3</xdr:row>
      <xdr:rowOff>53340</xdr:rowOff>
    </xdr:from>
    <xdr:to>
      <xdr:col>12</xdr:col>
      <xdr:colOff>411480</xdr:colOff>
      <xdr:row>18</xdr:row>
      <xdr:rowOff>53340</xdr:rowOff>
    </xdr:to>
    <xdr:graphicFrame macro="">
      <xdr:nvGraphicFramePr>
        <xdr:cNvPr id="2" name="Chart 1">
          <a:extLst>
            <a:ext uri="{FF2B5EF4-FFF2-40B4-BE49-F238E27FC236}">
              <a16:creationId xmlns:a16="http://schemas.microsoft.com/office/drawing/2014/main" id="{FD9657BC-6C92-F319-5FDF-1D98DEE6B4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22860</xdr:colOff>
      <xdr:row>6</xdr:row>
      <xdr:rowOff>167640</xdr:rowOff>
    </xdr:from>
    <xdr:to>
      <xdr:col>7</xdr:col>
      <xdr:colOff>22860</xdr:colOff>
      <xdr:row>21</xdr:row>
      <xdr:rowOff>5715</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55E10B9E-3732-D138-F5B2-D5C008BF573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887980" y="1264920"/>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99060</xdr:colOff>
      <xdr:row>0</xdr:row>
      <xdr:rowOff>53340</xdr:rowOff>
    </xdr:from>
    <xdr:to>
      <xdr:col>18</xdr:col>
      <xdr:colOff>403860</xdr:colOff>
      <xdr:row>15</xdr:row>
      <xdr:rowOff>53340</xdr:rowOff>
    </xdr:to>
    <xdr:graphicFrame macro="">
      <xdr:nvGraphicFramePr>
        <xdr:cNvPr id="3" name="Chart 2">
          <a:extLst>
            <a:ext uri="{FF2B5EF4-FFF2-40B4-BE49-F238E27FC236}">
              <a16:creationId xmlns:a16="http://schemas.microsoft.com/office/drawing/2014/main" id="{3E98057A-BD36-2D35-DAA3-143130D590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274320</xdr:colOff>
      <xdr:row>8</xdr:row>
      <xdr:rowOff>76200</xdr:rowOff>
    </xdr:from>
    <xdr:to>
      <xdr:col>9</xdr:col>
      <xdr:colOff>579120</xdr:colOff>
      <xdr:row>23</xdr:row>
      <xdr:rowOff>76200</xdr:rowOff>
    </xdr:to>
    <xdr:graphicFrame macro="">
      <xdr:nvGraphicFramePr>
        <xdr:cNvPr id="3" name="Chart 2">
          <a:extLst>
            <a:ext uri="{FF2B5EF4-FFF2-40B4-BE49-F238E27FC236}">
              <a16:creationId xmlns:a16="http://schemas.microsoft.com/office/drawing/2014/main" id="{D27D0F0D-38C7-ABA7-868A-4FC084F1DF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419100</xdr:colOff>
      <xdr:row>28</xdr:row>
      <xdr:rowOff>121920</xdr:rowOff>
    </xdr:from>
    <xdr:to>
      <xdr:col>14</xdr:col>
      <xdr:colOff>114300</xdr:colOff>
      <xdr:row>43</xdr:row>
      <xdr:rowOff>121920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7126413F-63E8-2974-F22B-788520F3557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610100" y="524256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6</xdr:col>
      <xdr:colOff>251460</xdr:colOff>
      <xdr:row>6</xdr:row>
      <xdr:rowOff>83820</xdr:rowOff>
    </xdr:from>
    <xdr:to>
      <xdr:col>9</xdr:col>
      <xdr:colOff>251460</xdr:colOff>
      <xdr:row>20</xdr:row>
      <xdr:rowOff>104775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D250AFB3-3765-CD2F-103B-7217647652E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442460" y="1181100"/>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121663</xdr:colOff>
      <xdr:row>0</xdr:row>
      <xdr:rowOff>70437</xdr:rowOff>
    </xdr:from>
    <xdr:to>
      <xdr:col>26</xdr:col>
      <xdr:colOff>467591</xdr:colOff>
      <xdr:row>4</xdr:row>
      <xdr:rowOff>102123</xdr:rowOff>
    </xdr:to>
    <xdr:sp macro="" textlink="">
      <xdr:nvSpPr>
        <xdr:cNvPr id="4" name="Rectangle: Rounded Corners 3">
          <a:extLst>
            <a:ext uri="{FF2B5EF4-FFF2-40B4-BE49-F238E27FC236}">
              <a16:creationId xmlns:a16="http://schemas.microsoft.com/office/drawing/2014/main" id="{E3DD121B-A06D-0641-AC96-DBF90992219B}"/>
            </a:ext>
          </a:extLst>
        </xdr:cNvPr>
        <xdr:cNvSpPr/>
      </xdr:nvSpPr>
      <xdr:spPr>
        <a:xfrm>
          <a:off x="121663" y="70437"/>
          <a:ext cx="16105473" cy="759050"/>
        </a:xfrm>
        <a:prstGeom prst="roundRect">
          <a:avLst/>
        </a:prstGeom>
        <a:solidFill>
          <a:schemeClr val="accent1">
            <a:lumMod val="60000"/>
            <a:lumOff val="40000"/>
          </a:schemeClr>
        </a:solidFill>
        <a:ln w="28575"/>
        <a:effectLst>
          <a:glow rad="139700">
            <a:schemeClr val="accent1">
              <a:satMod val="175000"/>
              <a:alpha val="40000"/>
            </a:schemeClr>
          </a:glow>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a:ln w="12700">
                <a:solidFill>
                  <a:schemeClr val="bg1"/>
                </a:solidFill>
              </a:ln>
              <a:solidFill>
                <a:schemeClr val="tx1"/>
              </a:solidFill>
            </a:rPr>
            <a:t>                                </a:t>
          </a:r>
          <a:r>
            <a:rPr lang="en-US" sz="4000" b="1">
              <a:ln w="12700">
                <a:solidFill>
                  <a:schemeClr val="bg1"/>
                </a:solidFill>
              </a:ln>
              <a:solidFill>
                <a:schemeClr val="tx1"/>
              </a:solidFill>
            </a:rPr>
            <a:t>SALES</a:t>
          </a:r>
          <a:r>
            <a:rPr lang="en-US" sz="4000" b="1" baseline="0">
              <a:ln w="12700">
                <a:solidFill>
                  <a:schemeClr val="bg1"/>
                </a:solidFill>
              </a:ln>
              <a:solidFill>
                <a:schemeClr val="tx1"/>
              </a:solidFill>
            </a:rPr>
            <a:t> DASHBOARD</a:t>
          </a:r>
          <a:endParaRPr lang="en-US" sz="2800" b="1">
            <a:ln w="12700">
              <a:solidFill>
                <a:schemeClr val="bg1"/>
              </a:solidFill>
            </a:ln>
            <a:solidFill>
              <a:schemeClr val="tx1"/>
            </a:solidFill>
          </a:endParaRPr>
        </a:p>
      </xdr:txBody>
    </xdr:sp>
    <xdr:clientData/>
  </xdr:twoCellAnchor>
  <xdr:twoCellAnchor editAs="oneCell">
    <xdr:from>
      <xdr:col>0</xdr:col>
      <xdr:colOff>343999</xdr:colOff>
      <xdr:row>0</xdr:row>
      <xdr:rowOff>130973</xdr:rowOff>
    </xdr:from>
    <xdr:to>
      <xdr:col>3</xdr:col>
      <xdr:colOff>225136</xdr:colOff>
      <xdr:row>4</xdr:row>
      <xdr:rowOff>66309</xdr:rowOff>
    </xdr:to>
    <xdr:pic>
      <xdr:nvPicPr>
        <xdr:cNvPr id="6" name="Graphic 5" descr="Bar graph with upward trend with solid fill">
          <a:extLst>
            <a:ext uri="{FF2B5EF4-FFF2-40B4-BE49-F238E27FC236}">
              <a16:creationId xmlns:a16="http://schemas.microsoft.com/office/drawing/2014/main" id="{60D33ACE-748B-F0A6-3B51-28190F60E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43999" y="130973"/>
          <a:ext cx="1699546" cy="662700"/>
        </a:xfrm>
        <a:prstGeom prst="rect">
          <a:avLst/>
        </a:prstGeom>
      </xdr:spPr>
    </xdr:pic>
    <xdr:clientData/>
  </xdr:twoCellAnchor>
  <xdr:twoCellAnchor editAs="oneCell">
    <xdr:from>
      <xdr:col>11</xdr:col>
      <xdr:colOff>112568</xdr:colOff>
      <xdr:row>0</xdr:row>
      <xdr:rowOff>118529</xdr:rowOff>
    </xdr:from>
    <xdr:to>
      <xdr:col>16</xdr:col>
      <xdr:colOff>494791</xdr:colOff>
      <xdr:row>4</xdr:row>
      <xdr:rowOff>67301</xdr:rowOff>
    </xdr:to>
    <mc:AlternateContent xmlns:mc="http://schemas.openxmlformats.org/markup-compatibility/2006" xmlns:a14="http://schemas.microsoft.com/office/drawing/2010/main">
      <mc:Choice Requires="a14">
        <xdr:graphicFrame macro="">
          <xdr:nvGraphicFramePr>
            <xdr:cNvPr id="7" name="Year 1">
              <a:extLst>
                <a:ext uri="{FF2B5EF4-FFF2-40B4-BE49-F238E27FC236}">
                  <a16:creationId xmlns:a16="http://schemas.microsoft.com/office/drawing/2014/main" id="{E302E683-791C-4C15-B1DD-0FACD4C6506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780068" y="118529"/>
              <a:ext cx="3412905" cy="6761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173239</xdr:colOff>
      <xdr:row>0</xdr:row>
      <xdr:rowOff>109303</xdr:rowOff>
    </xdr:from>
    <xdr:to>
      <xdr:col>26</xdr:col>
      <xdr:colOff>17319</xdr:colOff>
      <xdr:row>4</xdr:row>
      <xdr:rowOff>38865</xdr:rowOff>
    </xdr:to>
    <mc:AlternateContent xmlns:mc="http://schemas.openxmlformats.org/markup-compatibility/2006" xmlns:a14="http://schemas.microsoft.com/office/drawing/2010/main">
      <mc:Choice Requires="a14">
        <xdr:graphicFrame macro="">
          <xdr:nvGraphicFramePr>
            <xdr:cNvPr id="8" name="Category 1">
              <a:extLst>
                <a:ext uri="{FF2B5EF4-FFF2-40B4-BE49-F238E27FC236}">
                  <a16:creationId xmlns:a16="http://schemas.microsoft.com/office/drawing/2014/main" id="{8470E468-E4DB-4BCA-91DE-B62079D33E6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0477557" y="109303"/>
              <a:ext cx="5299307" cy="6569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134471</xdr:colOff>
      <xdr:row>5</xdr:row>
      <xdr:rowOff>25614</xdr:rowOff>
    </xdr:from>
    <xdr:to>
      <xdr:col>7</xdr:col>
      <xdr:colOff>51954</xdr:colOff>
      <xdr:row>32</xdr:row>
      <xdr:rowOff>95250</xdr:rowOff>
    </xdr:to>
    <xdr:sp macro="" textlink="">
      <xdr:nvSpPr>
        <xdr:cNvPr id="9" name="Rectangle: Rounded Corners 8">
          <a:extLst>
            <a:ext uri="{FF2B5EF4-FFF2-40B4-BE49-F238E27FC236}">
              <a16:creationId xmlns:a16="http://schemas.microsoft.com/office/drawing/2014/main" id="{33F73A88-99BC-231D-62A4-B9DBE4CABC61}"/>
            </a:ext>
          </a:extLst>
        </xdr:cNvPr>
        <xdr:cNvSpPr/>
      </xdr:nvSpPr>
      <xdr:spPr>
        <a:xfrm>
          <a:off x="134471" y="934819"/>
          <a:ext cx="4160438" cy="4979340"/>
        </a:xfrm>
        <a:prstGeom prst="roundRect">
          <a:avLst>
            <a:gd name="adj" fmla="val 8070"/>
          </a:avLst>
        </a:prstGeom>
        <a:solidFill>
          <a:srgbClr val="F2F2F2"/>
        </a:solidFill>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181841</xdr:colOff>
      <xdr:row>5</xdr:row>
      <xdr:rowOff>8659</xdr:rowOff>
    </xdr:from>
    <xdr:to>
      <xdr:col>26</xdr:col>
      <xdr:colOff>458933</xdr:colOff>
      <xdr:row>16</xdr:row>
      <xdr:rowOff>138544</xdr:rowOff>
    </xdr:to>
    <xdr:sp macro="" textlink="">
      <xdr:nvSpPr>
        <xdr:cNvPr id="10" name="Rectangle: Rounded Corners 9">
          <a:extLst>
            <a:ext uri="{FF2B5EF4-FFF2-40B4-BE49-F238E27FC236}">
              <a16:creationId xmlns:a16="http://schemas.microsoft.com/office/drawing/2014/main" id="{BE6BE68F-F1DB-4AA4-A3DE-6023AC81EAF0}"/>
            </a:ext>
          </a:extLst>
        </xdr:cNvPr>
        <xdr:cNvSpPr/>
      </xdr:nvSpPr>
      <xdr:spPr>
        <a:xfrm>
          <a:off x="4424796" y="917864"/>
          <a:ext cx="11793682" cy="2130135"/>
        </a:xfrm>
        <a:prstGeom prst="roundRect">
          <a:avLst>
            <a:gd name="adj" fmla="val 8070"/>
          </a:avLst>
        </a:prstGeom>
        <a:solidFill>
          <a:schemeClr val="bg1"/>
        </a:solidFill>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207819</xdr:colOff>
      <xdr:row>17</xdr:row>
      <xdr:rowOff>43296</xdr:rowOff>
    </xdr:from>
    <xdr:to>
      <xdr:col>13</xdr:col>
      <xdr:colOff>588819</xdr:colOff>
      <xdr:row>32</xdr:row>
      <xdr:rowOff>77932</xdr:rowOff>
    </xdr:to>
    <xdr:sp macro="" textlink="">
      <xdr:nvSpPr>
        <xdr:cNvPr id="11" name="Rectangle: Rounded Corners 10">
          <a:extLst>
            <a:ext uri="{FF2B5EF4-FFF2-40B4-BE49-F238E27FC236}">
              <a16:creationId xmlns:a16="http://schemas.microsoft.com/office/drawing/2014/main" id="{929A6985-D296-4005-810E-93DB280B4CE7}"/>
            </a:ext>
          </a:extLst>
        </xdr:cNvPr>
        <xdr:cNvSpPr/>
      </xdr:nvSpPr>
      <xdr:spPr>
        <a:xfrm>
          <a:off x="4450774" y="3134591"/>
          <a:ext cx="4017818" cy="2762250"/>
        </a:xfrm>
        <a:prstGeom prst="roundRect">
          <a:avLst>
            <a:gd name="adj" fmla="val 8070"/>
          </a:avLst>
        </a:prstGeom>
        <a:solidFill>
          <a:schemeClr val="bg1"/>
        </a:solidFill>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155864</xdr:colOff>
      <xdr:row>17</xdr:row>
      <xdr:rowOff>43296</xdr:rowOff>
    </xdr:from>
    <xdr:to>
      <xdr:col>26</xdr:col>
      <xdr:colOff>519546</xdr:colOff>
      <xdr:row>32</xdr:row>
      <xdr:rowOff>34637</xdr:rowOff>
    </xdr:to>
    <xdr:sp macro="" textlink="">
      <xdr:nvSpPr>
        <xdr:cNvPr id="12" name="Rectangle: Rounded Corners 11">
          <a:extLst>
            <a:ext uri="{FF2B5EF4-FFF2-40B4-BE49-F238E27FC236}">
              <a16:creationId xmlns:a16="http://schemas.microsoft.com/office/drawing/2014/main" id="{EC679950-6FFB-44F5-9545-BB6818DD63B9}"/>
            </a:ext>
          </a:extLst>
        </xdr:cNvPr>
        <xdr:cNvSpPr/>
      </xdr:nvSpPr>
      <xdr:spPr>
        <a:xfrm>
          <a:off x="8641773" y="3134591"/>
          <a:ext cx="7637318" cy="2718955"/>
        </a:xfrm>
        <a:prstGeom prst="roundRect">
          <a:avLst>
            <a:gd name="adj" fmla="val 8070"/>
          </a:avLst>
        </a:prstGeom>
        <a:solidFill>
          <a:schemeClr val="bg1"/>
        </a:solidFill>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476251</xdr:colOff>
      <xdr:row>7</xdr:row>
      <xdr:rowOff>103910</xdr:rowOff>
    </xdr:from>
    <xdr:to>
      <xdr:col>6</xdr:col>
      <xdr:colOff>207819</xdr:colOff>
      <xdr:row>31</xdr:row>
      <xdr:rowOff>60614</xdr:rowOff>
    </xdr:to>
    <mc:AlternateContent xmlns:mc="http://schemas.openxmlformats.org/markup-compatibility/2006">
      <mc:Choice xmlns:cx2="http://schemas.microsoft.com/office/drawing/2015/10/21/chartex" Requires="cx2">
        <xdr:graphicFrame macro="">
          <xdr:nvGraphicFramePr>
            <xdr:cNvPr id="13" name="Chart 12">
              <a:extLst>
                <a:ext uri="{FF2B5EF4-FFF2-40B4-BE49-F238E27FC236}">
                  <a16:creationId xmlns:a16="http://schemas.microsoft.com/office/drawing/2014/main" id="{127AC909-F4AE-4F3B-A0E5-E957E48DF1A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76251" y="1384070"/>
              <a:ext cx="3389168" cy="434582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389657</xdr:colOff>
      <xdr:row>7</xdr:row>
      <xdr:rowOff>51955</xdr:rowOff>
    </xdr:from>
    <xdr:to>
      <xdr:col>13</xdr:col>
      <xdr:colOff>242454</xdr:colOff>
      <xdr:row>16</xdr:row>
      <xdr:rowOff>43295</xdr:rowOff>
    </xdr:to>
    <xdr:graphicFrame macro="">
      <xdr:nvGraphicFramePr>
        <xdr:cNvPr id="14" name="Chart 13">
          <a:extLst>
            <a:ext uri="{FF2B5EF4-FFF2-40B4-BE49-F238E27FC236}">
              <a16:creationId xmlns:a16="http://schemas.microsoft.com/office/drawing/2014/main" id="{CEBBD769-DFEA-4C2F-94C8-F4A749590A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406977</xdr:colOff>
      <xdr:row>19</xdr:row>
      <xdr:rowOff>95250</xdr:rowOff>
    </xdr:from>
    <xdr:to>
      <xdr:col>26</xdr:col>
      <xdr:colOff>112569</xdr:colOff>
      <xdr:row>31</xdr:row>
      <xdr:rowOff>138546</xdr:rowOff>
    </xdr:to>
    <xdr:graphicFrame macro="">
      <xdr:nvGraphicFramePr>
        <xdr:cNvPr id="15" name="Chart 14">
          <a:extLst>
            <a:ext uri="{FF2B5EF4-FFF2-40B4-BE49-F238E27FC236}">
              <a16:creationId xmlns:a16="http://schemas.microsoft.com/office/drawing/2014/main" id="{53B634F3-94D9-44A4-A907-E58CCE1135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406977</xdr:colOff>
      <xdr:row>19</xdr:row>
      <xdr:rowOff>112567</xdr:rowOff>
    </xdr:from>
    <xdr:to>
      <xdr:col>13</xdr:col>
      <xdr:colOff>372341</xdr:colOff>
      <xdr:row>31</xdr:row>
      <xdr:rowOff>173182</xdr:rowOff>
    </xdr:to>
    <xdr:graphicFrame macro="">
      <xdr:nvGraphicFramePr>
        <xdr:cNvPr id="17" name="Chart 16">
          <a:extLst>
            <a:ext uri="{FF2B5EF4-FFF2-40B4-BE49-F238E27FC236}">
              <a16:creationId xmlns:a16="http://schemas.microsoft.com/office/drawing/2014/main" id="{1CDE6A22-2C83-43AD-9E66-5F65840212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346363</xdr:colOff>
      <xdr:row>7</xdr:row>
      <xdr:rowOff>43297</xdr:rowOff>
    </xdr:from>
    <xdr:to>
      <xdr:col>20</xdr:col>
      <xdr:colOff>329046</xdr:colOff>
      <xdr:row>16</xdr:row>
      <xdr:rowOff>8658</xdr:rowOff>
    </xdr:to>
    <mc:AlternateContent xmlns:mc="http://schemas.openxmlformats.org/markup-compatibility/2006">
      <mc:Choice xmlns:cx4="http://schemas.microsoft.com/office/drawing/2016/5/10/chartex" Requires="cx4">
        <xdr:graphicFrame macro="">
          <xdr:nvGraphicFramePr>
            <xdr:cNvPr id="18" name="Chart 17">
              <a:extLst>
                <a:ext uri="{FF2B5EF4-FFF2-40B4-BE49-F238E27FC236}">
                  <a16:creationId xmlns:a16="http://schemas.microsoft.com/office/drawing/2014/main" id="{F3F748F1-1F91-4864-8092-AE900A788E9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8271163" y="1323457"/>
              <a:ext cx="4249883" cy="161128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476250</xdr:colOff>
      <xdr:row>7</xdr:row>
      <xdr:rowOff>60612</xdr:rowOff>
    </xdr:from>
    <xdr:to>
      <xdr:col>26</xdr:col>
      <xdr:colOff>415638</xdr:colOff>
      <xdr:row>16</xdr:row>
      <xdr:rowOff>17316</xdr:rowOff>
    </xdr:to>
    <xdr:graphicFrame macro="">
      <xdr:nvGraphicFramePr>
        <xdr:cNvPr id="19" name="Chart 18">
          <a:extLst>
            <a:ext uri="{FF2B5EF4-FFF2-40B4-BE49-F238E27FC236}">
              <a16:creationId xmlns:a16="http://schemas.microsoft.com/office/drawing/2014/main" id="{283D7E92-94C1-4156-9191-7D36549DF1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381000</xdr:colOff>
      <xdr:row>5</xdr:row>
      <xdr:rowOff>34636</xdr:rowOff>
    </xdr:from>
    <xdr:ext cx="3212098" cy="530658"/>
    <xdr:sp macro="" textlink="">
      <xdr:nvSpPr>
        <xdr:cNvPr id="20" name="TextBox 19">
          <a:extLst>
            <a:ext uri="{FF2B5EF4-FFF2-40B4-BE49-F238E27FC236}">
              <a16:creationId xmlns:a16="http://schemas.microsoft.com/office/drawing/2014/main" id="{2082C6E7-8AEF-3CDB-8545-7F7AE1FDBEAD}"/>
            </a:ext>
          </a:extLst>
        </xdr:cNvPr>
        <xdr:cNvSpPr txBox="1"/>
      </xdr:nvSpPr>
      <xdr:spPr>
        <a:xfrm>
          <a:off x="381000" y="943841"/>
          <a:ext cx="3212098"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800" b="0" cap="none" spc="0">
              <a:ln w="0"/>
              <a:solidFill>
                <a:schemeClr val="tx1"/>
              </a:solidFill>
              <a:effectLst>
                <a:outerShdw blurRad="38100" dist="19050" dir="2700000" algn="tl" rotWithShape="0">
                  <a:schemeClr val="dk1">
                    <a:alpha val="40000"/>
                  </a:schemeClr>
                </a:outerShdw>
              </a:effectLst>
            </a:rPr>
            <a:t>SALES BY CATEGORY</a:t>
          </a:r>
        </a:p>
      </xdr:txBody>
    </xdr:sp>
    <xdr:clientData/>
  </xdr:oneCellAnchor>
  <xdr:twoCellAnchor>
    <xdr:from>
      <xdr:col>7</xdr:col>
      <xdr:colOff>389660</xdr:colOff>
      <xdr:row>5</xdr:row>
      <xdr:rowOff>95250</xdr:rowOff>
    </xdr:from>
    <xdr:to>
      <xdr:col>11</xdr:col>
      <xdr:colOff>207819</xdr:colOff>
      <xdr:row>7</xdr:row>
      <xdr:rowOff>17319</xdr:rowOff>
    </xdr:to>
    <xdr:sp macro="" textlink="">
      <xdr:nvSpPr>
        <xdr:cNvPr id="21" name="TextBox 20">
          <a:extLst>
            <a:ext uri="{FF2B5EF4-FFF2-40B4-BE49-F238E27FC236}">
              <a16:creationId xmlns:a16="http://schemas.microsoft.com/office/drawing/2014/main" id="{312342F6-5B53-31AD-DA67-BABD0699EBFA}"/>
            </a:ext>
          </a:extLst>
        </xdr:cNvPr>
        <xdr:cNvSpPr txBox="1"/>
      </xdr:nvSpPr>
      <xdr:spPr>
        <a:xfrm>
          <a:off x="4632615" y="1004455"/>
          <a:ext cx="2242704"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a:t>PROFIT</a:t>
          </a:r>
          <a:r>
            <a:rPr lang="en-US" sz="1400" b="1" i="0" u="none" baseline="0"/>
            <a:t> GAINED OVER TIME</a:t>
          </a:r>
          <a:endParaRPr lang="en-US" sz="1400" b="1" i="0" u="none"/>
        </a:p>
      </xdr:txBody>
    </xdr:sp>
    <xdr:clientData/>
  </xdr:twoCellAnchor>
  <xdr:twoCellAnchor>
    <xdr:from>
      <xdr:col>13</xdr:col>
      <xdr:colOff>355023</xdr:colOff>
      <xdr:row>5</xdr:row>
      <xdr:rowOff>95249</xdr:rowOff>
    </xdr:from>
    <xdr:to>
      <xdr:col>17</xdr:col>
      <xdr:colOff>173182</xdr:colOff>
      <xdr:row>7</xdr:row>
      <xdr:rowOff>17318</xdr:rowOff>
    </xdr:to>
    <xdr:sp macro="" textlink="">
      <xdr:nvSpPr>
        <xdr:cNvPr id="23" name="TextBox 22">
          <a:extLst>
            <a:ext uri="{FF2B5EF4-FFF2-40B4-BE49-F238E27FC236}">
              <a16:creationId xmlns:a16="http://schemas.microsoft.com/office/drawing/2014/main" id="{0C67E724-451F-4895-BCE9-920793945EA5}"/>
            </a:ext>
          </a:extLst>
        </xdr:cNvPr>
        <xdr:cNvSpPr txBox="1"/>
      </xdr:nvSpPr>
      <xdr:spPr>
        <a:xfrm>
          <a:off x="8234796" y="1004454"/>
          <a:ext cx="2242704"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a:t>SALES</a:t>
          </a:r>
          <a:r>
            <a:rPr lang="en-US" sz="1400" b="1" i="0" u="none" baseline="0"/>
            <a:t> BY STATE</a:t>
          </a:r>
          <a:endParaRPr lang="en-US" sz="1400" b="1" i="0" u="none"/>
        </a:p>
      </xdr:txBody>
    </xdr:sp>
    <xdr:clientData/>
  </xdr:twoCellAnchor>
  <xdr:twoCellAnchor>
    <xdr:from>
      <xdr:col>20</xdr:col>
      <xdr:colOff>476250</xdr:colOff>
      <xdr:row>5</xdr:row>
      <xdr:rowOff>103909</xdr:rowOff>
    </xdr:from>
    <xdr:to>
      <xdr:col>24</xdr:col>
      <xdr:colOff>294408</xdr:colOff>
      <xdr:row>7</xdr:row>
      <xdr:rowOff>25978</xdr:rowOff>
    </xdr:to>
    <xdr:sp macro="" textlink="">
      <xdr:nvSpPr>
        <xdr:cNvPr id="24" name="TextBox 23">
          <a:extLst>
            <a:ext uri="{FF2B5EF4-FFF2-40B4-BE49-F238E27FC236}">
              <a16:creationId xmlns:a16="http://schemas.microsoft.com/office/drawing/2014/main" id="{E7761DD7-AC3E-4960-9D04-ACE14A17F2E2}"/>
            </a:ext>
          </a:extLst>
        </xdr:cNvPr>
        <xdr:cNvSpPr txBox="1"/>
      </xdr:nvSpPr>
      <xdr:spPr>
        <a:xfrm>
          <a:off x="12598977" y="1013114"/>
          <a:ext cx="2242704"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a:t>CUSTOMER</a:t>
          </a:r>
          <a:r>
            <a:rPr lang="en-US" sz="1400" b="1" i="0" u="none" baseline="0"/>
            <a:t> COUNT</a:t>
          </a:r>
          <a:endParaRPr lang="en-US" sz="1400" b="1" i="0" u="none"/>
        </a:p>
      </xdr:txBody>
    </xdr:sp>
    <xdr:clientData/>
  </xdr:twoCellAnchor>
  <xdr:twoCellAnchor>
    <xdr:from>
      <xdr:col>7</xdr:col>
      <xdr:colOff>403512</xdr:colOff>
      <xdr:row>17</xdr:row>
      <xdr:rowOff>147205</xdr:rowOff>
    </xdr:from>
    <xdr:to>
      <xdr:col>12</xdr:col>
      <xdr:colOff>450272</xdr:colOff>
      <xdr:row>19</xdr:row>
      <xdr:rowOff>91787</xdr:rowOff>
    </xdr:to>
    <xdr:sp macro="" textlink="">
      <xdr:nvSpPr>
        <xdr:cNvPr id="25" name="TextBox 24">
          <a:extLst>
            <a:ext uri="{FF2B5EF4-FFF2-40B4-BE49-F238E27FC236}">
              <a16:creationId xmlns:a16="http://schemas.microsoft.com/office/drawing/2014/main" id="{22C966BE-0F22-4E36-B2AF-C75D4D00806E}"/>
            </a:ext>
          </a:extLst>
        </xdr:cNvPr>
        <xdr:cNvSpPr txBox="1"/>
      </xdr:nvSpPr>
      <xdr:spPr>
        <a:xfrm>
          <a:off x="4646467" y="3238500"/>
          <a:ext cx="3077441" cy="308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a:t>TOP</a:t>
          </a:r>
          <a:r>
            <a:rPr lang="en-US" sz="1400" b="1" i="0" u="none" baseline="0"/>
            <a:t> 5 CUSTOMERS MAKING PROFITS</a:t>
          </a:r>
          <a:endParaRPr lang="en-US" sz="1400" b="1" i="0" u="none"/>
        </a:p>
      </xdr:txBody>
    </xdr:sp>
    <xdr:clientData/>
  </xdr:twoCellAnchor>
  <xdr:twoCellAnchor>
    <xdr:from>
      <xdr:col>14</xdr:col>
      <xdr:colOff>403512</xdr:colOff>
      <xdr:row>17</xdr:row>
      <xdr:rowOff>121228</xdr:rowOff>
    </xdr:from>
    <xdr:to>
      <xdr:col>18</xdr:col>
      <xdr:colOff>221670</xdr:colOff>
      <xdr:row>19</xdr:row>
      <xdr:rowOff>69273</xdr:rowOff>
    </xdr:to>
    <xdr:sp macro="" textlink="">
      <xdr:nvSpPr>
        <xdr:cNvPr id="26" name="TextBox 25">
          <a:extLst>
            <a:ext uri="{FF2B5EF4-FFF2-40B4-BE49-F238E27FC236}">
              <a16:creationId xmlns:a16="http://schemas.microsoft.com/office/drawing/2014/main" id="{86557179-D951-4384-A778-FB07D3C862BC}"/>
            </a:ext>
          </a:extLst>
        </xdr:cNvPr>
        <xdr:cNvSpPr txBox="1"/>
      </xdr:nvSpPr>
      <xdr:spPr>
        <a:xfrm>
          <a:off x="8889421" y="3212523"/>
          <a:ext cx="2242704" cy="3117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baseline="0"/>
            <a:t>MONTHLY SALES</a:t>
          </a:r>
          <a:endParaRPr lang="en-US" sz="1400" b="1" i="0" u="none"/>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601980</xdr:colOff>
      <xdr:row>0</xdr:row>
      <xdr:rowOff>0</xdr:rowOff>
    </xdr:from>
    <xdr:to>
      <xdr:col>13</xdr:col>
      <xdr:colOff>106680</xdr:colOff>
      <xdr:row>24</xdr:row>
      <xdr:rowOff>30480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D6432C45-139D-9E6A-B47F-3198282ADE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229100" y="0"/>
              <a:ext cx="4381500" cy="4419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nit bhatia" refreshedDate="45590.859650347222" createdVersion="8" refreshedVersion="8" minRefreshableVersion="3" recordCount="1850" xr:uid="{75B27040-63E4-47A9-B964-1323E10B5336}">
  <cacheSource type="worksheet">
    <worksheetSource name="Table1"/>
  </cacheSource>
  <cacheFields count="11">
    <cacheField name="Order Date" numFmtId="14">
      <sharedItems containsNonDate="0" containsDate="1" containsMixedTypes="1" minDate="2014-01-02T00:00:00" maxDate="2017-12-12T00:00:00"/>
    </cacheField>
    <cacheField name="Month" numFmtId="1">
      <sharedItems containsMixedTypes="1" containsNumber="1" containsInteger="1" minValue="1" maxValue="12" count="13">
        <n v="1"/>
        <n v="2"/>
        <n v="3"/>
        <n v="4"/>
        <n v="5"/>
        <n v="6"/>
        <n v="7"/>
        <n v="8"/>
        <n v="9"/>
        <n v="10"/>
        <n v="11"/>
        <n v="12"/>
        <e v="#VALUE!"/>
      </sharedItems>
    </cacheField>
    <cacheField name="Year" numFmtId="1">
      <sharedItems containsMixedTypes="1" containsNumber="1" containsInteger="1" minValue="2014" maxValue="2017" count="5">
        <n v="2014"/>
        <n v="2015"/>
        <n v="2016"/>
        <n v="2017"/>
        <e v="#VALUE!"/>
      </sharedItems>
    </cacheField>
    <cacheField name="Customer Name" numFmtId="0">
      <sharedItems count="643">
        <s v="Bradley Drucker"/>
        <s v="Dave Brooks"/>
        <s v="Hallie Redmond"/>
        <s v="Vicky Freymann"/>
        <s v="Shahid Collister"/>
        <s v="Giulietta Weimer"/>
        <s v="Kunst Miller"/>
        <s v="Katharine Harms"/>
        <s v="Dianna Wilson"/>
        <s v="Corey Roper"/>
        <s v="Liz Thompson"/>
        <s v="Quincy Jones"/>
        <s v="Dorris liebe"/>
        <s v="Laurel Workman"/>
        <s v="Barbara Fisher"/>
        <s v="Ivan Liston"/>
        <s v="Ann Steele"/>
        <s v="Larry Tron"/>
        <s v="Jack Lebron"/>
        <s v="Lena Hernandez"/>
        <s v="Neil FranzÃ¶sisch"/>
        <s v="Russell Applegate"/>
        <s v="Natalie DeCherney"/>
        <s v="Ken Heidel"/>
        <s v="Suzanne McNair"/>
        <s v="Jack O'Briant"/>
        <s v="Paul Lucas"/>
        <s v="Daniel Lacy"/>
        <s v="Deirdre Greer"/>
        <s v="Erin Ashbrook"/>
        <s v="Resi PÃ¶lking"/>
        <s v="Toby Ritter"/>
        <s v="Toby Braunhardt"/>
        <s v="Joe Kamberova"/>
        <s v="Matt Connell"/>
        <s v="Anna Andreadi"/>
        <s v="Eric Barreto"/>
        <s v="Kristina Nunn"/>
        <s v="Nicole Hansen"/>
        <s v="Rob Dowd"/>
        <s v="Sam Craven"/>
        <s v="Anna HÃ¤berlin"/>
        <s v="Andrew Roberts"/>
        <s v="Cari Schnelling"/>
        <s v="Christine Kargatis"/>
        <s v="Stewart Visinsky"/>
        <s v="Eric Hoffmann"/>
        <s v="Nick Zandusky"/>
        <s v="Justin MacKendrick"/>
        <s v="Clay Ludtke"/>
        <s v="Katherine Ducich"/>
        <s v="Christina VanderZanden"/>
        <s v="Andy Gerbode"/>
        <s v="Sanjit Chand"/>
        <s v="Bryan Mills"/>
        <s v="Erin Smith"/>
        <s v="Roger Demir"/>
        <s v="Liz Carlisle"/>
        <s v="Julie Kriz"/>
        <s v="Shahid Hopkins"/>
        <s v="Steven Ward"/>
        <s v="David Philippe"/>
        <s v="Michael Dominguez"/>
        <s v="Katherine Nockton"/>
        <s v="Matt Collins"/>
        <s v="Odella Nelson"/>
        <s v="Elizabeth Moffitt"/>
        <s v="Darren Powers"/>
        <s v="Tom Boeckenhauer"/>
        <s v="Ashley Jarboe"/>
        <s v="Anne Pryor"/>
        <s v="Jill Stevenson"/>
        <s v="Eva Jacobs"/>
        <s v="Katrina Edelman"/>
        <s v="Joni Sundaresam"/>
        <s v="Nathan Cano"/>
        <s v="Steven Cartwright"/>
        <s v="Ross Baird"/>
        <s v="Richard Eichhorn"/>
        <s v="Bruce Stewart"/>
        <s v="Berenike Kampe"/>
        <s v="Gary Hansen"/>
        <s v="Allen Goldenen"/>
        <s v="Mathew Reese"/>
        <s v="Beth Paige"/>
        <s v="Allen Rosenblatt"/>
        <s v="Sara Luxemburg"/>
        <s v="Denny Ordway"/>
        <s v="Russell D'Ascenzo"/>
        <s v="Maxwell Schwartz"/>
        <s v="Speros Goranitis"/>
        <s v="Annie Thurman"/>
        <s v="Stephanie Phelps"/>
        <s v="Tracy Collins"/>
        <s v="Nathan Gelder"/>
        <s v="Phillina Ober"/>
        <s v="Deborah Brumfield"/>
        <s v="Mark Haberlin"/>
        <s v="Paul Knutson"/>
        <s v="Maurice Satty"/>
        <s v="Mary Zewe"/>
        <s v="Ken Black"/>
        <s v="Paul MacIntyre"/>
        <s v="Andrew Allen"/>
        <s v="Nat Carroll"/>
        <s v="Bill Shonely"/>
        <s v="Bobby Trafton"/>
        <s v="Valerie Dominguez"/>
        <s v="Marina Lichtenstein"/>
        <s v="David Flashing"/>
        <s v="Joy Daniels"/>
        <s v="Chris Cortes"/>
        <s v="Nathan Mautz"/>
        <s v="MaryBeth Skach"/>
        <s v="William Brown"/>
        <s v="Sam Zeldin"/>
        <s v="Mick Brown"/>
        <s v="Aimee Bixby"/>
        <s v="Tracy Hopkins"/>
        <s v="Greg Maxwell"/>
        <s v="John Grady"/>
        <s v="Ruben Dartt"/>
        <s v="Peter Fuller"/>
        <s v="Emily Burns"/>
        <s v="Giulietta Dortch"/>
        <s v="Michael Chen"/>
        <s v="Dan Campbell"/>
        <s v="Dennis Pardue"/>
        <s v="David Wiener"/>
        <s v="Don Miller"/>
        <s v="Chad Sievert"/>
        <s v="Sonia Sunley"/>
        <s v="Ricardo Sperren"/>
        <s v="Gary Zandusky"/>
        <s v="Nora Preis"/>
        <s v="Patrick Ryan"/>
        <s v="Brian Derr"/>
        <s v="Keith Herrera"/>
        <s v="Deanra Eno"/>
        <s v="Steven Roelle"/>
        <s v="Maribeth Dona"/>
        <s v="Brendan Sweed"/>
        <s v="David Kendrick"/>
        <s v="Roy Collins"/>
        <s v="Nona Balk"/>
        <s v="Rob Lucas"/>
        <s v="Joni Blumstein"/>
        <s v="Lycoris Saunders"/>
        <s v="Maria Etezadi"/>
        <s v="Neil Ducich"/>
        <s v="Delfina Latchford"/>
        <s v="Shirley Daniels"/>
        <s v="Scott Cohen"/>
        <s v="Andy Yotov"/>
        <s v="Frank Hawley"/>
        <s v="Steve Nguyen"/>
        <s v="Grant Thornton"/>
        <s v="Sarah Bern"/>
        <s v="Valerie Takahito"/>
        <s v="Emily Phan"/>
        <s v="Becky Castell"/>
        <s v="Trudy Brown"/>
        <s v="Victoria Pisteka"/>
        <s v="Xylona Preis"/>
        <s v="Ryan Crowe"/>
        <s v="Roland Schwarz"/>
        <s v="Barry Gonzalez"/>
        <s v="Vivek Sundaresam"/>
        <s v="Cyma Kinney"/>
        <s v="Aaron Bergman"/>
        <s v="Nora Pelletier"/>
        <s v="Craig Molinari"/>
        <s v="Pauline Johnson"/>
        <s v="Valerie Mitchum"/>
        <s v="Carol Triggs"/>
        <s v="John Lee"/>
        <s v="Sean Braxton"/>
        <s v="Dennis Kane"/>
        <s v="Rick Bensley"/>
        <s v="Lisa Ryan"/>
        <s v="Shahid Shariari"/>
        <s v="Tamara Chand"/>
        <s v="Maribeth Schnelling"/>
        <s v="Bart Pistole"/>
        <s v="Troy Blackwell"/>
        <s v="Frank Preis"/>
        <s v="Erica Hernandez"/>
        <s v="Jim Mitchum"/>
        <s v="Ruben Ausman"/>
        <s v="John Stevenson"/>
        <s v="Kean Thornton"/>
        <s v="Rick Duston"/>
        <s v="Ed Braxton"/>
        <s v="Lena Radford"/>
        <s v="Maria Bertelson"/>
        <s v="Matt Abelman"/>
        <s v="Vivek Gonzalez"/>
        <s v="Becky Martin"/>
        <s v="Lisa Hazard"/>
        <s v="Karen Carlisle"/>
        <s v="Ted Trevino"/>
        <s v="Stefania Perrino"/>
        <s v="Marc Crier"/>
        <s v="Kean Takahito"/>
        <s v="Paul Prost"/>
        <s v="Toby Swindell"/>
        <s v="Jack Garza"/>
        <s v="Duane Noonan"/>
        <s v="Thomas Boland"/>
        <s v="Tim Brockman"/>
        <s v="Jim Karlsson"/>
        <s v="Denny Joy"/>
        <s v="Melanie Seite"/>
        <s v="Patrick Gardner"/>
        <s v="Brosina Hoffman"/>
        <s v="Carl Weiss"/>
        <s v="Chuck Magee"/>
        <s v="Frank Olsen"/>
        <s v="Thomas Seio"/>
        <s v="Brian Moss"/>
        <s v="Darrin Sayre"/>
        <s v="Emily Ducich"/>
        <s v="Matthew Grinstein"/>
        <s v="Joseph Holt"/>
        <s v="Gene McClure"/>
        <s v="Rick Reed"/>
        <s v="Logan Currie"/>
        <s v="Nicole Fjeld"/>
        <s v="Shirley Jackson"/>
        <s v="Jeremy Pistek"/>
        <s v="Benjamin Farhat"/>
        <s v="Dario Medina"/>
        <s v="Anthony Jacobs"/>
        <s v="Arianne Irving"/>
        <s v="Art Foster"/>
        <s v="Greg Matthias"/>
        <s v="Heather Kirkland"/>
        <s v="Dianna Arnett"/>
        <s v="Sandra Flanagan"/>
        <s v="Tanja Norvell"/>
        <s v="Richard Bierner"/>
        <s v="Fred Chung"/>
        <s v="Sally Matthias"/>
        <s v="Sally Hughsby"/>
        <s v="Seth Vernon"/>
        <s v="Guy Armstrong"/>
        <s v="Chloris Kastensmidt"/>
        <s v="Filia McAdams"/>
        <s v="Jay Kimmel"/>
        <s v="Gary Mitchum"/>
        <s v="Michelle Moray"/>
        <s v="Paul Gonzalez"/>
        <s v="Raymond Messe"/>
        <s v="Harold Dahlen"/>
        <s v="Laura Armstrong"/>
        <s v="Michael Nguyen"/>
        <s v="Mark Hamilton"/>
        <s v="Jamie Kunitz"/>
        <s v="Ken Lonsdale"/>
        <s v="Liz Willingham"/>
        <s v="Jill Fjeld"/>
        <s v="Dean percer"/>
        <s v="Helen Andreada"/>
        <s v="Dorothy Badders"/>
        <s v="Pete Kriz"/>
        <s v="Tracy Zic"/>
        <s v="Karen Daniels"/>
        <s v="Arthur Prichep"/>
        <s v="Tom Stivers"/>
        <s v="Kean Nguyen"/>
        <s v="Edward Hooks"/>
        <s v="Alyssa Crouse"/>
        <s v="Ben Ferrer"/>
        <s v="Max Engle"/>
        <s v="Paul Van Hugh"/>
        <s v="Charles Sheldon"/>
        <s v="Ben Wallace"/>
        <s v="Duane Huffman"/>
        <s v="Lauren Leatherbury"/>
        <s v="Brad Norvell"/>
        <s v="Pete Takahito"/>
        <s v="Tom Ashbrook"/>
        <s v="Luke Weiss"/>
        <s v="Barry Pond"/>
        <s v="Roy FranzÃ¶sisch"/>
        <s v="Joseph Airdo"/>
        <s v="Darren Budd"/>
        <s v="Craig Yedwab"/>
        <s v="Logan Haushalter"/>
        <s v="Shui Tom"/>
        <s v="Dave Hallsten"/>
        <s v="Tracy Poddar"/>
        <s v="Jennifer Braxton"/>
        <s v="David Bremer"/>
        <s v="Patrick O'Brill"/>
        <s v="Daniel Raglin"/>
        <s v="Robert Marley"/>
        <s v="Eric Murdock"/>
        <s v="Justin Hirsh"/>
        <s v="Jeremy Farry"/>
        <s v="Keith Dawkins"/>
        <s v="Tamara Willingham"/>
        <s v="Victoria Wilson"/>
        <s v="Claudia Bergmann"/>
        <s v="Pete Armstrong"/>
        <s v="Michael Oakman"/>
        <s v="Cari Sayre"/>
        <s v="John Dryer"/>
        <s v="Rob Haberlin"/>
        <s v="Frank Atkinson"/>
        <s v="Corey-Lock"/>
        <s v="Brad Eason"/>
        <s v="Jennifer Patt"/>
        <s v="Christopher Schild"/>
        <s v="Henry MacAllister"/>
        <s v="Sheri Gordon"/>
        <s v="Jas O'Carroll"/>
        <s v="Kelly Collister"/>
        <s v="Scot Wooten"/>
        <s v="Barry Blumstein"/>
        <s v="Emily Grady"/>
        <s v="Amy Hunt"/>
        <s v="Allen Armold"/>
        <s v="Rick Wilson"/>
        <s v="Pauline Webber"/>
        <s v="Lena Cacioppo"/>
        <s v="Bruce Degenhardt"/>
        <s v="Julie Creighton"/>
        <s v="Mike Gockenbach"/>
        <s v="Cathy Prescott"/>
        <s v="John Huston"/>
        <s v="Corinna Mitchell"/>
        <s v="Chris Selesnick"/>
        <s v="Fred Hopkins"/>
        <s v="Dean Katz"/>
        <s v="Mark Packer"/>
        <s v="Alejandro Ballentine"/>
        <s v="Bill Stewart"/>
        <s v="Pierre Wener"/>
        <s v="Harold Pawlan"/>
        <s v="Alan Schoenberger"/>
        <s v="Becky Pak"/>
        <s v="Irene Maddox"/>
        <s v="Alan Dominguez"/>
        <s v="Julie Prescott"/>
        <s v="Christine Sundaresam"/>
        <s v="Alex Avila"/>
        <s v="Ritsa Hightower"/>
        <s v="Sean O'Donnell"/>
        <s v="Rose O'Brian"/>
        <s v="Harry Marie"/>
        <s v="Brooke Gillingham"/>
        <s v="Luke Foster"/>
        <s v="Alan Haines"/>
        <s v="Mike Vittorini"/>
        <s v="Jennifer Ferguson"/>
        <s v="Brenda Bowman"/>
        <s v="Victor Preis"/>
        <s v="Mitch Webber"/>
        <s v="Arthur Gainer"/>
        <s v="Christy Brittain"/>
        <s v="Matt Hagelstein"/>
        <s v="George Bell"/>
        <s v="Trudy Schmidt"/>
        <s v="Lori Olson"/>
        <s v="John Lucas"/>
        <s v="Kalyca Meade"/>
        <s v="Sarah Jordon"/>
        <s v="Rachel Payne"/>
        <s v="Beth Thompson"/>
        <s v="Alyssa Tate"/>
        <s v="Meg Tillman"/>
        <s v="Katrina Willman"/>
        <s v="Gary Hwang"/>
        <s v="Katherine Murray"/>
        <s v="Eugene Moren"/>
        <s v="Frank Merwin"/>
        <s v="Anna Gayman"/>
        <s v="Eleni McCrary"/>
        <s v="Parhena Norris"/>
        <s v="Kelly Williams"/>
        <s v="Noel Staavos"/>
        <s v="Eudokia Martin"/>
        <s v="Charles Crestani"/>
        <s v="Karen Bern"/>
        <s v="Mike Caudle"/>
        <s v="Christine Phan"/>
        <s v="Doug O'Connell"/>
        <s v="Adrian Barton"/>
        <s v="Alan Hwang"/>
        <s v="Kristen Hastings"/>
        <s v="Dana Kaydos"/>
        <s v="Anthony Rawles"/>
        <s v="Natalie Webber"/>
        <s v="Maureen Gnade"/>
        <s v="Andrew Gjertsen"/>
        <s v="Thomas Thornton"/>
        <s v="Denny Blanton"/>
        <s v="Brian Thompson"/>
        <s v="Gene Hale"/>
        <s v="Helen Abelman"/>
        <s v="Shaun Weien"/>
        <s v="Joel Jenkins"/>
        <s v="Yana Sorensen"/>
        <s v="Craig Carroll"/>
        <s v="Ivan Gibson"/>
        <s v="Trudy Glocke"/>
        <s v="Max Jones"/>
        <s v="David Smith"/>
        <s v="Naresj Patel"/>
        <s v="Monica Federle"/>
        <s v="Sonia Cooley"/>
        <s v="Fred McMath"/>
        <s v="Charlotte Melton"/>
        <s v="Adam Shillingsburg"/>
        <s v="Dianna Vittorini"/>
        <s v="Jesus Ocampo"/>
        <s v="Michael Moore"/>
        <s v="Eugene Hildebrand"/>
        <s v="Bill Donatelli"/>
        <s v="Bobby Odegard"/>
        <s v="Alex Russell"/>
        <s v="Steve Chapman"/>
        <s v="Khloe Miller"/>
        <s v="Julia West"/>
        <s v="Sanjit Engle"/>
        <s v="Andy Reiter"/>
        <s v="Paul Stevenson"/>
        <s v="Brian Dahlen"/>
        <s v="Jim Epp"/>
        <s v="Clytie Kelty"/>
        <s v="Todd Sumrall"/>
        <s v="Philisse Overcash"/>
        <s v="Skye Norling"/>
        <s v="Cynthia Arntzen"/>
        <s v="Cindy Schnelling"/>
        <s v="Edward Becker"/>
        <s v="Robert Dilbeck"/>
        <s v="Cindy Stewart"/>
        <s v="Tamara Manning"/>
        <s v="Jonathan Doherty"/>
        <s v="Raymond Buch"/>
        <s v="Don Weiss"/>
        <s v="Daniel Byrd"/>
        <s v="Muhammed Yedwab"/>
        <s v="Chris McAfee"/>
        <s v="Jay Fein"/>
        <s v="Stephanie Ulpright"/>
        <s v="Adam Bellavance"/>
        <s v="Laurel Beltran"/>
        <s v="Brendan Murry"/>
        <s v="Cindy Chapman"/>
        <s v="Dan Lawera"/>
        <s v="Katherine Hughes"/>
        <s v="Barry FranzÃ¶sisch"/>
        <s v="Joe Elijah"/>
        <s v="Ross DeVincentis"/>
        <s v="Jamie Frazer"/>
        <s v="Christine Abelman"/>
        <s v="Bill Overfelt"/>
        <s v="Jason Gross"/>
        <s v="Craig Carreira"/>
        <s v="Theresa Swint"/>
        <s v="Carlos Soltero"/>
        <s v="Susan MacKendrick"/>
        <s v="Alex Grayson"/>
        <s v="Jennifer Jackson"/>
        <s v="Rob Beeghly"/>
        <s v="Sarah Foster"/>
        <s v="Phillip Flathmann"/>
        <s v="Neoma Murray"/>
        <s v="Michael Granlund"/>
        <s v="Edward Nazzal"/>
        <s v="Max Ludwig"/>
        <s v="Linda Cazamias"/>
        <s v="Ionia McGrath"/>
        <s v="Mary O'Rourke"/>
        <s v="Elpida Rittenbach"/>
        <s v="Ellis Ballard"/>
        <s v="Liz MacKendrick"/>
        <s v="Anthony Johnson"/>
        <s v="Annie Zypern"/>
        <s v="Patrick Jones"/>
        <s v="Barry Franz"/>
        <s v="Darrin Martin"/>
        <s v="Maureen Fritzler"/>
        <s v="Jasper Cacioppo"/>
        <s v="Dean Braden"/>
        <s v="Alejandro Savely"/>
        <s v="Aleksandra Gannaway"/>
        <s v="Harold Engle"/>
        <s v="Julia Barnett"/>
        <s v="Liz Preis"/>
        <s v="Yoseph Carroll"/>
        <s v="Kelly Lampkin"/>
        <s v="Greg Tran"/>
        <s v="Christina Anderson"/>
        <s v="Erica Bern"/>
        <s v="Alan Shonely"/>
        <s v="Caroline Jumper"/>
        <s v="Chad Cunningham"/>
        <s v="Dorothy Wardle"/>
        <s v="Arthur Wiediger"/>
        <s v="Lisa DeCherney"/>
        <s v="Cathy Hwang"/>
        <s v="Giulietta Baptist"/>
        <s v="Sanjit Jacobs"/>
        <s v="Jeremy Lonsdale"/>
        <s v="Zuschuss Carroll"/>
        <s v="Scot Coram"/>
        <s v="Zuschuss Donatelli"/>
        <s v="Cathy Armstrong"/>
        <s v="Michael Grace"/>
        <s v="Jill Matthias"/>
        <s v="Claire Gute"/>
        <s v="Doug Bickford"/>
        <s v="Pamela Stobb"/>
        <s v="Sean Wendt"/>
        <s v="Cynthia Voltz"/>
        <s v="Toby Carlisle"/>
        <s v="Michael Paige"/>
        <s v="Sibella Parks"/>
        <s v="Karen Ferguson"/>
        <s v="Rick Huthwaite"/>
        <s v="Olvera Toch"/>
        <s v="Joy Bell-"/>
        <s v="Bryan Davis"/>
        <s v="Corey Catlett"/>
        <s v="Chuck Clark"/>
        <s v="Michelle Tran"/>
        <s v="Liz Pelletier"/>
        <s v="Jason Fortune-"/>
        <s v="Vivian Mathis"/>
        <s v="Stewart Carmichael"/>
        <s v="Matt Collister"/>
        <s v="Erin Creighton"/>
        <s v="Nick Crebassa"/>
        <s v="Helen Wasserman"/>
        <s v="Aaron Smayling"/>
        <s v="Bradley Nguyen"/>
        <s v="Sung Shariari"/>
        <s v="Clay Cheatham"/>
        <s v="Ralph Arnett"/>
        <s v="Sean Christensen"/>
        <s v="Maribeth Yedwab"/>
        <s v="Bill Eplett"/>
        <s v="Ann Chong"/>
        <s v="Anthony Witt"/>
        <s v="Ted Butterfield"/>
        <s v="Janet Lee"/>
        <s v="Marc Harrigan"/>
        <s v="Roland Fjeld"/>
        <s v="Rob Williams"/>
        <s v="Frank Gastineau"/>
        <s v="Jane Waco"/>
        <s v="Chad McGuire"/>
        <s v="Nancy Lomonaco"/>
        <s v="Thea Hudgings"/>
        <s v="Christopher Martinez"/>
        <s v="Ed Jacobs"/>
        <s v="Chuck Sachs"/>
        <s v="Jim Kriz"/>
        <s v="George Ashbrook"/>
        <s v="Sample Company A"/>
        <s v="Katrina Bavinger"/>
        <s v="Kimberly Carter"/>
        <s v="Dave Kipp"/>
        <s v="Tonja Turnell"/>
        <s v="Lindsay Williams"/>
        <s v="Mike Kennedy"/>
        <s v="James Lanier"/>
        <s v="Michael Stewart"/>
        <s v="Theone Pippenger"/>
        <s v="Darren Koutras"/>
        <s v="Greg Guthrie"/>
        <s v="Cyra Reiten"/>
        <s v="Roger Barcio"/>
        <s v="Joni Wasserman"/>
        <s v="Henry Goldwyn"/>
        <s v="Victoria Brennan"/>
        <s v="Tiffany House"/>
        <s v="Tamara Dahlen"/>
        <s v="Sharelle Roach"/>
        <s v="Denise Monton"/>
        <s v="Tom Prescott"/>
        <s v="Bryan Spruell"/>
        <s v="Sue Ann Reed"/>
        <s v="Harry Greene"/>
        <s v="George Zrebassa"/>
        <s v="Robert Waldorf"/>
        <s v="Ann Blume"/>
        <s v="Thomas Brumley"/>
        <s v="Ben Peterman"/>
        <s v="Roy Skaria"/>
        <s v="Lena Creighton"/>
        <s v="Sarah Brown"/>
        <s v="Sean Miller"/>
        <s v="Neil Knudson"/>
        <s v="Nora Paige"/>
        <s v="Sylvia Foulston"/>
        <s v="Heather Jas"/>
        <s v="Thea Hendricks"/>
        <s v="Dave Poirier"/>
        <s v="Aaron Hawkins"/>
        <s v="Jessica Myrick"/>
        <s v="Ken Dana"/>
        <s v="Michelle Huthwaite"/>
        <s v="Ken Brennan"/>
        <s v="Cassandra Brandow"/>
        <s v="Randy Ferguson"/>
        <s v="Shirley Schmidt"/>
        <s v="Henia Zydlo"/>
        <s v="Maureen Gastineau"/>
        <s v="Doug Jacobs"/>
        <s v="Patrick Bzostek"/>
        <s v="Tony Chapman"/>
        <s v="Susan Pistek"/>
        <s v="Joel Eaton"/>
        <s v="Lynn Smith"/>
        <s v="Eileen Kiefer"/>
        <s v="Sandra Glassco"/>
        <s v="Harold Ryan"/>
        <s v="Jim Sink"/>
        <s v="Evan Bailliet"/>
        <s v="Saphhira Shifley"/>
        <s v="Brian Stugart"/>
        <s v="Robert Barroso"/>
        <s v="John Castell"/>
        <s v="Thais Sissman"/>
        <s v="Lindsay Shagiari"/>
        <s v="Grace Kelly"/>
        <s v="Penelope Sewall"/>
        <s v="Mick Hernandez"/>
        <s v="Debra Catini"/>
        <s v="Peter BÃ¼hler"/>
        <s v="Steve Carroll"/>
        <s v="Neola Schneider"/>
        <s v="Damala Kotsonis"/>
        <s v="Mark Cousins"/>
        <s v="Laurel Elliston"/>
        <s v="Bart Watters"/>
        <s v="Ryan Akin"/>
        <s v="Tony Molinari"/>
      </sharedItems>
    </cacheField>
    <cacheField name="State" numFmtId="0">
      <sharedItems count="45">
        <s v="Wisconsin"/>
        <s v="Washington"/>
        <s v="New York"/>
        <s v="Illinois"/>
        <s v="Texas"/>
        <s v="California"/>
        <s v="Massachusetts"/>
        <s v="Minnesota"/>
        <s v="New Jersey"/>
        <s v="Arkansas"/>
        <s v="Michigan"/>
        <s v="Florida"/>
        <s v="North Carolina"/>
        <s v="Pennsylvania"/>
        <s v="Nevada"/>
        <s v="Colorado"/>
        <s v="Oregon"/>
        <s v="Kentucky"/>
        <s v="Ohio"/>
        <s v="Georgia"/>
        <s v="Virginia"/>
        <s v="Utah"/>
        <s v="Missouri"/>
        <s v="Arizona"/>
        <s v="Maryland"/>
        <s v="Connecticut"/>
        <s v="Tennessee"/>
        <s v="Nebraska"/>
        <s v="Oklahoma"/>
        <s v="South Carolina"/>
        <s v="Louisiana"/>
        <s v="Maine"/>
        <s v="Mississippi"/>
        <s v="Indiana"/>
        <s v="Alabama"/>
        <s v="New Mexico"/>
        <s v="Idaho"/>
        <s v="Delaware"/>
        <s v="Montana"/>
        <s v="Kansas"/>
        <s v="Rhode Island"/>
        <s v="New Hampshire"/>
        <s v="Vermont"/>
        <s v="Iowa"/>
        <s v="District of Columbia"/>
      </sharedItems>
    </cacheField>
    <cacheField name="Category" numFmtId="0">
      <sharedItems count="3">
        <s v="Technology"/>
        <s v="Furniture"/>
        <s v="Office Supplies"/>
      </sharedItems>
    </cacheField>
    <cacheField name="Sub-Category" numFmtId="0">
      <sharedItems count="17">
        <s v="Accessories"/>
        <s v="Chairs"/>
        <s v="Phones"/>
        <s v="Paper"/>
        <s v="Fasteners"/>
        <s v="Furnishings"/>
        <s v="Storage"/>
        <s v="Tables"/>
        <s v="Labels"/>
        <s v="Binders"/>
        <s v="Appliances"/>
        <s v="Art"/>
        <s v="Copiers"/>
        <s v="Envelopes"/>
        <s v="Machines"/>
        <s v="Supplies"/>
        <s v="Bookcases"/>
      </sharedItems>
    </cacheField>
    <cacheField name="Product Name" numFmtId="0">
      <sharedItems/>
    </cacheField>
    <cacheField name="Sales" numFmtId="164">
      <sharedItems containsSemiMixedTypes="0" containsString="0" containsNumber="1" minValue="0.99" maxValue="22638.48"/>
    </cacheField>
    <cacheField name="Quantity" numFmtId="1">
      <sharedItems containsSemiMixedTypes="0" containsString="0" containsNumber="1" containsInteger="1" minValue="1" maxValue="14"/>
    </cacheField>
    <cacheField name="Profit" numFmtId="164">
      <sharedItems containsSemiMixedTypes="0" containsString="0" containsNumber="1" minValue="-3839.99" maxValue="8399.98"/>
    </cacheField>
  </cacheFields>
  <extLst>
    <ext xmlns:x14="http://schemas.microsoft.com/office/spreadsheetml/2009/9/main" uri="{725AE2AE-9491-48be-B2B4-4EB974FC3084}">
      <x14:pivotCacheDefinition pivotCacheId="153599119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nit bhatia" refreshedDate="45591.818858680555" createdVersion="8" refreshedVersion="8" minRefreshableVersion="3" recordCount="4" xr:uid="{F2F1B936-6230-4412-A3DA-0925D605A613}">
  <cacheSource type="worksheet">
    <worksheetSource ref="C4:D8" sheet="TOP 5 CUSTOMERS"/>
  </cacheSource>
  <cacheFields count="2">
    <cacheField name="Tamara Chand" numFmtId="0">
      <sharedItems/>
    </cacheField>
    <cacheField name="8376.93" numFmtId="0">
      <sharedItems containsSemiMixedTypes="0" containsString="0" containsNumber="1" minValue="2286.2799999999997" maxValue="3056.9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nit bhatia" refreshedDate="45591.827576157404" createdVersion="8" refreshedVersion="8" minRefreshableVersion="3" recordCount="1850" xr:uid="{898A66D3-E29C-4858-926D-3C3C745D4427}">
  <cacheSource type="worksheet">
    <worksheetSource ref="A1:B1851" sheet="Sheet7"/>
  </cacheSource>
  <cacheFields count="2">
    <cacheField name="Year" numFmtId="1">
      <sharedItems containsMixedTypes="1" containsNumber="1" containsInteger="1" minValue="2014" maxValue="2017" count="5">
        <n v="2014"/>
        <n v="2015"/>
        <n v="2016"/>
        <n v="2017"/>
        <e v="#VALUE!"/>
      </sharedItems>
    </cacheField>
    <cacheField name="Customer Nam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50">
  <r>
    <d v="2014-01-02T00:00:00"/>
    <x v="0"/>
    <x v="0"/>
    <x v="0"/>
    <x v="0"/>
    <x v="0"/>
    <x v="0"/>
    <s v="Enermax Aurora Lite Keyboard"/>
    <n v="468.9"/>
    <n v="6"/>
    <n v="206.32"/>
  </r>
  <r>
    <d v="2014-01-03T00:00:00"/>
    <x v="0"/>
    <x v="0"/>
    <x v="1"/>
    <x v="1"/>
    <x v="1"/>
    <x v="1"/>
    <s v="Global Deluxe High-Back Manager's Chair"/>
    <n v="457.57"/>
    <n v="2"/>
    <n v="51.48"/>
  </r>
  <r>
    <d v="2014-01-03T00:00:00"/>
    <x v="0"/>
    <x v="0"/>
    <x v="2"/>
    <x v="2"/>
    <x v="0"/>
    <x v="2"/>
    <s v="Sannysis Cute Owl Design Soft Skin Case Cover for Samsung Galaxy S4"/>
    <n v="5.94"/>
    <n v="3"/>
    <n v="1.6"/>
  </r>
  <r>
    <d v="2014-01-03T00:00:00"/>
    <x v="0"/>
    <x v="0"/>
    <x v="3"/>
    <x v="3"/>
    <x v="1"/>
    <x v="1"/>
    <s v="Novimex Swivel Fabric Task Chair"/>
    <n v="634.12"/>
    <n v="6"/>
    <n v="-172.12"/>
  </r>
  <r>
    <d v="2014-01-03T00:00:00"/>
    <x v="0"/>
    <x v="0"/>
    <x v="3"/>
    <x v="3"/>
    <x v="2"/>
    <x v="3"/>
    <s v="Black Print Carbonless 8 1/2&quot; x 8 1/4&quot; Rapid Memo Book"/>
    <n v="17.47"/>
    <n v="3"/>
    <n v="5.68"/>
  </r>
  <r>
    <d v="2014-01-03T00:00:00"/>
    <x v="0"/>
    <x v="0"/>
    <x v="4"/>
    <x v="4"/>
    <x v="2"/>
    <x v="4"/>
    <s v="Plymouth Boxed Rubber Bands by Plymouth"/>
    <n v="18.84"/>
    <n v="5"/>
    <n v="-3.53"/>
  </r>
  <r>
    <d v="2014-01-03T00:00:00"/>
    <x v="0"/>
    <x v="0"/>
    <x v="4"/>
    <x v="4"/>
    <x v="1"/>
    <x v="1"/>
    <s v="Harbour Creations Steel Folding Chair"/>
    <n v="362.25"/>
    <n v="6"/>
    <n v="0"/>
  </r>
  <r>
    <d v="2014-01-03T00:00:00"/>
    <x v="0"/>
    <x v="0"/>
    <x v="4"/>
    <x v="4"/>
    <x v="1"/>
    <x v="5"/>
    <s v="DAX Black Cherry Wood-Tone Poster Frame"/>
    <n v="63.55"/>
    <n v="6"/>
    <n v="-34.950000000000003"/>
  </r>
  <r>
    <d v="2014-01-03T00:00:00"/>
    <x v="0"/>
    <x v="0"/>
    <x v="4"/>
    <x v="4"/>
    <x v="2"/>
    <x v="6"/>
    <s v="Fellowes Bankers Box Recycled Super Stor/Drawer"/>
    <n v="129.55000000000001"/>
    <n v="3"/>
    <n v="-22.67"/>
  </r>
  <r>
    <d v="2014-01-03T00:00:00"/>
    <x v="0"/>
    <x v="0"/>
    <x v="5"/>
    <x v="4"/>
    <x v="2"/>
    <x v="6"/>
    <s v="Recycled Steel Personal File for Hanging File Folders"/>
    <n v="137.35"/>
    <n v="3"/>
    <n v="8.58"/>
  </r>
  <r>
    <d v="2014-01-03T00:00:00"/>
    <x v="0"/>
    <x v="0"/>
    <x v="5"/>
    <x v="4"/>
    <x v="1"/>
    <x v="7"/>
    <s v="Bevis Round Conference Room Tables and Bases"/>
    <n v="376.51"/>
    <n v="3"/>
    <n v="-43.03"/>
  </r>
  <r>
    <d v="2014-01-04T00:00:00"/>
    <x v="0"/>
    <x v="0"/>
    <x v="6"/>
    <x v="5"/>
    <x v="2"/>
    <x v="8"/>
    <s v="Avery 490"/>
    <n v="29.6"/>
    <n v="2"/>
    <n v="14.8"/>
  </r>
  <r>
    <d v="2014-01-04T00:00:00"/>
    <x v="0"/>
    <x v="0"/>
    <x v="6"/>
    <x v="5"/>
    <x v="2"/>
    <x v="9"/>
    <s v="Pressboard Data Binder, Crimson, 12&quot; X 8 1/2&quot;"/>
    <n v="17.09"/>
    <n v="4"/>
    <n v="5.55"/>
  </r>
  <r>
    <d v="2014-01-04T00:00:00"/>
    <x v="0"/>
    <x v="0"/>
    <x v="7"/>
    <x v="6"/>
    <x v="2"/>
    <x v="6"/>
    <s v="Rogers Profile Extra Capacity Storage Tub"/>
    <n v="66.959999999999994"/>
    <n v="4"/>
    <n v="2.68"/>
  </r>
  <r>
    <d v="2014-01-04T00:00:00"/>
    <x v="0"/>
    <x v="0"/>
    <x v="7"/>
    <x v="6"/>
    <x v="2"/>
    <x v="9"/>
    <s v="Zipper Ring Binder Pockets"/>
    <n v="6.24"/>
    <n v="2"/>
    <n v="3.06"/>
  </r>
  <r>
    <d v="2014-01-06T00:00:00"/>
    <x v="0"/>
    <x v="0"/>
    <x v="8"/>
    <x v="7"/>
    <x v="2"/>
    <x v="6"/>
    <s v="Safco Steel Mobile File Cart"/>
    <n v="166.72"/>
    <n v="2"/>
    <n v="41.68"/>
  </r>
  <r>
    <d v="2014-01-06T00:00:00"/>
    <x v="0"/>
    <x v="0"/>
    <x v="8"/>
    <x v="7"/>
    <x v="2"/>
    <x v="3"/>
    <s v="Adams Telephone Message Book w/Frequently-Called Numbers Space, 400 Messages per Book"/>
    <n v="47.88"/>
    <n v="6"/>
    <n v="23.94"/>
  </r>
  <r>
    <d v="2014-01-06T00:00:00"/>
    <x v="0"/>
    <x v="0"/>
    <x v="8"/>
    <x v="7"/>
    <x v="2"/>
    <x v="10"/>
    <s v="Honeywell Enviracaire Portable HEPA Air Cleaner for 17' x 22' Room"/>
    <n v="1503.25"/>
    <n v="5"/>
    <n v="496.07"/>
  </r>
  <r>
    <d v="2014-01-06T00:00:00"/>
    <x v="0"/>
    <x v="0"/>
    <x v="8"/>
    <x v="7"/>
    <x v="2"/>
    <x v="3"/>
    <s v="Xerox 205"/>
    <n v="25.92"/>
    <n v="4"/>
    <n v="12.44"/>
  </r>
  <r>
    <d v="2014-01-06T00:00:00"/>
    <x v="0"/>
    <x v="0"/>
    <x v="9"/>
    <x v="8"/>
    <x v="2"/>
    <x v="9"/>
    <s v="GBC Clear Cover, 8-1/2 x 11, unpunched, 25 covers per pack"/>
    <n v="45.48"/>
    <n v="3"/>
    <n v="20.92"/>
  </r>
  <r>
    <d v="2014-01-06T00:00:00"/>
    <x v="0"/>
    <x v="0"/>
    <x v="9"/>
    <x v="8"/>
    <x v="2"/>
    <x v="11"/>
    <s v="Boston Heavy-Duty Trimline Electric Pencil Sharpeners"/>
    <n v="289.2"/>
    <n v="6"/>
    <n v="83.87"/>
  </r>
  <r>
    <d v="2014-01-06T00:00:00"/>
    <x v="0"/>
    <x v="0"/>
    <x v="10"/>
    <x v="9"/>
    <x v="1"/>
    <x v="5"/>
    <s v="3M Hangers With Command Adhesive"/>
    <n v="22.2"/>
    <n v="6"/>
    <n v="9.1"/>
  </r>
  <r>
    <d v="2014-01-06T00:00:00"/>
    <x v="0"/>
    <x v="0"/>
    <x v="10"/>
    <x v="9"/>
    <x v="0"/>
    <x v="2"/>
    <s v="Adtran 1202752G1"/>
    <n v="881.93"/>
    <n v="7"/>
    <n v="229.3"/>
  </r>
  <r>
    <d v="2014-01-06T00:00:00"/>
    <x v="0"/>
    <x v="0"/>
    <x v="11"/>
    <x v="10"/>
    <x v="2"/>
    <x v="9"/>
    <s v="Wilson Jones Heavy-Duty Casebound Ring Binders with Metal Hinges"/>
    <n v="138.56"/>
    <n v="4"/>
    <n v="66.510000000000005"/>
  </r>
  <r>
    <d v="2014-01-06T00:00:00"/>
    <x v="0"/>
    <x v="0"/>
    <x v="11"/>
    <x v="10"/>
    <x v="2"/>
    <x v="10"/>
    <s v="Acco 6 Outlet Guardian Premium Surge Suppressor"/>
    <n v="65.52"/>
    <n v="5"/>
    <n v="12.38"/>
  </r>
  <r>
    <d v="2014-01-07T00:00:00"/>
    <x v="0"/>
    <x v="0"/>
    <x v="12"/>
    <x v="1"/>
    <x v="2"/>
    <x v="9"/>
    <s v="Cardinal Holdit Business Card Pockets"/>
    <n v="19.920000000000002"/>
    <n v="5"/>
    <n v="6.97"/>
  </r>
  <r>
    <d v="2014-01-07T00:00:00"/>
    <x v="0"/>
    <x v="0"/>
    <x v="13"/>
    <x v="11"/>
    <x v="0"/>
    <x v="2"/>
    <s v="Wilson SignalBoost 841262 DB PRO Amplifier Kit"/>
    <n v="575.91999999999996"/>
    <n v="2"/>
    <n v="71.989999999999995"/>
  </r>
  <r>
    <d v="2014-01-07T00:00:00"/>
    <x v="0"/>
    <x v="0"/>
    <x v="13"/>
    <x v="11"/>
    <x v="2"/>
    <x v="9"/>
    <s v="Avery Durable Binders"/>
    <n v="5.18"/>
    <n v="6"/>
    <n v="-3.63"/>
  </r>
  <r>
    <d v="2014-01-08T00:00:00"/>
    <x v="0"/>
    <x v="0"/>
    <x v="14"/>
    <x v="12"/>
    <x v="2"/>
    <x v="8"/>
    <s v="Self-Adhesive Address Labels for Typewriters by Universal"/>
    <n v="17.54"/>
    <n v="3"/>
    <n v="5.92"/>
  </r>
  <r>
    <d v="2014-01-08T00:00:00"/>
    <x v="0"/>
    <x v="0"/>
    <x v="14"/>
    <x v="12"/>
    <x v="1"/>
    <x v="5"/>
    <s v="9-3/4 Diameter Round Wall Clock"/>
    <n v="44.13"/>
    <n v="4"/>
    <n v="12.14"/>
  </r>
  <r>
    <d v="2014-01-08T00:00:00"/>
    <x v="0"/>
    <x v="0"/>
    <x v="14"/>
    <x v="12"/>
    <x v="2"/>
    <x v="10"/>
    <s v="Honeywell Quietcare HEPA Air Cleaner"/>
    <n v="62.92"/>
    <n v="1"/>
    <n v="10.220000000000001"/>
  </r>
  <r>
    <d v="2014-01-08T00:00:00"/>
    <x v="0"/>
    <x v="0"/>
    <x v="14"/>
    <x v="12"/>
    <x v="2"/>
    <x v="3"/>
    <s v="Xerox 1916"/>
    <n v="78.3"/>
    <n v="2"/>
    <n v="29.36"/>
  </r>
  <r>
    <d v="2014-01-08T00:00:00"/>
    <x v="0"/>
    <x v="0"/>
    <x v="15"/>
    <x v="5"/>
    <x v="2"/>
    <x v="9"/>
    <s v="Wilson Jones data.warehouse D-Ring Binders with DublLock"/>
    <n v="19.75"/>
    <n v="3"/>
    <n v="6.91"/>
  </r>
  <r>
    <d v="2014-01-08T00:00:00"/>
    <x v="0"/>
    <x v="0"/>
    <x v="16"/>
    <x v="13"/>
    <x v="2"/>
    <x v="4"/>
    <s v="Acco Clips to Go Binder Clips, 24 Clips in Two Sizes"/>
    <n v="5.68"/>
    <n v="2"/>
    <n v="1.92"/>
  </r>
  <r>
    <d v="2014-01-09T00:00:00"/>
    <x v="0"/>
    <x v="0"/>
    <x v="17"/>
    <x v="5"/>
    <x v="2"/>
    <x v="11"/>
    <s v="BOSTON Model 1800 Electric Pencil Sharpeners, Putty/Woodgrain"/>
    <n v="53.94"/>
    <n v="3"/>
    <n v="15.64"/>
  </r>
  <r>
    <d v="2014-01-09T00:00:00"/>
    <x v="0"/>
    <x v="0"/>
    <x v="18"/>
    <x v="4"/>
    <x v="2"/>
    <x v="9"/>
    <s v="Prestige Round Ring Binders"/>
    <n v="3.65"/>
    <n v="3"/>
    <n v="-6.02"/>
  </r>
  <r>
    <d v="2014-01-09T00:00:00"/>
    <x v="0"/>
    <x v="0"/>
    <x v="18"/>
    <x v="4"/>
    <x v="2"/>
    <x v="3"/>
    <s v="Xerox 216"/>
    <n v="31.1"/>
    <n v="6"/>
    <n v="10.89"/>
  </r>
  <r>
    <d v="2014-01-09T00:00:00"/>
    <x v="0"/>
    <x v="0"/>
    <x v="19"/>
    <x v="2"/>
    <x v="2"/>
    <x v="9"/>
    <s v="Wilson Jones Hanging Recycled Pressboard Data Binders"/>
    <n v="23.74"/>
    <n v="2"/>
    <n v="8.31"/>
  </r>
  <r>
    <d v="2014-01-09T00:00:00"/>
    <x v="0"/>
    <x v="0"/>
    <x v="19"/>
    <x v="2"/>
    <x v="0"/>
    <x v="0"/>
    <s v="WD My Passport Ultra 2TB Portable External Hard Drive"/>
    <n v="357"/>
    <n v="3"/>
    <n v="57.12"/>
  </r>
  <r>
    <d v="2014-01-10T00:00:00"/>
    <x v="0"/>
    <x v="0"/>
    <x v="20"/>
    <x v="14"/>
    <x v="2"/>
    <x v="4"/>
    <s v="Sterling Rubber Bands by Alliance"/>
    <n v="4.71"/>
    <n v="1"/>
    <n v="0"/>
  </r>
  <r>
    <d v="2014-01-11T00:00:00"/>
    <x v="0"/>
    <x v="0"/>
    <x v="21"/>
    <x v="15"/>
    <x v="2"/>
    <x v="11"/>
    <s v="Model L Table or Wall-Mount Pencil Sharpener"/>
    <n v="43.18"/>
    <n v="3"/>
    <n v="4.32"/>
  </r>
  <r>
    <d v="2014-01-11T00:00:00"/>
    <x v="0"/>
    <x v="0"/>
    <x v="21"/>
    <x v="15"/>
    <x v="0"/>
    <x v="2"/>
    <s v="ClearOne CHATAttach 160 -Â speaker phone"/>
    <n v="1983.97"/>
    <n v="4"/>
    <n v="248"/>
  </r>
  <r>
    <d v="2014-01-11T00:00:00"/>
    <x v="0"/>
    <x v="0"/>
    <x v="22"/>
    <x v="16"/>
    <x v="2"/>
    <x v="6"/>
    <s v="Carina Mini System Audio Rack, Model AR050B"/>
    <n v="443.92"/>
    <n v="5"/>
    <n v="-94.33"/>
  </r>
  <r>
    <d v="2014-01-11T00:00:00"/>
    <x v="0"/>
    <x v="0"/>
    <x v="22"/>
    <x v="16"/>
    <x v="0"/>
    <x v="2"/>
    <s v="Plantronics Voyager Pro HD - Bluetooth Headset"/>
    <n v="155.97999999999999"/>
    <n v="3"/>
    <n v="54.59"/>
  </r>
  <r>
    <d v="2014-01-11T00:00:00"/>
    <x v="0"/>
    <x v="0"/>
    <x v="23"/>
    <x v="12"/>
    <x v="2"/>
    <x v="4"/>
    <s v="Staples"/>
    <n v="7.52"/>
    <n v="5"/>
    <n v="1.41"/>
  </r>
  <r>
    <d v="2014-01-11T00:00:00"/>
    <x v="0"/>
    <x v="0"/>
    <x v="23"/>
    <x v="12"/>
    <x v="2"/>
    <x v="11"/>
    <s v="Newell 320"/>
    <n v="10.27"/>
    <n v="3"/>
    <n v="0.9"/>
  </r>
  <r>
    <d v="2014-01-11T00:00:00"/>
    <x v="0"/>
    <x v="0"/>
    <x v="23"/>
    <x v="12"/>
    <x v="2"/>
    <x v="8"/>
    <s v="Avery 513"/>
    <n v="47.81"/>
    <n v="12"/>
    <n v="15.54"/>
  </r>
  <r>
    <d v="2014-01-11T00:00:00"/>
    <x v="0"/>
    <x v="0"/>
    <x v="23"/>
    <x v="12"/>
    <x v="0"/>
    <x v="2"/>
    <s v="Cisco IPÂ PhoneÂ 7961G VoIPÂ phoneÂ - Dark gray"/>
    <n v="978.84"/>
    <n v="9"/>
    <n v="110.12"/>
  </r>
  <r>
    <d v="2014-01-11T00:00:00"/>
    <x v="0"/>
    <x v="0"/>
    <x v="24"/>
    <x v="3"/>
    <x v="2"/>
    <x v="3"/>
    <s v="Southworth Parchment Paper &amp; Envelopes"/>
    <n v="15.7"/>
    <n v="3"/>
    <n v="5.0999999999999996"/>
  </r>
  <r>
    <d v="2014-01-11T00:00:00"/>
    <x v="0"/>
    <x v="0"/>
    <x v="25"/>
    <x v="17"/>
    <x v="2"/>
    <x v="6"/>
    <s v="Multi-Use Personal File Cart and Caster Set, Three Stacking Bins"/>
    <n v="69.52"/>
    <n v="2"/>
    <n v="19.47"/>
  </r>
  <r>
    <d v="2014-01-11T00:00:00"/>
    <x v="0"/>
    <x v="0"/>
    <x v="25"/>
    <x v="17"/>
    <x v="2"/>
    <x v="11"/>
    <s v="OIC #2 Pencils, Medium Soft"/>
    <n v="5.64"/>
    <n v="3"/>
    <n v="1.64"/>
  </r>
  <r>
    <d v="2014-01-11T00:00:00"/>
    <x v="0"/>
    <x v="0"/>
    <x v="26"/>
    <x v="5"/>
    <x v="2"/>
    <x v="8"/>
    <s v="Avery 475"/>
    <n v="44.4"/>
    <n v="3"/>
    <n v="22.2"/>
  </r>
  <r>
    <d v="2014-01-11T00:00:00"/>
    <x v="0"/>
    <x v="0"/>
    <x v="26"/>
    <x v="5"/>
    <x v="2"/>
    <x v="3"/>
    <s v="Easy-staple paper"/>
    <n v="21.4"/>
    <n v="5"/>
    <n v="9.6300000000000008"/>
  </r>
  <r>
    <d v="2014-01-11T00:00:00"/>
    <x v="0"/>
    <x v="0"/>
    <x v="27"/>
    <x v="2"/>
    <x v="2"/>
    <x v="10"/>
    <s v="Kensington 7 Outlet MasterPiece Power Center"/>
    <n v="533.94000000000005"/>
    <n v="3"/>
    <n v="154.84"/>
  </r>
  <r>
    <d v="2014-01-11T00:00:00"/>
    <x v="0"/>
    <x v="0"/>
    <x v="27"/>
    <x v="2"/>
    <x v="2"/>
    <x v="3"/>
    <s v="Xerox 1934"/>
    <n v="167.94"/>
    <n v="3"/>
    <n v="82.29"/>
  </r>
  <r>
    <d v="2014-01-11T00:00:00"/>
    <x v="0"/>
    <x v="0"/>
    <x v="27"/>
    <x v="2"/>
    <x v="1"/>
    <x v="5"/>
    <s v="Master Big Foot Doorstop, Beige"/>
    <n v="31.68"/>
    <n v="6"/>
    <n v="9.82"/>
  </r>
  <r>
    <d v="2014-01-11T00:00:00"/>
    <x v="0"/>
    <x v="0"/>
    <x v="28"/>
    <x v="8"/>
    <x v="2"/>
    <x v="10"/>
    <s v="Fellowes Superior 10 Outlet Split Surge Protector"/>
    <n v="76.12"/>
    <n v="2"/>
    <n v="22.07"/>
  </r>
  <r>
    <d v="2014-01-11T00:00:00"/>
    <x v="0"/>
    <x v="0"/>
    <x v="29"/>
    <x v="18"/>
    <x v="1"/>
    <x v="5"/>
    <s v="Howard Miller 13&quot; Diameter Pewter Finish Round Wall Clock"/>
    <n v="68.7"/>
    <n v="2"/>
    <n v="16.32"/>
  </r>
  <r>
    <d v="2014-01-11T00:00:00"/>
    <x v="0"/>
    <x v="0"/>
    <x v="29"/>
    <x v="18"/>
    <x v="2"/>
    <x v="9"/>
    <s v="Acco Economy Flexible Poly Round Ring Binder"/>
    <n v="3.13"/>
    <n v="2"/>
    <n v="-2.61"/>
  </r>
  <r>
    <d v="2014-01-11T00:00:00"/>
    <x v="0"/>
    <x v="0"/>
    <x v="29"/>
    <x v="18"/>
    <x v="2"/>
    <x v="9"/>
    <s v="GBC Standard Therm-A-Bind Covers"/>
    <n v="22.43"/>
    <n v="3"/>
    <n v="-17.940000000000001"/>
  </r>
  <r>
    <d v="2014-01-12T00:00:00"/>
    <x v="0"/>
    <x v="0"/>
    <x v="30"/>
    <x v="0"/>
    <x v="1"/>
    <x v="1"/>
    <s v="Office Star - Professional Matrix Back Chair with 2-to-1 Synchro Tilt and Mesh Fabric Seat"/>
    <n v="2807.84"/>
    <n v="8"/>
    <n v="673.88"/>
  </r>
  <r>
    <d v="2014-01-12T00:00:00"/>
    <x v="0"/>
    <x v="0"/>
    <x v="30"/>
    <x v="0"/>
    <x v="2"/>
    <x v="11"/>
    <s v="Hunt BOSTON Vista Battery-Operated Pencil Sharpener, Black"/>
    <n v="46.64"/>
    <n v="4"/>
    <n v="12.59"/>
  </r>
  <r>
    <d v="2014-01-12T00:00:00"/>
    <x v="0"/>
    <x v="0"/>
    <x v="31"/>
    <x v="5"/>
    <x v="1"/>
    <x v="5"/>
    <s v="Floodlight Indoor Halogen Bulbs, 1 Bulb per Pack, 60 Watts"/>
    <n v="58.2"/>
    <n v="3"/>
    <n v="28.52"/>
  </r>
  <r>
    <d v="2014-01-12T00:00:00"/>
    <x v="0"/>
    <x v="0"/>
    <x v="32"/>
    <x v="12"/>
    <x v="0"/>
    <x v="2"/>
    <s v="BlueLounge Milo Smartphone Stand, White/Metallic"/>
    <n v="95.97"/>
    <n v="4"/>
    <n v="9.6"/>
  </r>
  <r>
    <d v="2014-01-12T00:00:00"/>
    <x v="0"/>
    <x v="0"/>
    <x v="33"/>
    <x v="18"/>
    <x v="0"/>
    <x v="12"/>
    <s v="Sharp 1540cs Digital Laser Copier"/>
    <n v="659.99"/>
    <n v="2"/>
    <n v="110"/>
  </r>
  <r>
    <d v="2014-01-12T00:00:00"/>
    <x v="0"/>
    <x v="0"/>
    <x v="33"/>
    <x v="18"/>
    <x v="1"/>
    <x v="5"/>
    <s v="Master Caster Door Stop, Brown"/>
    <n v="8.1300000000000008"/>
    <n v="2"/>
    <n v="1.42"/>
  </r>
  <r>
    <d v="2014-01-12T00:00:00"/>
    <x v="0"/>
    <x v="0"/>
    <x v="33"/>
    <x v="18"/>
    <x v="2"/>
    <x v="3"/>
    <s v="Xerox 214"/>
    <n v="36.29"/>
    <n v="7"/>
    <n v="12.7"/>
  </r>
  <r>
    <d v="2014-01-12T00:00:00"/>
    <x v="0"/>
    <x v="0"/>
    <x v="33"/>
    <x v="18"/>
    <x v="1"/>
    <x v="1"/>
    <s v="Hon Multipurpose Stacking Arm Chairs"/>
    <n v="909.72"/>
    <n v="6"/>
    <n v="-51.98"/>
  </r>
  <r>
    <d v="2014-01-12T00:00:00"/>
    <x v="0"/>
    <x v="0"/>
    <x v="34"/>
    <x v="4"/>
    <x v="1"/>
    <x v="1"/>
    <s v="Hon 4070 Series Pagoda Round Back Stacking Chairs"/>
    <n v="674.06"/>
    <n v="3"/>
    <n v="-19.260000000000002"/>
  </r>
  <r>
    <d v="2014-01-12T00:00:00"/>
    <x v="0"/>
    <x v="0"/>
    <x v="35"/>
    <x v="6"/>
    <x v="1"/>
    <x v="5"/>
    <s v="Linden 10&quot; Round Wall Clock, Black"/>
    <n v="45.84"/>
    <n v="3"/>
    <n v="15.59"/>
  </r>
  <r>
    <d v="2014-01-12T00:00:00"/>
    <x v="0"/>
    <x v="0"/>
    <x v="35"/>
    <x v="6"/>
    <x v="1"/>
    <x v="5"/>
    <s v="Ultra Door Push Plate"/>
    <n v="9.82"/>
    <n v="2"/>
    <n v="3.24"/>
  </r>
  <r>
    <d v="2014-02-02T00:00:00"/>
    <x v="1"/>
    <x v="0"/>
    <x v="36"/>
    <x v="11"/>
    <x v="2"/>
    <x v="9"/>
    <s v="Surelock Post Binders"/>
    <n v="18.34"/>
    <n v="2"/>
    <n v="-12.22"/>
  </r>
  <r>
    <d v="2014-02-02T00:00:00"/>
    <x v="1"/>
    <x v="0"/>
    <x v="36"/>
    <x v="11"/>
    <x v="0"/>
    <x v="2"/>
    <s v="AT&amp;T 17929 Lendline Telephone"/>
    <n v="180.96"/>
    <n v="5"/>
    <n v="13.57"/>
  </r>
  <r>
    <d v="2014-02-03T00:00:00"/>
    <x v="1"/>
    <x v="0"/>
    <x v="37"/>
    <x v="2"/>
    <x v="2"/>
    <x v="13"/>
    <s v="Staple envelope"/>
    <n v="11.36"/>
    <n v="2"/>
    <n v="5.34"/>
  </r>
  <r>
    <d v="2014-02-03T00:00:00"/>
    <x v="1"/>
    <x v="0"/>
    <x v="37"/>
    <x v="2"/>
    <x v="2"/>
    <x v="3"/>
    <s v="Array Parchment Paper, Assorted Colors"/>
    <n v="36.4"/>
    <n v="5"/>
    <n v="17.47"/>
  </r>
  <r>
    <d v="2014-02-03T00:00:00"/>
    <x v="1"/>
    <x v="0"/>
    <x v="38"/>
    <x v="13"/>
    <x v="2"/>
    <x v="3"/>
    <s v="Xerox 1971"/>
    <n v="3.42"/>
    <n v="1"/>
    <n v="1.07"/>
  </r>
  <r>
    <d v="2014-02-03T00:00:00"/>
    <x v="1"/>
    <x v="0"/>
    <x v="38"/>
    <x v="13"/>
    <x v="0"/>
    <x v="0"/>
    <s v="Hypercom P1300 Pinpad"/>
    <n v="151.19999999999999"/>
    <n v="3"/>
    <n v="32.130000000000003"/>
  </r>
  <r>
    <d v="2014-02-04T00:00:00"/>
    <x v="1"/>
    <x v="0"/>
    <x v="39"/>
    <x v="19"/>
    <x v="2"/>
    <x v="3"/>
    <s v="Xerox 1990"/>
    <n v="15.84"/>
    <n v="3"/>
    <n v="7.13"/>
  </r>
  <r>
    <d v="2014-02-04T00:00:00"/>
    <x v="1"/>
    <x v="0"/>
    <x v="39"/>
    <x v="19"/>
    <x v="0"/>
    <x v="2"/>
    <s v="Motorola Droid Maxx"/>
    <n v="1049.93"/>
    <n v="7"/>
    <n v="293.98"/>
  </r>
  <r>
    <d v="2014-02-04T00:00:00"/>
    <x v="1"/>
    <x v="0"/>
    <x v="39"/>
    <x v="19"/>
    <x v="2"/>
    <x v="10"/>
    <s v="Euro-Pro Shark Turbo Vacuum"/>
    <n v="154.9"/>
    <n v="5"/>
    <n v="40.270000000000003"/>
  </r>
  <r>
    <d v="2014-02-04T00:00:00"/>
    <x v="1"/>
    <x v="0"/>
    <x v="40"/>
    <x v="4"/>
    <x v="2"/>
    <x v="3"/>
    <s v="Xerox 1898"/>
    <n v="26.72"/>
    <n v="5"/>
    <n v="9.35"/>
  </r>
  <r>
    <d v="2014-02-04T00:00:00"/>
    <x v="1"/>
    <x v="0"/>
    <x v="40"/>
    <x v="4"/>
    <x v="2"/>
    <x v="3"/>
    <s v="Xerox 1947"/>
    <n v="33.49"/>
    <n v="7"/>
    <n v="10.47"/>
  </r>
  <r>
    <d v="2014-02-04T00:00:00"/>
    <x v="1"/>
    <x v="0"/>
    <x v="41"/>
    <x v="20"/>
    <x v="1"/>
    <x v="5"/>
    <s v="Luxo Adjustable Task Clamp Lamp"/>
    <n v="177.68"/>
    <n v="2"/>
    <n v="46.2"/>
  </r>
  <r>
    <d v="2014-02-05T00:00:00"/>
    <x v="1"/>
    <x v="0"/>
    <x v="42"/>
    <x v="18"/>
    <x v="2"/>
    <x v="10"/>
    <s v="Belkin 6 Outlet Metallic Surge Strip"/>
    <n v="26.14"/>
    <n v="3"/>
    <n v="1.96"/>
  </r>
  <r>
    <d v="2014-02-05T00:00:00"/>
    <x v="1"/>
    <x v="0"/>
    <x v="43"/>
    <x v="11"/>
    <x v="0"/>
    <x v="12"/>
    <s v="Brother DCP1000 Digital 3 in 1 Multifunction Machine"/>
    <n v="479.98"/>
    <n v="2"/>
    <n v="90"/>
  </r>
  <r>
    <d v="2014-02-06T00:00:00"/>
    <x v="1"/>
    <x v="0"/>
    <x v="44"/>
    <x v="21"/>
    <x v="1"/>
    <x v="5"/>
    <s v="Aluminum Document Frame"/>
    <n v="73.319999999999993"/>
    <n v="6"/>
    <n v="22"/>
  </r>
  <r>
    <d v="2014-02-06T00:00:00"/>
    <x v="1"/>
    <x v="0"/>
    <x v="45"/>
    <x v="19"/>
    <x v="2"/>
    <x v="11"/>
    <s v="Sanford Colorific Scented Colored Pencils, 12/Pack"/>
    <n v="8.56"/>
    <n v="2"/>
    <n v="2.65"/>
  </r>
  <r>
    <d v="2014-02-06T00:00:00"/>
    <x v="1"/>
    <x v="0"/>
    <x v="45"/>
    <x v="19"/>
    <x v="0"/>
    <x v="2"/>
    <s v="Mophie Juice Pack Helium for iPhone"/>
    <n v="239.97"/>
    <n v="3"/>
    <n v="67.19"/>
  </r>
  <r>
    <d v="2014-02-06T00:00:00"/>
    <x v="1"/>
    <x v="0"/>
    <x v="45"/>
    <x v="19"/>
    <x v="2"/>
    <x v="6"/>
    <s v="Hot File 7-Pocket, Floor Stand"/>
    <n v="356.94"/>
    <n v="2"/>
    <n v="107.08"/>
  </r>
  <r>
    <d v="2014-02-07T00:00:00"/>
    <x v="1"/>
    <x v="0"/>
    <x v="46"/>
    <x v="8"/>
    <x v="0"/>
    <x v="2"/>
    <s v="Logitech B530 USBÂ HeadsetÂ -Â headsetÂ - Full size, Binaural"/>
    <n v="73.98"/>
    <n v="2"/>
    <n v="19.97"/>
  </r>
  <r>
    <d v="2014-02-07T00:00:00"/>
    <x v="1"/>
    <x v="0"/>
    <x v="46"/>
    <x v="8"/>
    <x v="2"/>
    <x v="11"/>
    <s v="DIXON Ticonderoga Erasable Checking Pencils"/>
    <n v="5.58"/>
    <n v="1"/>
    <n v="2.1800000000000002"/>
  </r>
  <r>
    <d v="2014-02-08T00:00:00"/>
    <x v="1"/>
    <x v="0"/>
    <x v="47"/>
    <x v="22"/>
    <x v="2"/>
    <x v="9"/>
    <s v="Wilson Jones 14 Line Acrylic Coated Pressboard Data Binders"/>
    <n v="26.7"/>
    <n v="5"/>
    <n v="12.55"/>
  </r>
  <r>
    <d v="2014-02-08T00:00:00"/>
    <x v="1"/>
    <x v="0"/>
    <x v="47"/>
    <x v="22"/>
    <x v="0"/>
    <x v="0"/>
    <s v="Memorex Micro Travel Drive 4 GB"/>
    <n v="21.2"/>
    <n v="2"/>
    <n v="9.1199999999999992"/>
  </r>
  <r>
    <d v="2014-02-08T00:00:00"/>
    <x v="1"/>
    <x v="0"/>
    <x v="47"/>
    <x v="22"/>
    <x v="2"/>
    <x v="6"/>
    <s v="Smead Adjustable Mobile File Trolley with Lockable Top"/>
    <n v="838.38"/>
    <n v="2"/>
    <n v="226.36"/>
  </r>
  <r>
    <d v="2014-02-09T00:00:00"/>
    <x v="1"/>
    <x v="0"/>
    <x v="48"/>
    <x v="2"/>
    <x v="2"/>
    <x v="10"/>
    <s v="Holmes Cool Mist Humidifier for the Whole House with 8-Gallon Output per Day, Extended Life Filter"/>
    <n v="19.899999999999999"/>
    <n v="1"/>
    <n v="8.9600000000000009"/>
  </r>
  <r>
    <d v="2014-02-09T00:00:00"/>
    <x v="1"/>
    <x v="0"/>
    <x v="48"/>
    <x v="2"/>
    <x v="1"/>
    <x v="5"/>
    <s v="Tenex Carpeted, Granite-Look or Clear Contemporary Contour Shape Chair Mats"/>
    <n v="70.709999999999994"/>
    <n v="1"/>
    <n v="4.95"/>
  </r>
  <r>
    <d v="2014-02-09T00:00:00"/>
    <x v="1"/>
    <x v="0"/>
    <x v="49"/>
    <x v="2"/>
    <x v="2"/>
    <x v="11"/>
    <s v="SANFORD Major Accent Highlighters"/>
    <n v="21.24"/>
    <n v="3"/>
    <n v="8.07"/>
  </r>
  <r>
    <d v="2014-02-09T00:00:00"/>
    <x v="1"/>
    <x v="0"/>
    <x v="50"/>
    <x v="2"/>
    <x v="2"/>
    <x v="11"/>
    <s v="Newell 324"/>
    <n v="57.75"/>
    <n v="5"/>
    <n v="16.170000000000002"/>
  </r>
  <r>
    <d v="2014-02-09T00:00:00"/>
    <x v="1"/>
    <x v="0"/>
    <x v="51"/>
    <x v="3"/>
    <x v="0"/>
    <x v="0"/>
    <s v="Logitech Wireless Performance Mouse MX for PC and Mac"/>
    <n v="239.98"/>
    <n v="3"/>
    <n v="53.99"/>
  </r>
  <r>
    <d v="2014-02-09T00:00:00"/>
    <x v="1"/>
    <x v="0"/>
    <x v="52"/>
    <x v="4"/>
    <x v="0"/>
    <x v="14"/>
    <s v="Epson TM-T88V Direct Thermal Printer - Monochrome - Desktop"/>
    <n v="559.71"/>
    <n v="3"/>
    <n v="-121.27"/>
  </r>
  <r>
    <d v="2014-02-09T00:00:00"/>
    <x v="1"/>
    <x v="0"/>
    <x v="53"/>
    <x v="9"/>
    <x v="2"/>
    <x v="9"/>
    <s v="GBC DocuBind TL300 Electric Binding System"/>
    <n v="1793.98"/>
    <n v="2"/>
    <n v="843.17"/>
  </r>
  <r>
    <d v="2014-02-09T00:00:00"/>
    <x v="1"/>
    <x v="0"/>
    <x v="54"/>
    <x v="3"/>
    <x v="0"/>
    <x v="0"/>
    <s v="LogitechÂ Gaming G510s - Keyboard"/>
    <n v="475.94"/>
    <n v="7"/>
    <n v="95.19"/>
  </r>
  <r>
    <d v="2014-02-10T00:00:00"/>
    <x v="1"/>
    <x v="0"/>
    <x v="55"/>
    <x v="23"/>
    <x v="2"/>
    <x v="3"/>
    <s v="Adams Telephone Message Book W/Dividers/Space For Phone Numbers, 5 1/4&quot;X8 1/2&quot;, 300/Messages"/>
    <n v="9.41"/>
    <n v="2"/>
    <n v="3.41"/>
  </r>
  <r>
    <d v="2014-02-10T00:00:00"/>
    <x v="1"/>
    <x v="0"/>
    <x v="55"/>
    <x v="23"/>
    <x v="0"/>
    <x v="2"/>
    <s v="Bose SoundLink Bluetooth Speaker"/>
    <n v="318.39999999999998"/>
    <n v="2"/>
    <n v="107.46"/>
  </r>
  <r>
    <d v="2014-02-10T00:00:00"/>
    <x v="1"/>
    <x v="0"/>
    <x v="55"/>
    <x v="23"/>
    <x v="2"/>
    <x v="13"/>
    <s v="Letter or Legal Size Expandable Poly String Tie Envelopes"/>
    <n v="12.77"/>
    <n v="6"/>
    <n v="4.63"/>
  </r>
  <r>
    <d v="2014-02-10T00:00:00"/>
    <x v="1"/>
    <x v="0"/>
    <x v="55"/>
    <x v="23"/>
    <x v="2"/>
    <x v="15"/>
    <s v="Stiletto Hand Letter Openers"/>
    <n v="15.36"/>
    <n v="2"/>
    <n v="-3.26"/>
  </r>
  <r>
    <d v="2014-02-10T00:00:00"/>
    <x v="1"/>
    <x v="0"/>
    <x v="55"/>
    <x v="23"/>
    <x v="0"/>
    <x v="2"/>
    <s v="Pyle PMP37LED"/>
    <n v="230.38"/>
    <n v="3"/>
    <n v="20.16"/>
  </r>
  <r>
    <d v="2014-02-10T00:00:00"/>
    <x v="1"/>
    <x v="0"/>
    <x v="55"/>
    <x v="23"/>
    <x v="0"/>
    <x v="0"/>
    <s v="Kingston Digital DataTraveler 16GB USB 2.0"/>
    <n v="7.16"/>
    <n v="1"/>
    <n v="-0.09"/>
  </r>
  <r>
    <d v="2014-02-11T00:00:00"/>
    <x v="1"/>
    <x v="0"/>
    <x v="56"/>
    <x v="2"/>
    <x v="2"/>
    <x v="8"/>
    <s v="Avery 499"/>
    <n v="34.86"/>
    <n v="7"/>
    <n v="16.04"/>
  </r>
  <r>
    <d v="2014-02-11T00:00:00"/>
    <x v="1"/>
    <x v="0"/>
    <x v="56"/>
    <x v="2"/>
    <x v="1"/>
    <x v="5"/>
    <s v="Tensor Computer Mounted Lamp"/>
    <n v="89.34"/>
    <n v="6"/>
    <n v="24.12"/>
  </r>
  <r>
    <d v="2014-02-11T00:00:00"/>
    <x v="1"/>
    <x v="0"/>
    <x v="57"/>
    <x v="18"/>
    <x v="0"/>
    <x v="2"/>
    <s v="Polycom CX300 Desktop Phone USB VoIP phone"/>
    <n v="539.96"/>
    <n v="6"/>
    <n v="-107.99"/>
  </r>
  <r>
    <d v="2014-02-11T00:00:00"/>
    <x v="1"/>
    <x v="0"/>
    <x v="57"/>
    <x v="18"/>
    <x v="0"/>
    <x v="2"/>
    <s v="I Need's 3d Hello Kitty Hybrid Silicone Case Cover for HTC One X 4g with 3d Hello Kitty Stylus Pen Green/pink"/>
    <n v="50.23"/>
    <n v="7"/>
    <n v="-10.050000000000001"/>
  </r>
  <r>
    <d v="2014-02-11T00:00:00"/>
    <x v="1"/>
    <x v="0"/>
    <x v="57"/>
    <x v="18"/>
    <x v="2"/>
    <x v="9"/>
    <s v="Acco D-Ring Binder w/DublLock"/>
    <n v="19.239999999999998"/>
    <n v="3"/>
    <n v="-13.47"/>
  </r>
  <r>
    <d v="2014-02-11T00:00:00"/>
    <x v="1"/>
    <x v="0"/>
    <x v="58"/>
    <x v="11"/>
    <x v="0"/>
    <x v="0"/>
    <s v="Razer Kraken 7.1 Surround Sound Over Ear USB Gaming Headset"/>
    <n v="799.92"/>
    <n v="10"/>
    <n v="239.98"/>
  </r>
  <r>
    <d v="2014-02-11T00:00:00"/>
    <x v="1"/>
    <x v="0"/>
    <x v="59"/>
    <x v="5"/>
    <x v="0"/>
    <x v="2"/>
    <s v="AT&amp;T CL82213"/>
    <n v="46.38"/>
    <n v="2"/>
    <n v="5.22"/>
  </r>
  <r>
    <d v="2014-02-11T00:00:00"/>
    <x v="1"/>
    <x v="0"/>
    <x v="59"/>
    <x v="5"/>
    <x v="2"/>
    <x v="6"/>
    <s v="Adjustable Depth Letter/Legal Cart"/>
    <n v="362.92"/>
    <n v="2"/>
    <n v="105.25"/>
  </r>
  <r>
    <d v="2014-02-11T00:00:00"/>
    <x v="1"/>
    <x v="0"/>
    <x v="60"/>
    <x v="1"/>
    <x v="0"/>
    <x v="0"/>
    <s v="Maxell 74 Minute CD-R Spindle, 50/Pack"/>
    <n v="41.94"/>
    <n v="2"/>
    <n v="15.1"/>
  </r>
  <r>
    <d v="2014-02-11T00:00:00"/>
    <x v="1"/>
    <x v="0"/>
    <x v="60"/>
    <x v="1"/>
    <x v="0"/>
    <x v="2"/>
    <s v="Samsung Rugby III"/>
    <n v="52.79"/>
    <n v="1"/>
    <n v="4.62"/>
  </r>
  <r>
    <d v="2014-02-12T00:00:00"/>
    <x v="1"/>
    <x v="0"/>
    <x v="61"/>
    <x v="2"/>
    <x v="0"/>
    <x v="0"/>
    <s v="Logitech 910-002974 M325 Wireless Mouse for Web Scrolling"/>
    <n v="119.96"/>
    <n v="4"/>
    <n v="52.78"/>
  </r>
  <r>
    <d v="2014-02-12T00:00:00"/>
    <x v="1"/>
    <x v="0"/>
    <x v="61"/>
    <x v="2"/>
    <x v="1"/>
    <x v="16"/>
    <s v="O'Sullivan Living Dimensions 5-Shelf Bookcases"/>
    <n v="883.92"/>
    <n v="5"/>
    <n v="-110.49"/>
  </r>
  <r>
    <d v="2014-02-12T00:00:00"/>
    <x v="1"/>
    <x v="0"/>
    <x v="61"/>
    <x v="2"/>
    <x v="2"/>
    <x v="9"/>
    <s v="Angle-D Binders with Locking Rings, Label Holders"/>
    <n v="46.72"/>
    <n v="8"/>
    <n v="15.77"/>
  </r>
  <r>
    <d v="2014-02-12T00:00:00"/>
    <x v="1"/>
    <x v="0"/>
    <x v="62"/>
    <x v="4"/>
    <x v="1"/>
    <x v="5"/>
    <s v="Deflect-o SuperTray Unbreakable Stackable Tray, Letter, Black"/>
    <n v="58.36"/>
    <n v="5"/>
    <n v="-24.8"/>
  </r>
  <r>
    <d v="2014-02-12T00:00:00"/>
    <x v="1"/>
    <x v="0"/>
    <x v="62"/>
    <x v="4"/>
    <x v="2"/>
    <x v="11"/>
    <s v="Newell 343"/>
    <n v="16.46"/>
    <n v="7"/>
    <n v="1.44"/>
  </r>
  <r>
    <d v="2014-02-12T00:00:00"/>
    <x v="1"/>
    <x v="0"/>
    <x v="62"/>
    <x v="4"/>
    <x v="1"/>
    <x v="5"/>
    <s v="12-1/2 Diameter Round Wall Clock"/>
    <n v="39.96"/>
    <n v="5"/>
    <n v="-23.98"/>
  </r>
  <r>
    <d v="2014-02-12T00:00:00"/>
    <x v="1"/>
    <x v="0"/>
    <x v="63"/>
    <x v="18"/>
    <x v="0"/>
    <x v="0"/>
    <s v="ImationÂ 32GB Pocket Pro USB 3.0Â Flash DriveÂ - 32 GB - Black - 1 P ..."/>
    <n v="119.8"/>
    <n v="5"/>
    <n v="29.95"/>
  </r>
  <r>
    <d v="2014-02-12T00:00:00"/>
    <x v="1"/>
    <x v="0"/>
    <x v="64"/>
    <x v="3"/>
    <x v="2"/>
    <x v="10"/>
    <s v="Staple holder"/>
    <n v="2.39"/>
    <n v="1"/>
    <n v="-6.34"/>
  </r>
  <r>
    <d v="2014-02-12T00:00:00"/>
    <x v="1"/>
    <x v="0"/>
    <x v="65"/>
    <x v="24"/>
    <x v="1"/>
    <x v="5"/>
    <s v="DAX Metal Frame, Desktop, Stepped-Edge"/>
    <n v="60.72"/>
    <n v="3"/>
    <n v="23.68"/>
  </r>
  <r>
    <d v="2014-02-12T00:00:00"/>
    <x v="1"/>
    <x v="0"/>
    <x v="65"/>
    <x v="24"/>
    <x v="2"/>
    <x v="3"/>
    <s v="Xerox 1942"/>
    <n v="146.82"/>
    <n v="3"/>
    <n v="73.41"/>
  </r>
  <r>
    <d v="2014-02-12T00:00:00"/>
    <x v="1"/>
    <x v="0"/>
    <x v="65"/>
    <x v="24"/>
    <x v="1"/>
    <x v="1"/>
    <s v="Global Stack Chair with Arms, Black"/>
    <n v="239.84"/>
    <n v="8"/>
    <n v="64.760000000000005"/>
  </r>
  <r>
    <d v="2014-02-12T00:00:00"/>
    <x v="1"/>
    <x v="0"/>
    <x v="65"/>
    <x v="24"/>
    <x v="2"/>
    <x v="8"/>
    <s v="Avery 509"/>
    <n v="15.66"/>
    <n v="6"/>
    <n v="7.2"/>
  </r>
  <r>
    <d v="2014-02-12T00:00:00"/>
    <x v="1"/>
    <x v="0"/>
    <x v="66"/>
    <x v="19"/>
    <x v="0"/>
    <x v="0"/>
    <s v="Kingston Digital DataTraveler 8GB USB 2.0"/>
    <n v="5.95"/>
    <n v="1"/>
    <n v="0.83"/>
  </r>
  <r>
    <d v="2014-02-12T00:00:00"/>
    <x v="1"/>
    <x v="0"/>
    <x v="66"/>
    <x v="19"/>
    <x v="2"/>
    <x v="3"/>
    <s v="RSVP Cards &amp; Envelopes, Blank White, 8-1/2&quot; X 11&quot;, 24 Cards/25 Envelopes/Set"/>
    <n v="15.24"/>
    <n v="3"/>
    <n v="7.16"/>
  </r>
  <r>
    <d v="2014-03-01T00:00:00"/>
    <x v="2"/>
    <x v="0"/>
    <x v="67"/>
    <x v="4"/>
    <x v="2"/>
    <x v="3"/>
    <s v="Message Book, Wirebound, Four 5 1/2&quot; X 4&quot; Forms/Pg., 200 Dupl. Sets/Book"/>
    <n v="16.45"/>
    <n v="2"/>
    <n v="5.55"/>
  </r>
  <r>
    <d v="2014-03-02T00:00:00"/>
    <x v="2"/>
    <x v="0"/>
    <x v="68"/>
    <x v="1"/>
    <x v="2"/>
    <x v="9"/>
    <s v="Ibico Laser Imprintable Binding System Covers"/>
    <n v="83.84"/>
    <n v="2"/>
    <n v="27.25"/>
  </r>
  <r>
    <d v="2014-03-02T00:00:00"/>
    <x v="2"/>
    <x v="0"/>
    <x v="68"/>
    <x v="1"/>
    <x v="2"/>
    <x v="9"/>
    <s v="Avery Durable Poly Binders"/>
    <n v="13.27"/>
    <n v="3"/>
    <n v="4.3099999999999996"/>
  </r>
  <r>
    <d v="2014-03-03T00:00:00"/>
    <x v="2"/>
    <x v="0"/>
    <x v="69"/>
    <x v="12"/>
    <x v="2"/>
    <x v="11"/>
    <s v="Zebra Zazzle Fluorescent Highlighters"/>
    <n v="19.46"/>
    <n v="4"/>
    <n v="3.4"/>
  </r>
  <r>
    <d v="2014-03-03T00:00:00"/>
    <x v="2"/>
    <x v="0"/>
    <x v="70"/>
    <x v="2"/>
    <x v="0"/>
    <x v="2"/>
    <s v="PowerGen Dual USB Car Charger"/>
    <n v="9.99"/>
    <n v="1"/>
    <n v="4.5999999999999996"/>
  </r>
  <r>
    <d v="2014-03-03T00:00:00"/>
    <x v="2"/>
    <x v="0"/>
    <x v="70"/>
    <x v="2"/>
    <x v="2"/>
    <x v="9"/>
    <s v="Cardinal HOLDit! Binder Insert Strips,Extra Strips"/>
    <n v="25.32"/>
    <n v="5"/>
    <n v="9.18"/>
  </r>
  <r>
    <d v="2014-03-03T00:00:00"/>
    <x v="2"/>
    <x v="0"/>
    <x v="71"/>
    <x v="18"/>
    <x v="2"/>
    <x v="8"/>
    <s v="Avery 495"/>
    <n v="15.12"/>
    <n v="3"/>
    <n v="4.91"/>
  </r>
  <r>
    <d v="2014-03-03T00:00:00"/>
    <x v="2"/>
    <x v="0"/>
    <x v="71"/>
    <x v="18"/>
    <x v="1"/>
    <x v="16"/>
    <s v="O'Sullivan 4-Shelf Bookcase in Odessa Pine"/>
    <n v="302.45"/>
    <n v="5"/>
    <n v="-199.62"/>
  </r>
  <r>
    <d v="2014-03-03T00:00:00"/>
    <x v="2"/>
    <x v="0"/>
    <x v="71"/>
    <x v="18"/>
    <x v="2"/>
    <x v="6"/>
    <s v="Eldon Shelf Savers Cubes and Bins"/>
    <n v="44.67"/>
    <n v="8"/>
    <n v="-10.050000000000001"/>
  </r>
  <r>
    <d v="2014-03-03T00:00:00"/>
    <x v="2"/>
    <x v="0"/>
    <x v="40"/>
    <x v="4"/>
    <x v="2"/>
    <x v="10"/>
    <s v="3.6 Cubic Foot Counter Height Office Refrigerator"/>
    <n v="176.77"/>
    <n v="3"/>
    <n v="-459.61"/>
  </r>
  <r>
    <d v="2014-03-03T00:00:00"/>
    <x v="2"/>
    <x v="0"/>
    <x v="72"/>
    <x v="5"/>
    <x v="1"/>
    <x v="7"/>
    <s v="Bevis Oval Conference Table, Walnut"/>
    <n v="626.35"/>
    <n v="3"/>
    <n v="-23.49"/>
  </r>
  <r>
    <d v="2014-03-04T00:00:00"/>
    <x v="2"/>
    <x v="0"/>
    <x v="73"/>
    <x v="5"/>
    <x v="0"/>
    <x v="0"/>
    <s v="Enermax Briskie RF Wireless Keyboard and Mouse Combo"/>
    <n v="62.31"/>
    <n v="3"/>
    <n v="22.43"/>
  </r>
  <r>
    <d v="2014-03-04T00:00:00"/>
    <x v="2"/>
    <x v="0"/>
    <x v="73"/>
    <x v="5"/>
    <x v="0"/>
    <x v="0"/>
    <s v="Logitech G600 MMO Gaming Mouse"/>
    <n v="159.97999999999999"/>
    <n v="2"/>
    <n v="57.59"/>
  </r>
  <r>
    <d v="2014-03-05T00:00:00"/>
    <x v="2"/>
    <x v="0"/>
    <x v="74"/>
    <x v="0"/>
    <x v="2"/>
    <x v="8"/>
    <s v="Avery 481"/>
    <n v="21.56"/>
    <n v="7"/>
    <n v="10.35"/>
  </r>
  <r>
    <d v="2014-03-05T00:00:00"/>
    <x v="2"/>
    <x v="0"/>
    <x v="75"/>
    <x v="2"/>
    <x v="2"/>
    <x v="9"/>
    <s v="GBC Poly Designer Binding Covers"/>
    <n v="40.18"/>
    <n v="3"/>
    <n v="14.56"/>
  </r>
  <r>
    <d v="2014-03-05T00:00:00"/>
    <x v="2"/>
    <x v="0"/>
    <x v="75"/>
    <x v="2"/>
    <x v="2"/>
    <x v="9"/>
    <s v="Avery Durable Plastic 1&quot; Binders"/>
    <n v="10.9"/>
    <n v="3"/>
    <n v="3.95"/>
  </r>
  <r>
    <d v="2014-03-06T00:00:00"/>
    <x v="2"/>
    <x v="0"/>
    <x v="76"/>
    <x v="1"/>
    <x v="1"/>
    <x v="7"/>
    <s v="KI Adjustable-Height Table"/>
    <n v="515.88"/>
    <n v="6"/>
    <n v="113.49"/>
  </r>
  <r>
    <d v="2014-03-06T00:00:00"/>
    <x v="2"/>
    <x v="0"/>
    <x v="77"/>
    <x v="10"/>
    <x v="2"/>
    <x v="13"/>
    <s v="Security-Tint Envelopes"/>
    <n v="15.28"/>
    <n v="2"/>
    <n v="7.49"/>
  </r>
  <r>
    <d v="2014-03-06T00:00:00"/>
    <x v="2"/>
    <x v="0"/>
    <x v="78"/>
    <x v="3"/>
    <x v="1"/>
    <x v="5"/>
    <s v="Contract Clock, 14&quot;, Brown"/>
    <n v="61.54"/>
    <n v="7"/>
    <n v="-40"/>
  </r>
  <r>
    <d v="2014-03-06T00:00:00"/>
    <x v="2"/>
    <x v="0"/>
    <x v="78"/>
    <x v="3"/>
    <x v="2"/>
    <x v="6"/>
    <s v="Recycled Steel Personal File for Standard File Folders"/>
    <n v="132.69999999999999"/>
    <n v="3"/>
    <n v="9.9499999999999993"/>
  </r>
  <r>
    <d v="2014-03-08T00:00:00"/>
    <x v="2"/>
    <x v="0"/>
    <x v="79"/>
    <x v="15"/>
    <x v="1"/>
    <x v="7"/>
    <s v="BoxOffice By Design Rectangular and Half-Moon Meeting Room Tables"/>
    <n v="218.75"/>
    <n v="2"/>
    <n v="-161.88"/>
  </r>
  <r>
    <d v="2014-03-08T00:00:00"/>
    <x v="2"/>
    <x v="0"/>
    <x v="79"/>
    <x v="15"/>
    <x v="2"/>
    <x v="10"/>
    <s v="Bravo II Megaboss 12-Amp Hard Body Upright, Replacement Belts, 2 Belts per Pack"/>
    <n v="2.6"/>
    <n v="1"/>
    <n v="0.28999999999999998"/>
  </r>
  <r>
    <d v="2014-03-08T00:00:00"/>
    <x v="2"/>
    <x v="0"/>
    <x v="80"/>
    <x v="2"/>
    <x v="2"/>
    <x v="3"/>
    <s v="Xerox 1884"/>
    <n v="39.96"/>
    <n v="2"/>
    <n v="18.78"/>
  </r>
  <r>
    <d v="2014-03-08T00:00:00"/>
    <x v="2"/>
    <x v="0"/>
    <x v="80"/>
    <x v="2"/>
    <x v="2"/>
    <x v="15"/>
    <s v="Acme Box Cutter Scissors"/>
    <n v="102.3"/>
    <n v="10"/>
    <n v="26.6"/>
  </r>
  <r>
    <d v="2014-03-08T00:00:00"/>
    <x v="2"/>
    <x v="0"/>
    <x v="80"/>
    <x v="2"/>
    <x v="2"/>
    <x v="6"/>
    <s v="Staple magnet"/>
    <n v="21.36"/>
    <n v="2"/>
    <n v="5.77"/>
  </r>
  <r>
    <d v="2014-03-08T00:00:00"/>
    <x v="2"/>
    <x v="0"/>
    <x v="81"/>
    <x v="23"/>
    <x v="2"/>
    <x v="3"/>
    <s v="White Computer Printout Paper by Universal"/>
    <n v="93.02"/>
    <n v="3"/>
    <n v="33.72"/>
  </r>
  <r>
    <d v="2014-03-09T00:00:00"/>
    <x v="2"/>
    <x v="0"/>
    <x v="82"/>
    <x v="2"/>
    <x v="2"/>
    <x v="8"/>
    <s v="Avery 514"/>
    <n v="14.4"/>
    <n v="5"/>
    <n v="7.06"/>
  </r>
  <r>
    <d v="2014-03-09T00:00:00"/>
    <x v="2"/>
    <x v="0"/>
    <x v="83"/>
    <x v="4"/>
    <x v="2"/>
    <x v="9"/>
    <s v="GBC VeloBinder Strips"/>
    <n v="7.68"/>
    <n v="5"/>
    <n v="-11.52"/>
  </r>
  <r>
    <d v="2014-03-10T00:00:00"/>
    <x v="2"/>
    <x v="0"/>
    <x v="84"/>
    <x v="3"/>
    <x v="1"/>
    <x v="1"/>
    <s v="Global High-Back Leather Tilter, Burgundy"/>
    <n v="258.27999999999997"/>
    <n v="3"/>
    <n v="-70.099999999999994"/>
  </r>
  <r>
    <d v="2014-03-10T00:00:00"/>
    <x v="2"/>
    <x v="0"/>
    <x v="85"/>
    <x v="5"/>
    <x v="1"/>
    <x v="1"/>
    <s v="Global Deluxe Stacking Chair, Gray"/>
    <n v="122.35"/>
    <n v="3"/>
    <n v="13.76"/>
  </r>
  <r>
    <d v="2014-03-10T00:00:00"/>
    <x v="2"/>
    <x v="0"/>
    <x v="86"/>
    <x v="12"/>
    <x v="2"/>
    <x v="6"/>
    <s v="Advantus Rolling Drawer Organizers"/>
    <n v="61.57"/>
    <n v="2"/>
    <n v="4.62"/>
  </r>
  <r>
    <d v="2014-03-10T00:00:00"/>
    <x v="2"/>
    <x v="0"/>
    <x v="86"/>
    <x v="12"/>
    <x v="2"/>
    <x v="11"/>
    <s v="DIXON Oriole Pencils"/>
    <n v="6.19"/>
    <n v="3"/>
    <n v="0.46"/>
  </r>
  <r>
    <d v="2014-03-10T00:00:00"/>
    <x v="2"/>
    <x v="0"/>
    <x v="87"/>
    <x v="18"/>
    <x v="2"/>
    <x v="11"/>
    <s v="Hunt Boston Vacuum Mount KS Pencil Sharpener"/>
    <n v="55.98"/>
    <n v="2"/>
    <n v="4.2"/>
  </r>
  <r>
    <d v="2014-03-10T00:00:00"/>
    <x v="2"/>
    <x v="0"/>
    <x v="87"/>
    <x v="18"/>
    <x v="2"/>
    <x v="13"/>
    <s v="Convenience Packs of Business Envelopes"/>
    <n v="14.48"/>
    <n v="5"/>
    <n v="4.8899999999999997"/>
  </r>
  <r>
    <d v="2014-03-10T00:00:00"/>
    <x v="2"/>
    <x v="0"/>
    <x v="87"/>
    <x v="18"/>
    <x v="0"/>
    <x v="0"/>
    <s v="Logitech G105 Gaming Keyboard"/>
    <n v="142.49"/>
    <n v="3"/>
    <n v="-3.56"/>
  </r>
  <r>
    <d v="2014-03-10T00:00:00"/>
    <x v="2"/>
    <x v="0"/>
    <x v="88"/>
    <x v="4"/>
    <x v="2"/>
    <x v="4"/>
    <s v="Colored Push Pins"/>
    <n v="4.34"/>
    <n v="3"/>
    <n v="0.87"/>
  </r>
  <r>
    <d v="2014-03-10T00:00:00"/>
    <x v="2"/>
    <x v="0"/>
    <x v="88"/>
    <x v="4"/>
    <x v="1"/>
    <x v="5"/>
    <s v="DAX Natural Wood-Tone Poster Frame"/>
    <n v="31.78"/>
    <n v="3"/>
    <n v="-19.07"/>
  </r>
  <r>
    <d v="2014-03-10T00:00:00"/>
    <x v="2"/>
    <x v="0"/>
    <x v="88"/>
    <x v="4"/>
    <x v="2"/>
    <x v="8"/>
    <s v="Smead Alpha-Z Color-Coded Second Alphabetical Labels and Starter Set"/>
    <n v="4.93"/>
    <n v="2"/>
    <n v="1.72"/>
  </r>
  <r>
    <d v="2014-03-10T00:00:00"/>
    <x v="2"/>
    <x v="0"/>
    <x v="88"/>
    <x v="4"/>
    <x v="2"/>
    <x v="9"/>
    <s v="Avery Hidden Tab Dividers for Binding Systems"/>
    <n v="1.79"/>
    <n v="3"/>
    <n v="-3.04"/>
  </r>
  <r>
    <d v="2014-03-11T00:00:00"/>
    <x v="2"/>
    <x v="0"/>
    <x v="89"/>
    <x v="13"/>
    <x v="2"/>
    <x v="15"/>
    <s v="Compact Automatic Electric Letter Opener"/>
    <n v="286.33999999999997"/>
    <n v="3"/>
    <n v="-64.430000000000007"/>
  </r>
  <r>
    <d v="2014-03-11T00:00:00"/>
    <x v="2"/>
    <x v="0"/>
    <x v="90"/>
    <x v="2"/>
    <x v="0"/>
    <x v="2"/>
    <s v="Panasonic KX-TG9471B"/>
    <n v="783.96"/>
    <n v="4"/>
    <n v="219.51"/>
  </r>
  <r>
    <d v="2014-03-11T00:00:00"/>
    <x v="2"/>
    <x v="0"/>
    <x v="90"/>
    <x v="2"/>
    <x v="2"/>
    <x v="9"/>
    <s v="Acco Pressboard Covers with Storage Hooks, 14 7/8&quot; x 11&quot;, Light Blue"/>
    <n v="7.86"/>
    <n v="2"/>
    <n v="2.85"/>
  </r>
  <r>
    <d v="2014-03-11T00:00:00"/>
    <x v="2"/>
    <x v="0"/>
    <x v="30"/>
    <x v="25"/>
    <x v="2"/>
    <x v="15"/>
    <s v="Acme Kleen Earth Office Shears"/>
    <n v="11.64"/>
    <n v="3"/>
    <n v="3.38"/>
  </r>
  <r>
    <d v="2014-03-11T00:00:00"/>
    <x v="2"/>
    <x v="0"/>
    <x v="91"/>
    <x v="26"/>
    <x v="2"/>
    <x v="3"/>
    <s v="Ampad Evidence Wirebond Steno Books, 6&quot; x 9&quot;"/>
    <n v="3.49"/>
    <n v="2"/>
    <n v="1.18"/>
  </r>
  <r>
    <d v="2014-03-11T00:00:00"/>
    <x v="2"/>
    <x v="0"/>
    <x v="59"/>
    <x v="12"/>
    <x v="2"/>
    <x v="6"/>
    <s v="Acco Perma 4000 Stacking Storage Drawers"/>
    <n v="25.98"/>
    <n v="2"/>
    <n v="-1.62"/>
  </r>
  <r>
    <d v="2014-03-11T00:00:00"/>
    <x v="2"/>
    <x v="0"/>
    <x v="59"/>
    <x v="12"/>
    <x v="1"/>
    <x v="7"/>
    <s v="Hon Racetrack Conference Tables"/>
    <n v="945.04"/>
    <n v="6"/>
    <n v="-299.26"/>
  </r>
  <r>
    <d v="2014-03-11T00:00:00"/>
    <x v="2"/>
    <x v="0"/>
    <x v="59"/>
    <x v="12"/>
    <x v="2"/>
    <x v="9"/>
    <s v="Avery Self-Adhesive Photo Pockets for Polaroid Photos"/>
    <n v="14.3"/>
    <n v="7"/>
    <n v="-10.49"/>
  </r>
  <r>
    <d v="2014-03-11T00:00:00"/>
    <x v="2"/>
    <x v="0"/>
    <x v="59"/>
    <x v="12"/>
    <x v="1"/>
    <x v="5"/>
    <s v="Tenex Antistatic Computer Chair Mats"/>
    <n v="410.35"/>
    <n v="3"/>
    <n v="-51.29"/>
  </r>
  <r>
    <d v="2014-03-11T00:00:00"/>
    <x v="2"/>
    <x v="0"/>
    <x v="92"/>
    <x v="27"/>
    <x v="0"/>
    <x v="0"/>
    <s v="Belkin F8E887 USB Wired Ergonomic Keyboard"/>
    <n v="89.97"/>
    <n v="3"/>
    <n v="18.89"/>
  </r>
  <r>
    <d v="2014-03-11T00:00:00"/>
    <x v="2"/>
    <x v="0"/>
    <x v="93"/>
    <x v="5"/>
    <x v="2"/>
    <x v="11"/>
    <s v="Prang Dustless Chalk Sticks"/>
    <n v="6.72"/>
    <n v="4"/>
    <n v="3.36"/>
  </r>
  <r>
    <d v="2014-03-12T00:00:00"/>
    <x v="2"/>
    <x v="0"/>
    <x v="94"/>
    <x v="28"/>
    <x v="0"/>
    <x v="2"/>
    <s v="Jabra Supreme Plus Driver EditionÂ Headset"/>
    <n v="479.96"/>
    <n v="4"/>
    <n v="134.38999999999999"/>
  </r>
  <r>
    <d v="2014-04-01T00:00:00"/>
    <x v="3"/>
    <x v="0"/>
    <x v="95"/>
    <x v="3"/>
    <x v="2"/>
    <x v="8"/>
    <s v="Avery 508"/>
    <n v="11.78"/>
    <n v="3"/>
    <n v="4.2699999999999996"/>
  </r>
  <r>
    <d v="2014-04-01T00:00:00"/>
    <x v="3"/>
    <x v="0"/>
    <x v="95"/>
    <x v="3"/>
    <x v="2"/>
    <x v="6"/>
    <s v="SAFCO Boltless Steel Shelving"/>
    <n v="272.74"/>
    <n v="3"/>
    <n v="-64.77"/>
  </r>
  <r>
    <d v="2014-04-01T00:00:00"/>
    <x v="3"/>
    <x v="0"/>
    <x v="95"/>
    <x v="3"/>
    <x v="2"/>
    <x v="9"/>
    <s v="GBC Standard Plastic Binding Systems Combs"/>
    <n v="3.54"/>
    <n v="2"/>
    <n v="-5.49"/>
  </r>
  <r>
    <d v="2014-04-02T00:00:00"/>
    <x v="3"/>
    <x v="0"/>
    <x v="96"/>
    <x v="5"/>
    <x v="2"/>
    <x v="9"/>
    <s v="GBC Recycled Grain Textured Covers"/>
    <n v="82.9"/>
    <n v="3"/>
    <n v="29.01"/>
  </r>
  <r>
    <d v="2014-04-02T00:00:00"/>
    <x v="3"/>
    <x v="0"/>
    <x v="96"/>
    <x v="5"/>
    <x v="2"/>
    <x v="3"/>
    <s v="Message Book, Standard Line &quot;While You Were Out&quot;, 5 1/2&quot; X 4&quot;, 200 Sets/Book"/>
    <n v="34.24"/>
    <n v="4"/>
    <n v="16.09"/>
  </r>
  <r>
    <d v="2014-04-02T00:00:00"/>
    <x v="3"/>
    <x v="0"/>
    <x v="97"/>
    <x v="5"/>
    <x v="2"/>
    <x v="9"/>
    <s v="GBC Standard Recycled Report Covers, Clear Plastic Sheets"/>
    <n v="17.25"/>
    <n v="2"/>
    <n v="6.04"/>
  </r>
  <r>
    <d v="2014-04-03T00:00:00"/>
    <x v="3"/>
    <x v="0"/>
    <x v="49"/>
    <x v="29"/>
    <x v="2"/>
    <x v="6"/>
    <s v="Sensible Storage WireTech Storage Systems"/>
    <n v="354.9"/>
    <n v="5"/>
    <n v="17.75"/>
  </r>
  <r>
    <d v="2014-04-03T00:00:00"/>
    <x v="3"/>
    <x v="0"/>
    <x v="53"/>
    <x v="11"/>
    <x v="2"/>
    <x v="11"/>
    <s v="BIC Brite Liner Highlighters, Chisel Tip"/>
    <n v="15.55"/>
    <n v="3"/>
    <n v="2.33"/>
  </r>
  <r>
    <d v="2014-04-04T00:00:00"/>
    <x v="3"/>
    <x v="0"/>
    <x v="98"/>
    <x v="5"/>
    <x v="2"/>
    <x v="8"/>
    <s v="Avery 518"/>
    <n v="18.899999999999999"/>
    <n v="6"/>
    <n v="9.07"/>
  </r>
  <r>
    <d v="2014-04-04T00:00:00"/>
    <x v="3"/>
    <x v="0"/>
    <x v="99"/>
    <x v="10"/>
    <x v="1"/>
    <x v="5"/>
    <s v="Advantus Panel Wall Acrylic Frame"/>
    <n v="5.47"/>
    <n v="1"/>
    <n v="2.35"/>
  </r>
  <r>
    <d v="2014-04-04T00:00:00"/>
    <x v="3"/>
    <x v="0"/>
    <x v="99"/>
    <x v="10"/>
    <x v="2"/>
    <x v="11"/>
    <s v="Newell 319"/>
    <n v="79.36"/>
    <n v="4"/>
    <n v="23.81"/>
  </r>
  <r>
    <d v="2014-04-04T00:00:00"/>
    <x v="3"/>
    <x v="0"/>
    <x v="100"/>
    <x v="5"/>
    <x v="2"/>
    <x v="9"/>
    <s v="Avery Non-Stick Binders"/>
    <n v="7.18"/>
    <n v="2"/>
    <n v="2.25"/>
  </r>
  <r>
    <d v="2014-04-04T00:00:00"/>
    <x v="3"/>
    <x v="0"/>
    <x v="101"/>
    <x v="30"/>
    <x v="2"/>
    <x v="6"/>
    <s v="Safco Commercial Shelving"/>
    <n v="232.55"/>
    <n v="5"/>
    <n v="9.3000000000000007"/>
  </r>
  <r>
    <d v="2014-04-04T00:00:00"/>
    <x v="3"/>
    <x v="0"/>
    <x v="101"/>
    <x v="30"/>
    <x v="0"/>
    <x v="0"/>
    <s v="Logitech Wireless Marathon Mouse M705"/>
    <n v="99.98"/>
    <n v="2"/>
    <n v="42.99"/>
  </r>
  <r>
    <d v="2014-04-04T00:00:00"/>
    <x v="3"/>
    <x v="0"/>
    <x v="101"/>
    <x v="30"/>
    <x v="2"/>
    <x v="3"/>
    <s v="Xerox 209"/>
    <n v="19.440000000000001"/>
    <n v="3"/>
    <n v="9.33"/>
  </r>
  <r>
    <d v="2014-04-04T00:00:00"/>
    <x v="3"/>
    <x v="0"/>
    <x v="101"/>
    <x v="30"/>
    <x v="2"/>
    <x v="3"/>
    <s v="Xerox 1966"/>
    <n v="12.96"/>
    <n v="2"/>
    <n v="6.35"/>
  </r>
  <r>
    <d v="2014-04-05T00:00:00"/>
    <x v="3"/>
    <x v="0"/>
    <x v="102"/>
    <x v="10"/>
    <x v="2"/>
    <x v="9"/>
    <s v="Fellowes Binding Cases"/>
    <n v="46.8"/>
    <n v="4"/>
    <n v="21.06"/>
  </r>
  <r>
    <d v="2014-04-05T00:00:00"/>
    <x v="3"/>
    <x v="0"/>
    <x v="103"/>
    <x v="25"/>
    <x v="1"/>
    <x v="5"/>
    <s v="DAX Wood Document Frame"/>
    <n v="27.46"/>
    <n v="2"/>
    <n v="9.89"/>
  </r>
  <r>
    <d v="2014-04-05T00:00:00"/>
    <x v="3"/>
    <x v="0"/>
    <x v="104"/>
    <x v="4"/>
    <x v="2"/>
    <x v="11"/>
    <s v="Boston Home &amp; Office Model 2000 Electric Pencil Sharpeners"/>
    <n v="37.840000000000003"/>
    <n v="2"/>
    <n v="2.84"/>
  </r>
  <r>
    <d v="2014-04-05T00:00:00"/>
    <x v="3"/>
    <x v="0"/>
    <x v="104"/>
    <x v="4"/>
    <x v="2"/>
    <x v="4"/>
    <s v="OIC Thumb-Tacks"/>
    <n v="5.47"/>
    <n v="6"/>
    <n v="1.85"/>
  </r>
  <r>
    <d v="2014-04-05T00:00:00"/>
    <x v="3"/>
    <x v="0"/>
    <x v="105"/>
    <x v="1"/>
    <x v="1"/>
    <x v="5"/>
    <s v="Eldon Regeneration Recycled Desk Accessories, Smoke"/>
    <n v="12.18"/>
    <n v="7"/>
    <n v="3.9"/>
  </r>
  <r>
    <d v="2014-04-05T00:00:00"/>
    <x v="3"/>
    <x v="0"/>
    <x v="105"/>
    <x v="1"/>
    <x v="2"/>
    <x v="10"/>
    <s v="Holmes Odor Grabber"/>
    <n v="57.68"/>
    <n v="4"/>
    <n v="19.03"/>
  </r>
  <r>
    <d v="2014-04-06T00:00:00"/>
    <x v="3"/>
    <x v="0"/>
    <x v="106"/>
    <x v="2"/>
    <x v="1"/>
    <x v="5"/>
    <s v="Seth Thomas 14&quot; Day/Date Wall Clock"/>
    <n v="56.96"/>
    <n v="2"/>
    <n v="21.08"/>
  </r>
  <r>
    <d v="2014-04-06T00:00:00"/>
    <x v="3"/>
    <x v="0"/>
    <x v="106"/>
    <x v="2"/>
    <x v="2"/>
    <x v="10"/>
    <s v="Commercial WindTunnel Clean Air Upright Vacuum, Replacement Belts, Filtration Bags"/>
    <n v="15.56"/>
    <n v="4"/>
    <n v="4.05"/>
  </r>
  <r>
    <d v="2014-04-06T00:00:00"/>
    <x v="3"/>
    <x v="0"/>
    <x v="106"/>
    <x v="2"/>
    <x v="1"/>
    <x v="5"/>
    <s v="G.E. Halogen Desk Lamp Bulbs"/>
    <n v="13.96"/>
    <n v="2"/>
    <n v="6.7"/>
  </r>
  <r>
    <d v="2014-04-07T00:00:00"/>
    <x v="3"/>
    <x v="0"/>
    <x v="73"/>
    <x v="15"/>
    <x v="2"/>
    <x v="3"/>
    <s v="Xerox 194"/>
    <n v="177.54"/>
    <n v="4"/>
    <n v="62.14"/>
  </r>
  <r>
    <d v="2014-04-07T00:00:00"/>
    <x v="3"/>
    <x v="0"/>
    <x v="73"/>
    <x v="15"/>
    <x v="2"/>
    <x v="10"/>
    <s v="Fellowes Mighty 8 Compact Surge Protector"/>
    <n v="32.43"/>
    <n v="2"/>
    <n v="3.24"/>
  </r>
  <r>
    <d v="2014-04-07T00:00:00"/>
    <x v="3"/>
    <x v="0"/>
    <x v="89"/>
    <x v="20"/>
    <x v="2"/>
    <x v="3"/>
    <s v="Southworth Structures Collection"/>
    <n v="21.84"/>
    <n v="3"/>
    <n v="10.92"/>
  </r>
  <r>
    <d v="2014-04-08T00:00:00"/>
    <x v="3"/>
    <x v="0"/>
    <x v="107"/>
    <x v="21"/>
    <x v="2"/>
    <x v="10"/>
    <s v="Hoover WindTunnel Plus Canister Vacuum"/>
    <n v="1089.75"/>
    <n v="3"/>
    <n v="305.13"/>
  </r>
  <r>
    <d v="2014-04-08T00:00:00"/>
    <x v="3"/>
    <x v="0"/>
    <x v="107"/>
    <x v="21"/>
    <x v="2"/>
    <x v="11"/>
    <s v="Newell 329"/>
    <n v="16.399999999999999"/>
    <n v="5"/>
    <n v="4.26"/>
  </r>
  <r>
    <d v="2014-04-08T00:00:00"/>
    <x v="3"/>
    <x v="0"/>
    <x v="107"/>
    <x v="21"/>
    <x v="0"/>
    <x v="2"/>
    <s v="Panasonic KX T7731-B Digital phone"/>
    <n v="399.96"/>
    <n v="5"/>
    <n v="35"/>
  </r>
  <r>
    <d v="2014-04-08T00:00:00"/>
    <x v="3"/>
    <x v="0"/>
    <x v="107"/>
    <x v="21"/>
    <x v="2"/>
    <x v="6"/>
    <s v="Safco Wire Cube Shelving System, For Use as 4 or 5 14&quot; Cubes, Black"/>
    <n v="158.9"/>
    <n v="5"/>
    <n v="7.95"/>
  </r>
  <r>
    <d v="2014-04-08T00:00:00"/>
    <x v="3"/>
    <x v="0"/>
    <x v="107"/>
    <x v="21"/>
    <x v="2"/>
    <x v="9"/>
    <s v="Ibico Standard Transparent Covers"/>
    <n v="13.18"/>
    <n v="1"/>
    <n v="4.78"/>
  </r>
  <r>
    <d v="2014-04-08T00:00:00"/>
    <x v="3"/>
    <x v="0"/>
    <x v="108"/>
    <x v="31"/>
    <x v="2"/>
    <x v="10"/>
    <s v="Eureka The Boss Cordless Rechargeable Stick Vac"/>
    <n v="101.96"/>
    <n v="2"/>
    <n v="27.53"/>
  </r>
  <r>
    <d v="2014-04-08T00:00:00"/>
    <x v="3"/>
    <x v="0"/>
    <x v="108"/>
    <x v="31"/>
    <x v="2"/>
    <x v="3"/>
    <s v="Southworth 25% Cotton Premium Laser Paper and Envelopes"/>
    <n v="259.74"/>
    <n v="13"/>
    <n v="124.68"/>
  </r>
  <r>
    <d v="2014-04-08T00:00:00"/>
    <x v="3"/>
    <x v="0"/>
    <x v="108"/>
    <x v="31"/>
    <x v="0"/>
    <x v="0"/>
    <s v="Maxell 4.7GB DVD-R"/>
    <n v="255.42"/>
    <n v="9"/>
    <n v="104.72"/>
  </r>
  <r>
    <d v="2014-04-10T00:00:00"/>
    <x v="3"/>
    <x v="0"/>
    <x v="109"/>
    <x v="5"/>
    <x v="2"/>
    <x v="8"/>
    <s v="Avery 512"/>
    <n v="14.45"/>
    <n v="5"/>
    <n v="6.79"/>
  </r>
  <r>
    <d v="2014-04-10T00:00:00"/>
    <x v="3"/>
    <x v="0"/>
    <x v="109"/>
    <x v="5"/>
    <x v="2"/>
    <x v="9"/>
    <s v="GBC Recycled Regency Composition Covers"/>
    <n v="95.65"/>
    <n v="2"/>
    <n v="31.09"/>
  </r>
  <r>
    <d v="2014-04-10T00:00:00"/>
    <x v="3"/>
    <x v="0"/>
    <x v="110"/>
    <x v="1"/>
    <x v="2"/>
    <x v="8"/>
    <s v="Avery 519"/>
    <n v="29.24"/>
    <n v="4"/>
    <n v="13.74"/>
  </r>
  <r>
    <d v="2014-04-10T00:00:00"/>
    <x v="3"/>
    <x v="0"/>
    <x v="111"/>
    <x v="2"/>
    <x v="1"/>
    <x v="1"/>
    <s v="Office Star - Contemporary Task Swivel chair with Loop Arms, Charcoal"/>
    <n v="589.41"/>
    <n v="5"/>
    <n v="-6.55"/>
  </r>
  <r>
    <d v="2014-04-11T00:00:00"/>
    <x v="3"/>
    <x v="0"/>
    <x v="112"/>
    <x v="2"/>
    <x v="1"/>
    <x v="1"/>
    <s v="DMI Arturo Collection Mission-style Design Wood Chair"/>
    <n v="135.88"/>
    <n v="1"/>
    <n v="24.16"/>
  </r>
  <r>
    <d v="2014-04-11T00:00:00"/>
    <x v="3"/>
    <x v="0"/>
    <x v="112"/>
    <x v="2"/>
    <x v="0"/>
    <x v="14"/>
    <s v="Canon imageCLASS MF7460 Monochrome Digital Laser Multifunction Copier"/>
    <n v="3991.98"/>
    <n v="2"/>
    <n v="1995.99"/>
  </r>
  <r>
    <d v="2014-04-11T00:00:00"/>
    <x v="3"/>
    <x v="0"/>
    <x v="112"/>
    <x v="2"/>
    <x v="0"/>
    <x v="2"/>
    <s v="Panasonic Kx-TS550"/>
    <n v="275.94"/>
    <n v="6"/>
    <n v="80.02"/>
  </r>
  <r>
    <d v="2014-04-11T00:00:00"/>
    <x v="3"/>
    <x v="0"/>
    <x v="112"/>
    <x v="2"/>
    <x v="0"/>
    <x v="0"/>
    <s v="NETGEAR N750 Dual Band Wi-Fi Gigabit Router"/>
    <n v="360"/>
    <n v="4"/>
    <n v="129.6"/>
  </r>
  <r>
    <d v="2014-04-11T00:00:00"/>
    <x v="3"/>
    <x v="0"/>
    <x v="112"/>
    <x v="2"/>
    <x v="2"/>
    <x v="6"/>
    <s v="Trav-L-File Heavy-Duty Shuttle II, Black"/>
    <n v="43.57"/>
    <n v="1"/>
    <n v="13.07"/>
  </r>
  <r>
    <d v="2014-04-11T00:00:00"/>
    <x v="3"/>
    <x v="0"/>
    <x v="65"/>
    <x v="12"/>
    <x v="2"/>
    <x v="4"/>
    <s v="OIC Bulk Pack Metal Binder Clips"/>
    <n v="8.3800000000000008"/>
    <n v="3"/>
    <n v="2.72"/>
  </r>
  <r>
    <d v="2014-04-11T00:00:00"/>
    <x v="3"/>
    <x v="0"/>
    <x v="113"/>
    <x v="5"/>
    <x v="1"/>
    <x v="5"/>
    <s v="Executive Impressions 12&quot; Wall Clock"/>
    <n v="35.340000000000003"/>
    <n v="2"/>
    <n v="13.43"/>
  </r>
  <r>
    <d v="2014-04-11T00:00:00"/>
    <x v="3"/>
    <x v="0"/>
    <x v="114"/>
    <x v="5"/>
    <x v="0"/>
    <x v="2"/>
    <s v="Polycom SoundPoint Pro SE-225 Corded phone"/>
    <n v="666.34"/>
    <n v="7"/>
    <n v="66.63"/>
  </r>
  <r>
    <d v="2014-04-11T00:00:00"/>
    <x v="3"/>
    <x v="0"/>
    <x v="114"/>
    <x v="5"/>
    <x v="1"/>
    <x v="7"/>
    <s v="Bevis Round Conference Table Top, X-Base"/>
    <n v="573.73"/>
    <n v="4"/>
    <n v="-64.540000000000006"/>
  </r>
  <r>
    <d v="2014-04-11T00:00:00"/>
    <x v="3"/>
    <x v="0"/>
    <x v="114"/>
    <x v="5"/>
    <x v="2"/>
    <x v="9"/>
    <s v="Cardinal EasyOpen D-Ring Binders"/>
    <n v="21.94"/>
    <n v="3"/>
    <n v="8.23"/>
  </r>
  <r>
    <d v="2014-04-11T00:00:00"/>
    <x v="3"/>
    <x v="0"/>
    <x v="114"/>
    <x v="5"/>
    <x v="2"/>
    <x v="3"/>
    <s v="Xerox 2000"/>
    <n v="19.440000000000001"/>
    <n v="3"/>
    <n v="9.33"/>
  </r>
  <r>
    <d v="2014-04-11T00:00:00"/>
    <x v="3"/>
    <x v="0"/>
    <x v="114"/>
    <x v="5"/>
    <x v="0"/>
    <x v="14"/>
    <s v="Hewlett-Packard Deskjet D4360 Printer"/>
    <n v="447.97"/>
    <n v="4"/>
    <n v="139.99"/>
  </r>
  <r>
    <d v="2014-04-11T00:00:00"/>
    <x v="3"/>
    <x v="0"/>
    <x v="115"/>
    <x v="2"/>
    <x v="2"/>
    <x v="9"/>
    <s v="Acco Flexible ACCOHIDE Square Ring Data Binder, Dark Blue, 11 1/2&quot; X 14&quot; 7/8&quot;"/>
    <n v="52.06"/>
    <n v="4"/>
    <n v="18.87"/>
  </r>
  <r>
    <d v="2014-05-01T00:00:00"/>
    <x v="4"/>
    <x v="0"/>
    <x v="116"/>
    <x v="13"/>
    <x v="2"/>
    <x v="11"/>
    <s v="Avery Hi-Liter EverBold Pen Style Fluorescent Highlighters, 4/Pack"/>
    <n v="19.54"/>
    <n v="3"/>
    <n v="4.88"/>
  </r>
  <r>
    <d v="2014-05-03T00:00:00"/>
    <x v="4"/>
    <x v="0"/>
    <x v="117"/>
    <x v="2"/>
    <x v="2"/>
    <x v="11"/>
    <s v="Newell 345"/>
    <n v="59.52"/>
    <n v="3"/>
    <n v="15.48"/>
  </r>
  <r>
    <d v="2014-05-03T00:00:00"/>
    <x v="4"/>
    <x v="0"/>
    <x v="117"/>
    <x v="2"/>
    <x v="0"/>
    <x v="0"/>
    <s v="Logitech Wireless Gaming Headset G930"/>
    <n v="479.97"/>
    <n v="3"/>
    <n v="177.59"/>
  </r>
  <r>
    <d v="2014-05-03T00:00:00"/>
    <x v="4"/>
    <x v="0"/>
    <x v="117"/>
    <x v="2"/>
    <x v="2"/>
    <x v="15"/>
    <s v="Acme Forged Steel Scissors with Black Enamel Handles"/>
    <n v="18.62"/>
    <n v="2"/>
    <n v="5.4"/>
  </r>
  <r>
    <d v="2014-05-03T00:00:00"/>
    <x v="4"/>
    <x v="0"/>
    <x v="117"/>
    <x v="2"/>
    <x v="2"/>
    <x v="9"/>
    <s v="GBC Wire Binding Combs"/>
    <n v="49.63"/>
    <n v="6"/>
    <n v="16.75"/>
  </r>
  <r>
    <d v="2014-05-03T00:00:00"/>
    <x v="4"/>
    <x v="0"/>
    <x v="117"/>
    <x v="2"/>
    <x v="2"/>
    <x v="3"/>
    <s v="Xerox 1891"/>
    <n v="97.82"/>
    <n v="2"/>
    <n v="45.98"/>
  </r>
  <r>
    <d v="2014-05-04T00:00:00"/>
    <x v="4"/>
    <x v="0"/>
    <x v="118"/>
    <x v="2"/>
    <x v="2"/>
    <x v="3"/>
    <s v="Eaton Premium Continuous-Feed Paper, 25% Cotton, Letter Size, White, 1000 Shts/Box"/>
    <n v="55.48"/>
    <n v="1"/>
    <n v="26.63"/>
  </r>
  <r>
    <d v="2014-05-04T00:00:00"/>
    <x v="4"/>
    <x v="0"/>
    <x v="119"/>
    <x v="20"/>
    <x v="2"/>
    <x v="11"/>
    <s v="Crayola Colored Pencils"/>
    <n v="22.96"/>
    <n v="7"/>
    <n v="7.58"/>
  </r>
  <r>
    <d v="2014-05-04T00:00:00"/>
    <x v="4"/>
    <x v="0"/>
    <x v="119"/>
    <x v="20"/>
    <x v="2"/>
    <x v="3"/>
    <s v="Xerox 1957"/>
    <n v="12.96"/>
    <n v="2"/>
    <n v="6.35"/>
  </r>
  <r>
    <d v="2014-05-04T00:00:00"/>
    <x v="4"/>
    <x v="0"/>
    <x v="119"/>
    <x v="20"/>
    <x v="2"/>
    <x v="11"/>
    <s v="Newell 321"/>
    <n v="22.96"/>
    <n v="7"/>
    <n v="6.66"/>
  </r>
  <r>
    <d v="2014-05-04T00:00:00"/>
    <x v="4"/>
    <x v="0"/>
    <x v="119"/>
    <x v="20"/>
    <x v="2"/>
    <x v="15"/>
    <s v="Martin Yale Chadless Opener Electric Letter Opener"/>
    <n v="4164.05"/>
    <n v="5"/>
    <n v="83.28"/>
  </r>
  <r>
    <d v="2014-05-04T00:00:00"/>
    <x v="4"/>
    <x v="0"/>
    <x v="120"/>
    <x v="3"/>
    <x v="2"/>
    <x v="6"/>
    <s v="Tenex File Box, Personal Filing Tote with Lid, Black"/>
    <n v="49.63"/>
    <n v="4"/>
    <n v="3.72"/>
  </r>
  <r>
    <d v="2014-05-04T00:00:00"/>
    <x v="4"/>
    <x v="0"/>
    <x v="120"/>
    <x v="3"/>
    <x v="2"/>
    <x v="6"/>
    <s v="Adjustable Personal File Tote"/>
    <n v="52.1"/>
    <n v="4"/>
    <n v="3.91"/>
  </r>
  <r>
    <d v="2014-05-04T00:00:00"/>
    <x v="4"/>
    <x v="0"/>
    <x v="121"/>
    <x v="10"/>
    <x v="2"/>
    <x v="11"/>
    <s v="Stanley Contemporary Battery Pencil Sharpeners"/>
    <n v="26.7"/>
    <n v="2"/>
    <n v="7.48"/>
  </r>
  <r>
    <d v="2014-05-04T00:00:00"/>
    <x v="4"/>
    <x v="0"/>
    <x v="121"/>
    <x v="10"/>
    <x v="2"/>
    <x v="9"/>
    <s v="Fellowes Twister Kit, Gray/Clear, 3/pkg"/>
    <n v="40.200000000000003"/>
    <n v="5"/>
    <n v="18.09"/>
  </r>
  <r>
    <d v="2014-05-04T00:00:00"/>
    <x v="4"/>
    <x v="0"/>
    <x v="121"/>
    <x v="10"/>
    <x v="2"/>
    <x v="11"/>
    <s v="Binney &amp; Smith Crayola Metallic Colored Pencils, 8-Color Set"/>
    <n v="13.89"/>
    <n v="3"/>
    <n v="4.58"/>
  </r>
  <r>
    <d v="2014-05-04T00:00:00"/>
    <x v="4"/>
    <x v="0"/>
    <x v="121"/>
    <x v="10"/>
    <x v="2"/>
    <x v="6"/>
    <s v="Space Solutions HD Industrial Steel Shelving."/>
    <n v="689.82"/>
    <n v="6"/>
    <n v="20.69"/>
  </r>
  <r>
    <d v="2014-05-05T00:00:00"/>
    <x v="4"/>
    <x v="0"/>
    <x v="122"/>
    <x v="17"/>
    <x v="2"/>
    <x v="3"/>
    <s v="Adams &quot;While You Were Out&quot; Message Pads"/>
    <n v="9.42"/>
    <n v="3"/>
    <n v="4.24"/>
  </r>
  <r>
    <d v="2014-05-05T00:00:00"/>
    <x v="4"/>
    <x v="0"/>
    <x v="122"/>
    <x v="17"/>
    <x v="2"/>
    <x v="11"/>
    <s v="Newell 350"/>
    <n v="6.56"/>
    <n v="2"/>
    <n v="1.9"/>
  </r>
  <r>
    <d v="2014-05-05T00:00:00"/>
    <x v="4"/>
    <x v="0"/>
    <x v="122"/>
    <x v="17"/>
    <x v="2"/>
    <x v="3"/>
    <s v="Xerox 1933"/>
    <n v="24.56"/>
    <n v="2"/>
    <n v="11.54"/>
  </r>
  <r>
    <d v="2014-05-05T00:00:00"/>
    <x v="4"/>
    <x v="0"/>
    <x v="123"/>
    <x v="4"/>
    <x v="1"/>
    <x v="1"/>
    <s v="Global Value Mid-Back Manager's Chair, Gray"/>
    <n v="127.87"/>
    <n v="3"/>
    <n v="-9.1300000000000008"/>
  </r>
  <r>
    <d v="2014-05-05T00:00:00"/>
    <x v="4"/>
    <x v="0"/>
    <x v="7"/>
    <x v="3"/>
    <x v="2"/>
    <x v="6"/>
    <s v="Eldon Portable Mobile Manager"/>
    <n v="45.25"/>
    <n v="2"/>
    <n v="3.96"/>
  </r>
  <r>
    <d v="2014-05-05T00:00:00"/>
    <x v="4"/>
    <x v="0"/>
    <x v="124"/>
    <x v="20"/>
    <x v="2"/>
    <x v="9"/>
    <s v="Storex Dura Pro Binders"/>
    <n v="11.88"/>
    <n v="2"/>
    <n v="5.35"/>
  </r>
  <r>
    <d v="2014-05-07T00:00:00"/>
    <x v="4"/>
    <x v="0"/>
    <x v="125"/>
    <x v="32"/>
    <x v="0"/>
    <x v="0"/>
    <s v="NETGEAR AC1750 Dual Band GigabitÂ Smart WiFi Router"/>
    <n v="479.97"/>
    <n v="3"/>
    <n v="163.19"/>
  </r>
  <r>
    <d v="2014-05-07T00:00:00"/>
    <x v="4"/>
    <x v="0"/>
    <x v="125"/>
    <x v="32"/>
    <x v="2"/>
    <x v="8"/>
    <s v="Avery 516"/>
    <n v="14.62"/>
    <n v="2"/>
    <n v="6.87"/>
  </r>
  <r>
    <d v="2014-05-07T00:00:00"/>
    <x v="4"/>
    <x v="0"/>
    <x v="125"/>
    <x v="32"/>
    <x v="2"/>
    <x v="3"/>
    <s v="Xerox 1995"/>
    <n v="19.440000000000001"/>
    <n v="3"/>
    <n v="9.33"/>
  </r>
  <r>
    <d v="2014-05-07T00:00:00"/>
    <x v="4"/>
    <x v="0"/>
    <x v="126"/>
    <x v="4"/>
    <x v="2"/>
    <x v="6"/>
    <s v="Gould Plastics 18-Pocket Panel Bin, 34w x 5-1/4d x 20-1/2h"/>
    <n v="220.78"/>
    <n v="3"/>
    <n v="-44.16"/>
  </r>
  <r>
    <d v="2014-05-07T00:00:00"/>
    <x v="4"/>
    <x v="0"/>
    <x v="126"/>
    <x v="4"/>
    <x v="2"/>
    <x v="6"/>
    <s v="Fellowes Bankers Box Stor/Drawer Steel Plus"/>
    <n v="281.42"/>
    <n v="11"/>
    <n v="-35.18"/>
  </r>
  <r>
    <d v="2014-05-07T00:00:00"/>
    <x v="4"/>
    <x v="0"/>
    <x v="127"/>
    <x v="5"/>
    <x v="2"/>
    <x v="9"/>
    <s v="Vinyl Sectional Post Binders"/>
    <n v="180.96"/>
    <n v="6"/>
    <n v="67.86"/>
  </r>
  <r>
    <d v="2014-05-07T00:00:00"/>
    <x v="4"/>
    <x v="0"/>
    <x v="128"/>
    <x v="26"/>
    <x v="2"/>
    <x v="11"/>
    <s v="Newell 322"/>
    <n v="4.37"/>
    <n v="3"/>
    <n v="0.38"/>
  </r>
  <r>
    <d v="2014-05-07T00:00:00"/>
    <x v="4"/>
    <x v="0"/>
    <x v="129"/>
    <x v="11"/>
    <x v="1"/>
    <x v="5"/>
    <s v="Advantus Panel Wall Certificate Holder - 8.5x11"/>
    <n v="19.52"/>
    <n v="2"/>
    <n v="5.37"/>
  </r>
  <r>
    <d v="2014-05-07T00:00:00"/>
    <x v="4"/>
    <x v="0"/>
    <x v="129"/>
    <x v="11"/>
    <x v="2"/>
    <x v="9"/>
    <s v="Wilson Jones Four-Pocket Poly Binders"/>
    <n v="9.81"/>
    <n v="5"/>
    <n v="-6.87"/>
  </r>
  <r>
    <d v="2014-05-08T00:00:00"/>
    <x v="4"/>
    <x v="0"/>
    <x v="130"/>
    <x v="5"/>
    <x v="2"/>
    <x v="3"/>
    <s v="Adams Phone Message Book, Professional, 400 Message Capacity, 5 3/6Â” x 11Â”"/>
    <n v="20.94"/>
    <n v="3"/>
    <n v="9.84"/>
  </r>
  <r>
    <d v="2014-05-08T00:00:00"/>
    <x v="4"/>
    <x v="0"/>
    <x v="130"/>
    <x v="5"/>
    <x v="2"/>
    <x v="3"/>
    <s v="Xerox 1913"/>
    <n v="110.96"/>
    <n v="2"/>
    <n v="53.26"/>
  </r>
  <r>
    <d v="2014-05-08T00:00:00"/>
    <x v="4"/>
    <x v="0"/>
    <x v="130"/>
    <x v="5"/>
    <x v="1"/>
    <x v="1"/>
    <s v="Global Value Steno Chair, Gray"/>
    <n v="340.14"/>
    <n v="7"/>
    <n v="21.26"/>
  </r>
  <r>
    <d v="2014-05-08T00:00:00"/>
    <x v="4"/>
    <x v="0"/>
    <x v="131"/>
    <x v="5"/>
    <x v="0"/>
    <x v="0"/>
    <s v="Logitech Desktop MK120 Mouse and keyboard Combo"/>
    <n v="16.36"/>
    <n v="1"/>
    <n v="1.64"/>
  </r>
  <r>
    <d v="2014-05-08T00:00:00"/>
    <x v="4"/>
    <x v="0"/>
    <x v="131"/>
    <x v="5"/>
    <x v="2"/>
    <x v="6"/>
    <s v="Akro Stacking Bins"/>
    <n v="15.78"/>
    <n v="2"/>
    <n v="0.63"/>
  </r>
  <r>
    <d v="2014-05-08T00:00:00"/>
    <x v="4"/>
    <x v="0"/>
    <x v="131"/>
    <x v="5"/>
    <x v="2"/>
    <x v="11"/>
    <s v="Boston KS Multi-Size Manual Pencil Sharpener"/>
    <n v="45.98"/>
    <n v="2"/>
    <n v="12.87"/>
  </r>
  <r>
    <d v="2014-05-08T00:00:00"/>
    <x v="4"/>
    <x v="0"/>
    <x v="132"/>
    <x v="25"/>
    <x v="2"/>
    <x v="10"/>
    <s v="Fellowes Advanced Computer Series Surge Protectors"/>
    <n v="79.47"/>
    <n v="3"/>
    <n v="22.25"/>
  </r>
  <r>
    <d v="2014-05-08T00:00:00"/>
    <x v="4"/>
    <x v="0"/>
    <x v="132"/>
    <x v="25"/>
    <x v="2"/>
    <x v="11"/>
    <s v="Binney &amp; Smith inkTank Erasable Pocket Highlighter, Chisel Tip, Yellow"/>
    <n v="4.5599999999999996"/>
    <n v="2"/>
    <n v="2.0099999999999998"/>
  </r>
  <r>
    <d v="2014-05-08T00:00:00"/>
    <x v="4"/>
    <x v="0"/>
    <x v="132"/>
    <x v="25"/>
    <x v="1"/>
    <x v="1"/>
    <s v="Hon GuestStacker Chair"/>
    <n v="1133.3499999999999"/>
    <n v="5"/>
    <n v="294.67"/>
  </r>
  <r>
    <d v="2014-05-08T00:00:00"/>
    <x v="4"/>
    <x v="0"/>
    <x v="92"/>
    <x v="2"/>
    <x v="0"/>
    <x v="2"/>
    <s v="Plantronics CS 50-USB -Â headsetÂ - Convertible, Monaural"/>
    <n v="135.99"/>
    <n v="1"/>
    <n v="36.72"/>
  </r>
  <r>
    <d v="2014-05-08T00:00:00"/>
    <x v="4"/>
    <x v="0"/>
    <x v="133"/>
    <x v="4"/>
    <x v="1"/>
    <x v="7"/>
    <s v="SAFCO PlanMaster Heigh-Adjustable Drafting Table Base, 43w x 30d x 30-37h, Black"/>
    <n v="489.23"/>
    <n v="2"/>
    <n v="41.93"/>
  </r>
  <r>
    <d v="2014-05-09T00:00:00"/>
    <x v="4"/>
    <x v="0"/>
    <x v="134"/>
    <x v="18"/>
    <x v="2"/>
    <x v="6"/>
    <s v="Economy Rollaway Files"/>
    <n v="264.32"/>
    <n v="2"/>
    <n v="19.82"/>
  </r>
  <r>
    <d v="2014-05-09T00:00:00"/>
    <x v="4"/>
    <x v="0"/>
    <x v="135"/>
    <x v="11"/>
    <x v="1"/>
    <x v="5"/>
    <s v="Telescoping Adjustable Floor Lamp"/>
    <n v="31.98"/>
    <n v="2"/>
    <n v="2"/>
  </r>
  <r>
    <d v="2014-05-10T00:00:00"/>
    <x v="4"/>
    <x v="0"/>
    <x v="136"/>
    <x v="18"/>
    <x v="2"/>
    <x v="10"/>
    <s v="Belkin F5C206VTEL 6 Outlet Surge"/>
    <n v="91.92"/>
    <n v="5"/>
    <n v="11.49"/>
  </r>
  <r>
    <d v="2014-05-10T00:00:00"/>
    <x v="4"/>
    <x v="0"/>
    <x v="137"/>
    <x v="5"/>
    <x v="0"/>
    <x v="0"/>
    <s v="Plantronics Audio 478 Stereo USB Headset"/>
    <n v="99.98"/>
    <n v="2"/>
    <n v="34.99"/>
  </r>
  <r>
    <d v="2014-05-11T00:00:00"/>
    <x v="4"/>
    <x v="0"/>
    <x v="138"/>
    <x v="5"/>
    <x v="1"/>
    <x v="5"/>
    <s v="OIC Stacking Trays"/>
    <n v="20.04"/>
    <n v="6"/>
    <n v="8.82"/>
  </r>
  <r>
    <d v="2014-05-11T00:00:00"/>
    <x v="4"/>
    <x v="0"/>
    <x v="139"/>
    <x v="20"/>
    <x v="0"/>
    <x v="0"/>
    <s v="Maxell 4.7GB DVD-RW 3/Pack"/>
    <n v="47.79"/>
    <n v="3"/>
    <n v="16.25"/>
  </r>
  <r>
    <d v="2014-05-11T00:00:00"/>
    <x v="4"/>
    <x v="0"/>
    <x v="140"/>
    <x v="13"/>
    <x v="2"/>
    <x v="9"/>
    <s v="Wilson Jones Legal Size Ring Binders"/>
    <n v="13.19"/>
    <n v="2"/>
    <n v="-8.8000000000000007"/>
  </r>
  <r>
    <d v="2014-05-11T00:00:00"/>
    <x v="4"/>
    <x v="0"/>
    <x v="140"/>
    <x v="13"/>
    <x v="2"/>
    <x v="6"/>
    <s v="Tennsco Double-Tier Lockers"/>
    <n v="1080.0999999999999"/>
    <n v="6"/>
    <n v="-94.51"/>
  </r>
  <r>
    <d v="2014-05-11T00:00:00"/>
    <x v="4"/>
    <x v="0"/>
    <x v="140"/>
    <x v="13"/>
    <x v="0"/>
    <x v="0"/>
    <s v="Sony 16GB Class 10 Micro SDHC R40 Memory Card"/>
    <n v="51.56"/>
    <n v="5"/>
    <n v="-6.45"/>
  </r>
  <r>
    <d v="2014-05-11T00:00:00"/>
    <x v="4"/>
    <x v="0"/>
    <x v="140"/>
    <x v="13"/>
    <x v="0"/>
    <x v="0"/>
    <s v="Memorex Micro Travel Drive 32 GB"/>
    <n v="58.42"/>
    <n v="2"/>
    <n v="16.79"/>
  </r>
  <r>
    <d v="2014-05-12T00:00:00"/>
    <x v="4"/>
    <x v="0"/>
    <x v="141"/>
    <x v="23"/>
    <x v="2"/>
    <x v="11"/>
    <s v="Hunt BOSTON Model 1606 High-Volume Electric Pencil Sharpener, Beige"/>
    <n v="1113.02"/>
    <n v="8"/>
    <n v="111.3"/>
  </r>
  <r>
    <d v="2014-05-12T00:00:00"/>
    <x v="4"/>
    <x v="0"/>
    <x v="141"/>
    <x v="23"/>
    <x v="0"/>
    <x v="2"/>
    <s v="netTALK DUO VoIP Telephone Service"/>
    <n v="167.97"/>
    <n v="4"/>
    <n v="62.99"/>
  </r>
  <r>
    <d v="2014-05-12T00:00:00"/>
    <x v="4"/>
    <x v="0"/>
    <x v="142"/>
    <x v="3"/>
    <x v="0"/>
    <x v="0"/>
    <s v="ImationÂ Secure+ Hardware Encrypted USB 2.0Â Flash Drive; 16GB"/>
    <n v="408.74"/>
    <n v="7"/>
    <n v="76.64"/>
  </r>
  <r>
    <d v="2014-05-12T00:00:00"/>
    <x v="4"/>
    <x v="0"/>
    <x v="143"/>
    <x v="20"/>
    <x v="2"/>
    <x v="6"/>
    <s v="Recycled Eldon Regeneration Jumbo File"/>
    <n v="24.56"/>
    <n v="2"/>
    <n v="6.88"/>
  </r>
  <r>
    <d v="2014-05-12T00:00:00"/>
    <x v="4"/>
    <x v="0"/>
    <x v="144"/>
    <x v="13"/>
    <x v="2"/>
    <x v="13"/>
    <s v="Cameo Buff Policy Envelopes"/>
    <n v="348.49"/>
    <n v="7"/>
    <n v="117.61"/>
  </r>
  <r>
    <d v="2014-05-12T00:00:00"/>
    <x v="4"/>
    <x v="0"/>
    <x v="29"/>
    <x v="18"/>
    <x v="2"/>
    <x v="3"/>
    <s v="Xerox 1893"/>
    <n v="98.38"/>
    <n v="3"/>
    <n v="35.659999999999997"/>
  </r>
  <r>
    <d v="2014-05-12T00:00:00"/>
    <x v="4"/>
    <x v="0"/>
    <x v="29"/>
    <x v="18"/>
    <x v="2"/>
    <x v="9"/>
    <s v="Large Capacity Hanging Post Binders"/>
    <n v="29.94"/>
    <n v="4"/>
    <n v="-23.95"/>
  </r>
  <r>
    <d v="2014-05-12T00:00:00"/>
    <x v="4"/>
    <x v="0"/>
    <x v="29"/>
    <x v="18"/>
    <x v="0"/>
    <x v="2"/>
    <s v="Lunatik TT5L-002 Taktik Strike Impact Protection System for iPhone 5"/>
    <n v="36.74"/>
    <n v="1"/>
    <n v="-9.18"/>
  </r>
  <r>
    <d v="2014-05-12T00:00:00"/>
    <x v="4"/>
    <x v="0"/>
    <x v="29"/>
    <x v="18"/>
    <x v="0"/>
    <x v="2"/>
    <s v="Panasonic KX T7736-B Digital phone"/>
    <n v="179.94"/>
    <n v="2"/>
    <n v="-44.99"/>
  </r>
  <r>
    <d v="2014-05-12T00:00:00"/>
    <x v="4"/>
    <x v="0"/>
    <x v="145"/>
    <x v="5"/>
    <x v="2"/>
    <x v="11"/>
    <s v="Prang Colored Pencils"/>
    <n v="26.46"/>
    <n v="9"/>
    <n v="11.91"/>
  </r>
  <r>
    <d v="2014-05-12T00:00:00"/>
    <x v="4"/>
    <x v="0"/>
    <x v="145"/>
    <x v="5"/>
    <x v="2"/>
    <x v="4"/>
    <s v="Advantus Plastic Paper Clips"/>
    <n v="15"/>
    <n v="3"/>
    <n v="7.2"/>
  </r>
  <r>
    <d v="2014-05-12T00:00:00"/>
    <x v="4"/>
    <x v="0"/>
    <x v="146"/>
    <x v="5"/>
    <x v="2"/>
    <x v="10"/>
    <s v="Fellowes 8 Outlet Superior Workstation Surge Protector"/>
    <n v="250.26"/>
    <n v="6"/>
    <n v="72.58"/>
  </r>
  <r>
    <d v="2014-06-01T00:00:00"/>
    <x v="5"/>
    <x v="0"/>
    <x v="147"/>
    <x v="5"/>
    <x v="2"/>
    <x v="3"/>
    <s v="Xerox 225"/>
    <n v="19.440000000000001"/>
    <n v="3"/>
    <n v="9.33"/>
  </r>
  <r>
    <d v="2014-06-01T00:00:00"/>
    <x v="5"/>
    <x v="0"/>
    <x v="25"/>
    <x v="19"/>
    <x v="2"/>
    <x v="11"/>
    <s v="Dixon Prang Watercolor Pencils, 10-Color Set with Brush"/>
    <n v="12.78"/>
    <n v="3"/>
    <n v="5.24"/>
  </r>
  <r>
    <d v="2014-06-01T00:00:00"/>
    <x v="5"/>
    <x v="0"/>
    <x v="148"/>
    <x v="17"/>
    <x v="2"/>
    <x v="9"/>
    <s v="Ibico Hi-Tech Manual Binding System"/>
    <n v="609.98"/>
    <n v="2"/>
    <n v="274.49"/>
  </r>
  <r>
    <d v="2014-06-01T00:00:00"/>
    <x v="5"/>
    <x v="0"/>
    <x v="148"/>
    <x v="17"/>
    <x v="2"/>
    <x v="11"/>
    <s v="Rogers Handheld Barrel Pencil Sharpener"/>
    <n v="5.48"/>
    <n v="2"/>
    <n v="1.48"/>
  </r>
  <r>
    <d v="2014-06-01T00:00:00"/>
    <x v="5"/>
    <x v="0"/>
    <x v="148"/>
    <x v="17"/>
    <x v="0"/>
    <x v="2"/>
    <s v="GE 30524EE4"/>
    <n v="391.98"/>
    <n v="2"/>
    <n v="113.67"/>
  </r>
  <r>
    <d v="2014-06-01T00:00:00"/>
    <x v="5"/>
    <x v="0"/>
    <x v="148"/>
    <x v="17"/>
    <x v="0"/>
    <x v="2"/>
    <s v="Wireless Extenders zBoost YX545 SOHO Signal Booster"/>
    <n v="755.96"/>
    <n v="4"/>
    <n v="204.11"/>
  </r>
  <r>
    <d v="2014-06-01T00:00:00"/>
    <x v="5"/>
    <x v="0"/>
    <x v="148"/>
    <x v="17"/>
    <x v="2"/>
    <x v="4"/>
    <s v="Alliance Super-Size Bands, Assorted Sizes"/>
    <n v="31.12"/>
    <n v="4"/>
    <n v="0.31"/>
  </r>
  <r>
    <d v="2014-06-01T00:00:00"/>
    <x v="5"/>
    <x v="0"/>
    <x v="148"/>
    <x v="17"/>
    <x v="2"/>
    <x v="3"/>
    <s v="Southworth 25% Cotton Granite Paper &amp; Envelopes"/>
    <n v="6.54"/>
    <n v="1"/>
    <n v="3.01"/>
  </r>
  <r>
    <d v="2014-06-02T00:00:00"/>
    <x v="5"/>
    <x v="0"/>
    <x v="149"/>
    <x v="20"/>
    <x v="2"/>
    <x v="8"/>
    <s v="Avery 480"/>
    <n v="15"/>
    <n v="4"/>
    <n v="7.2"/>
  </r>
  <r>
    <d v="2014-06-02T00:00:00"/>
    <x v="5"/>
    <x v="0"/>
    <x v="149"/>
    <x v="20"/>
    <x v="0"/>
    <x v="2"/>
    <s v="Aastra 57i VoIP phone"/>
    <n v="161.61000000000001"/>
    <n v="1"/>
    <n v="42.02"/>
  </r>
  <r>
    <d v="2014-06-02T00:00:00"/>
    <x v="5"/>
    <x v="0"/>
    <x v="150"/>
    <x v="3"/>
    <x v="2"/>
    <x v="9"/>
    <s v="Avery Flip-Chart Easel Binder, Black"/>
    <n v="8.9499999999999993"/>
    <n v="2"/>
    <n v="-14.77"/>
  </r>
  <r>
    <d v="2014-06-04T00:00:00"/>
    <x v="5"/>
    <x v="0"/>
    <x v="151"/>
    <x v="13"/>
    <x v="2"/>
    <x v="15"/>
    <s v="Martin-Yale Premier Letter Opener"/>
    <n v="10.3"/>
    <n v="1"/>
    <n v="-2.19"/>
  </r>
  <r>
    <d v="2014-06-04T00:00:00"/>
    <x v="5"/>
    <x v="0"/>
    <x v="152"/>
    <x v="1"/>
    <x v="1"/>
    <x v="7"/>
    <s v="Chromcraft Bull-Nose Wood Round Conference Table Top, Wood Base"/>
    <n v="653.54999999999995"/>
    <n v="3"/>
    <n v="111.1"/>
  </r>
  <r>
    <d v="2014-06-04T00:00:00"/>
    <x v="5"/>
    <x v="0"/>
    <x v="152"/>
    <x v="1"/>
    <x v="0"/>
    <x v="0"/>
    <s v="Kingston Digital DataTraveler 32GB USB 2.0"/>
    <n v="33.9"/>
    <n v="2"/>
    <n v="2.0299999999999998"/>
  </r>
  <r>
    <d v="2014-06-04T00:00:00"/>
    <x v="5"/>
    <x v="0"/>
    <x v="153"/>
    <x v="5"/>
    <x v="1"/>
    <x v="5"/>
    <s v="Tenex B1-RE Series Chair Mats for Low Pile Carpets"/>
    <n v="91.96"/>
    <n v="2"/>
    <n v="15.63"/>
  </r>
  <r>
    <d v="2014-06-04T00:00:00"/>
    <x v="5"/>
    <x v="0"/>
    <x v="153"/>
    <x v="5"/>
    <x v="1"/>
    <x v="5"/>
    <s v="C-Line Cubicle Keepers Polyproplyene Holder With Velcro Backings"/>
    <n v="33.11"/>
    <n v="7"/>
    <n v="12.91"/>
  </r>
  <r>
    <d v="2014-06-04T00:00:00"/>
    <x v="5"/>
    <x v="0"/>
    <x v="153"/>
    <x v="5"/>
    <x v="2"/>
    <x v="3"/>
    <s v="Xerox 211"/>
    <n v="19.440000000000001"/>
    <n v="3"/>
    <n v="9.33"/>
  </r>
  <r>
    <d v="2014-06-04T00:00:00"/>
    <x v="5"/>
    <x v="0"/>
    <x v="154"/>
    <x v="5"/>
    <x v="2"/>
    <x v="9"/>
    <s v="Avery Trapezoid Ring Binder, 3&quot; Capacity, Black, 1040 sheets"/>
    <n v="65.569999999999993"/>
    <n v="2"/>
    <n v="23.77"/>
  </r>
  <r>
    <d v="2014-06-05T00:00:00"/>
    <x v="5"/>
    <x v="0"/>
    <x v="155"/>
    <x v="5"/>
    <x v="2"/>
    <x v="8"/>
    <s v="Staple-on labels"/>
    <n v="5.78"/>
    <n v="2"/>
    <n v="2.72"/>
  </r>
  <r>
    <d v="2014-06-06T00:00:00"/>
    <x v="5"/>
    <x v="0"/>
    <x v="54"/>
    <x v="2"/>
    <x v="2"/>
    <x v="11"/>
    <s v="Sanford Liquid Accent Highlighters"/>
    <n v="13.36"/>
    <n v="2"/>
    <n v="4.9400000000000004"/>
  </r>
  <r>
    <d v="2014-06-06T00:00:00"/>
    <x v="5"/>
    <x v="0"/>
    <x v="156"/>
    <x v="2"/>
    <x v="2"/>
    <x v="9"/>
    <s v="Wilson Jones Century Plastic Molded Ring Binders"/>
    <n v="149.54"/>
    <n v="9"/>
    <n v="50.47"/>
  </r>
  <r>
    <d v="2014-06-06T00:00:00"/>
    <x v="5"/>
    <x v="0"/>
    <x v="156"/>
    <x v="2"/>
    <x v="2"/>
    <x v="15"/>
    <s v="Acme Office Executive Series Stainless Steel Trimmers"/>
    <n v="17.14"/>
    <n v="2"/>
    <n v="4.46"/>
  </r>
  <r>
    <d v="2014-06-06T00:00:00"/>
    <x v="5"/>
    <x v="0"/>
    <x v="156"/>
    <x v="2"/>
    <x v="1"/>
    <x v="7"/>
    <s v="Chromcraft Bull-Nose Wood 48&quot; x 96&quot; Rectangular Conference Tables"/>
    <n v="991.76"/>
    <n v="3"/>
    <n v="-347.12"/>
  </r>
  <r>
    <d v="2014-06-06T00:00:00"/>
    <x v="5"/>
    <x v="0"/>
    <x v="157"/>
    <x v="3"/>
    <x v="2"/>
    <x v="13"/>
    <s v="#10- 4 1/8&quot; x 9 1/2&quot; Recycled Envelopes"/>
    <n v="13.98"/>
    <n v="2"/>
    <n v="4.72"/>
  </r>
  <r>
    <d v="2014-06-06T00:00:00"/>
    <x v="5"/>
    <x v="0"/>
    <x v="158"/>
    <x v="4"/>
    <x v="2"/>
    <x v="8"/>
    <s v="Round Specialty Laser Printer Labels"/>
    <n v="100.24"/>
    <n v="10"/>
    <n v="33.83"/>
  </r>
  <r>
    <d v="2014-06-06T00:00:00"/>
    <x v="5"/>
    <x v="0"/>
    <x v="45"/>
    <x v="11"/>
    <x v="2"/>
    <x v="9"/>
    <s v="Presstex Flexible Ring Binders"/>
    <n v="1.37"/>
    <n v="1"/>
    <n v="-0.91"/>
  </r>
  <r>
    <d v="2014-06-06T00:00:00"/>
    <x v="5"/>
    <x v="0"/>
    <x v="45"/>
    <x v="11"/>
    <x v="2"/>
    <x v="3"/>
    <s v="Xerox 1944"/>
    <n v="62.02"/>
    <n v="2"/>
    <n v="22.48"/>
  </r>
  <r>
    <d v="2014-06-07T00:00:00"/>
    <x v="5"/>
    <x v="0"/>
    <x v="159"/>
    <x v="2"/>
    <x v="0"/>
    <x v="12"/>
    <s v="Canon Imageclass D680 Copier / Fax"/>
    <n v="559.99"/>
    <n v="1"/>
    <n v="175"/>
  </r>
  <r>
    <d v="2014-06-07T00:00:00"/>
    <x v="5"/>
    <x v="0"/>
    <x v="160"/>
    <x v="5"/>
    <x v="1"/>
    <x v="1"/>
    <s v="Global Comet Stacking Armless Chair"/>
    <n v="478.48"/>
    <n v="2"/>
    <n v="47.85"/>
  </r>
  <r>
    <d v="2014-06-08T00:00:00"/>
    <x v="5"/>
    <x v="0"/>
    <x v="161"/>
    <x v="2"/>
    <x v="0"/>
    <x v="0"/>
    <s v="Logitech G700s Rechargeable Gaming Mouse"/>
    <n v="199.98"/>
    <n v="2"/>
    <n v="83.99"/>
  </r>
  <r>
    <d v="2014-06-09T00:00:00"/>
    <x v="5"/>
    <x v="0"/>
    <x v="162"/>
    <x v="5"/>
    <x v="1"/>
    <x v="5"/>
    <s v="Eldon Expressions Wood and Plastic Desk Accessories, Cherry Wood"/>
    <n v="41.88"/>
    <n v="6"/>
    <n v="12.15"/>
  </r>
  <r>
    <d v="2014-06-10T00:00:00"/>
    <x v="5"/>
    <x v="0"/>
    <x v="163"/>
    <x v="5"/>
    <x v="0"/>
    <x v="0"/>
    <s v="ImationÂ USB 2.0 SwivelÂ Flash DriveÂ USBÂ flash driveÂ - 4 GB - Pink"/>
    <n v="9.09"/>
    <n v="3"/>
    <n v="1.91"/>
  </r>
  <r>
    <d v="2014-06-10T00:00:00"/>
    <x v="5"/>
    <x v="0"/>
    <x v="110"/>
    <x v="13"/>
    <x v="2"/>
    <x v="6"/>
    <s v="Tennsco Lockers, Gray"/>
    <n v="83.92"/>
    <n v="5"/>
    <n v="-13.64"/>
  </r>
  <r>
    <d v="2014-06-10T00:00:00"/>
    <x v="5"/>
    <x v="0"/>
    <x v="162"/>
    <x v="33"/>
    <x v="2"/>
    <x v="6"/>
    <s v="Fellowes Staxonsteel Drawer Files"/>
    <n v="386.34"/>
    <n v="2"/>
    <n v="54.09"/>
  </r>
  <r>
    <d v="2014-06-12T00:00:00"/>
    <x v="5"/>
    <x v="0"/>
    <x v="164"/>
    <x v="16"/>
    <x v="2"/>
    <x v="6"/>
    <s v="File Shuttle I and Handi-File"/>
    <n v="53.42"/>
    <n v="3"/>
    <n v="4.67"/>
  </r>
  <r>
    <d v="2014-06-12T00:00:00"/>
    <x v="5"/>
    <x v="0"/>
    <x v="80"/>
    <x v="3"/>
    <x v="2"/>
    <x v="10"/>
    <s v="Bionaire 99.97% HEPA Air Cleaner"/>
    <n v="14.02"/>
    <n v="4"/>
    <n v="-31.54"/>
  </r>
  <r>
    <d v="2014-06-12T00:00:00"/>
    <x v="5"/>
    <x v="0"/>
    <x v="80"/>
    <x v="3"/>
    <x v="0"/>
    <x v="2"/>
    <s v="Shocksock Galaxy S4 Armband"/>
    <n v="35.04"/>
    <n v="4"/>
    <n v="-7.01"/>
  </r>
  <r>
    <d v="2014-06-12T00:00:00"/>
    <x v="5"/>
    <x v="0"/>
    <x v="80"/>
    <x v="3"/>
    <x v="1"/>
    <x v="5"/>
    <s v="Nu-Dell Float Frame 11 x 14 1/2"/>
    <n v="10.78"/>
    <n v="3"/>
    <n v="-4.8499999999999996"/>
  </r>
  <r>
    <d v="2014-06-12T00:00:00"/>
    <x v="5"/>
    <x v="0"/>
    <x v="80"/>
    <x v="3"/>
    <x v="2"/>
    <x v="9"/>
    <s v="Ibico Covers for Plastic or Wire Binding Elements"/>
    <n v="4.5999999999999996"/>
    <n v="2"/>
    <n v="-8.0500000000000007"/>
  </r>
  <r>
    <d v="2014-06-12T00:00:00"/>
    <x v="5"/>
    <x v="0"/>
    <x v="80"/>
    <x v="3"/>
    <x v="2"/>
    <x v="6"/>
    <s v="Rogers Deluxe File Chest"/>
    <n v="35.17"/>
    <n v="2"/>
    <n v="-8.35"/>
  </r>
  <r>
    <d v="2014-06-12T00:00:00"/>
    <x v="5"/>
    <x v="0"/>
    <x v="165"/>
    <x v="5"/>
    <x v="2"/>
    <x v="6"/>
    <s v="Standard Rollaway File with Lock"/>
    <n v="1261.33"/>
    <n v="7"/>
    <n v="327.95"/>
  </r>
  <r>
    <d v="2014-06-12T00:00:00"/>
    <x v="5"/>
    <x v="0"/>
    <x v="166"/>
    <x v="26"/>
    <x v="2"/>
    <x v="3"/>
    <s v="Xerox 1909"/>
    <n v="42.21"/>
    <n v="2"/>
    <n v="13.72"/>
  </r>
  <r>
    <d v="2014-07-01T00:00:00"/>
    <x v="6"/>
    <x v="0"/>
    <x v="167"/>
    <x v="4"/>
    <x v="1"/>
    <x v="5"/>
    <s v="Howard Miller 14-1/2&quot; Diameter Chrome Round Wall Clock"/>
    <n v="76.73"/>
    <n v="3"/>
    <n v="-53.71"/>
  </r>
  <r>
    <d v="2014-07-01T00:00:00"/>
    <x v="6"/>
    <x v="0"/>
    <x v="167"/>
    <x v="4"/>
    <x v="2"/>
    <x v="9"/>
    <s v="Acco Four Pocket Poly Ring Binder with Label Holder, Smoke, 1&quot;"/>
    <n v="10.43"/>
    <n v="7"/>
    <n v="-18.25"/>
  </r>
  <r>
    <d v="2014-07-02T00:00:00"/>
    <x v="6"/>
    <x v="0"/>
    <x v="168"/>
    <x v="8"/>
    <x v="0"/>
    <x v="0"/>
    <s v="Maxell DVD-RAM Discs"/>
    <n v="115.36"/>
    <n v="7"/>
    <n v="49.6"/>
  </r>
  <r>
    <d v="2014-07-03T00:00:00"/>
    <x v="6"/>
    <x v="0"/>
    <x v="169"/>
    <x v="1"/>
    <x v="1"/>
    <x v="1"/>
    <s v="Global Push Button Manager's Chair, Indigo"/>
    <n v="48.71"/>
    <n v="1"/>
    <n v="5.48"/>
  </r>
  <r>
    <d v="2014-07-03T00:00:00"/>
    <x v="6"/>
    <x v="0"/>
    <x v="169"/>
    <x v="1"/>
    <x v="2"/>
    <x v="11"/>
    <s v="Newell 330"/>
    <n v="17.940000000000001"/>
    <n v="3"/>
    <n v="4.66"/>
  </r>
  <r>
    <d v="2014-07-03T00:00:00"/>
    <x v="6"/>
    <x v="0"/>
    <x v="169"/>
    <x v="1"/>
    <x v="2"/>
    <x v="6"/>
    <s v="Carina 42&quot;Hx23 3/4&quot;W Media Storage Unit"/>
    <n v="242.94"/>
    <n v="3"/>
    <n v="4.8600000000000003"/>
  </r>
  <r>
    <d v="2014-07-03T00:00:00"/>
    <x v="6"/>
    <x v="0"/>
    <x v="170"/>
    <x v="1"/>
    <x v="2"/>
    <x v="9"/>
    <s v="Catalog Binders with Expanding Posts"/>
    <n v="107.65"/>
    <n v="2"/>
    <n v="33.64"/>
  </r>
  <r>
    <d v="2014-07-03T00:00:00"/>
    <x v="6"/>
    <x v="0"/>
    <x v="171"/>
    <x v="1"/>
    <x v="2"/>
    <x v="11"/>
    <s v="Newell Chalk Holder"/>
    <n v="20.65"/>
    <n v="5"/>
    <n v="9.5"/>
  </r>
  <r>
    <d v="2014-07-03T00:00:00"/>
    <x v="6"/>
    <x v="0"/>
    <x v="171"/>
    <x v="1"/>
    <x v="2"/>
    <x v="6"/>
    <s v="Contico 72&quot;H Heavy-Duty Storage System"/>
    <n v="204.9"/>
    <n v="5"/>
    <n v="0"/>
  </r>
  <r>
    <d v="2014-07-03T00:00:00"/>
    <x v="6"/>
    <x v="0"/>
    <x v="171"/>
    <x v="1"/>
    <x v="1"/>
    <x v="1"/>
    <s v="Office Star - Task Chair with Contemporary Loop Arms"/>
    <n v="436.7"/>
    <n v="6"/>
    <n v="21.84"/>
  </r>
  <r>
    <d v="2014-07-03T00:00:00"/>
    <x v="6"/>
    <x v="0"/>
    <x v="171"/>
    <x v="1"/>
    <x v="1"/>
    <x v="1"/>
    <s v="Global Leather and Oak Executive Chair, Black"/>
    <n v="481.57"/>
    <n v="2"/>
    <n v="54.18"/>
  </r>
  <r>
    <d v="2014-07-04T00:00:00"/>
    <x v="6"/>
    <x v="0"/>
    <x v="172"/>
    <x v="34"/>
    <x v="1"/>
    <x v="5"/>
    <s v="Stacking Tray, Side-Loading, Legal, Smoke"/>
    <n v="8.9600000000000009"/>
    <n v="2"/>
    <n v="2.78"/>
  </r>
  <r>
    <d v="2014-07-04T00:00:00"/>
    <x v="6"/>
    <x v="0"/>
    <x v="165"/>
    <x v="29"/>
    <x v="0"/>
    <x v="2"/>
    <s v="AT&amp;T TR1909W"/>
    <n v="629.95000000000005"/>
    <n v="5"/>
    <n v="163.79"/>
  </r>
  <r>
    <d v="2014-07-04T00:00:00"/>
    <x v="6"/>
    <x v="0"/>
    <x v="165"/>
    <x v="29"/>
    <x v="2"/>
    <x v="3"/>
    <s v="Xerox 1945"/>
    <n v="122.97"/>
    <n v="3"/>
    <n v="60.26"/>
  </r>
  <r>
    <d v="2014-07-04T00:00:00"/>
    <x v="6"/>
    <x v="0"/>
    <x v="173"/>
    <x v="19"/>
    <x v="2"/>
    <x v="3"/>
    <s v="Xerox 226"/>
    <n v="58.32"/>
    <n v="9"/>
    <n v="27.99"/>
  </r>
  <r>
    <d v="2014-07-04T00:00:00"/>
    <x v="6"/>
    <x v="0"/>
    <x v="173"/>
    <x v="19"/>
    <x v="0"/>
    <x v="2"/>
    <s v="RCA Visys Integrated PBX 8-Line Router"/>
    <n v="200.97"/>
    <n v="3"/>
    <n v="50.24"/>
  </r>
  <r>
    <d v="2014-07-05T00:00:00"/>
    <x v="6"/>
    <x v="0"/>
    <x v="174"/>
    <x v="6"/>
    <x v="2"/>
    <x v="9"/>
    <s v="Acco PRESSTEX Data Binder with Storage Hooks, Dark Blue, 14 7/8&quot; X 11&quot;"/>
    <n v="16.14"/>
    <n v="3"/>
    <n v="7.91"/>
  </r>
  <r>
    <d v="2014-07-05T00:00:00"/>
    <x v="6"/>
    <x v="0"/>
    <x v="174"/>
    <x v="6"/>
    <x v="1"/>
    <x v="7"/>
    <s v="Balt Split Level Computer Training Table"/>
    <n v="194.25"/>
    <n v="2"/>
    <n v="-38.85"/>
  </r>
  <r>
    <d v="2014-07-05T00:00:00"/>
    <x v="6"/>
    <x v="0"/>
    <x v="174"/>
    <x v="6"/>
    <x v="2"/>
    <x v="11"/>
    <s v="Newell 335"/>
    <n v="8.64"/>
    <n v="3"/>
    <n v="2.5099999999999998"/>
  </r>
  <r>
    <d v="2014-07-05T00:00:00"/>
    <x v="6"/>
    <x v="0"/>
    <x v="174"/>
    <x v="6"/>
    <x v="1"/>
    <x v="1"/>
    <s v="Lifetime Advantage Folding Chairs, 4/Carton"/>
    <n v="872.32"/>
    <n v="4"/>
    <n v="244.25"/>
  </r>
  <r>
    <d v="2014-07-07T00:00:00"/>
    <x v="6"/>
    <x v="0"/>
    <x v="175"/>
    <x v="13"/>
    <x v="1"/>
    <x v="5"/>
    <s v="Howard Miller 11-1/2&quot; Diameter Grantwood Wall Clock"/>
    <n v="69.010000000000005"/>
    <n v="2"/>
    <n v="12.08"/>
  </r>
  <r>
    <d v="2014-07-09T00:00:00"/>
    <x v="6"/>
    <x v="0"/>
    <x v="176"/>
    <x v="13"/>
    <x v="0"/>
    <x v="2"/>
    <s v="invisibleSHIELD by ZAGG Smudge-Free Screen Protector"/>
    <n v="32.380000000000003"/>
    <n v="3"/>
    <n v="4.32"/>
  </r>
  <r>
    <d v="2014-07-09T00:00:00"/>
    <x v="6"/>
    <x v="0"/>
    <x v="176"/>
    <x v="13"/>
    <x v="0"/>
    <x v="14"/>
    <s v="StarTech.com 10/100 VDSL2 Ethernet Extender Kit"/>
    <n v="399.54"/>
    <n v="4"/>
    <n v="-559.36"/>
  </r>
  <r>
    <d v="2014-07-09T00:00:00"/>
    <x v="6"/>
    <x v="0"/>
    <x v="68"/>
    <x v="28"/>
    <x v="1"/>
    <x v="5"/>
    <s v="Executive Impressions 13&quot; Clairmont Wall Clock"/>
    <n v="57.69"/>
    <n v="3"/>
    <n v="23.65"/>
  </r>
  <r>
    <d v="2014-07-09T00:00:00"/>
    <x v="6"/>
    <x v="0"/>
    <x v="68"/>
    <x v="28"/>
    <x v="2"/>
    <x v="9"/>
    <s v="GBC Laser Imprintable Binding System Covers, Desert Sand"/>
    <n v="42.81"/>
    <n v="3"/>
    <n v="20.12"/>
  </r>
  <r>
    <d v="2014-07-09T00:00:00"/>
    <x v="6"/>
    <x v="0"/>
    <x v="68"/>
    <x v="28"/>
    <x v="1"/>
    <x v="5"/>
    <s v="3M Polarizing Task Lamp with Clamp Arm, Light Gray"/>
    <n v="821.88"/>
    <n v="6"/>
    <n v="213.69"/>
  </r>
  <r>
    <d v="2014-07-09T00:00:00"/>
    <x v="6"/>
    <x v="0"/>
    <x v="68"/>
    <x v="28"/>
    <x v="0"/>
    <x v="2"/>
    <s v="Plantronics CordlessÂ Phone HeadsetÂ with In-line Volume - M214C"/>
    <n v="104.85"/>
    <n v="3"/>
    <n v="28.31"/>
  </r>
  <r>
    <d v="2014-07-09T00:00:00"/>
    <x v="6"/>
    <x v="0"/>
    <x v="177"/>
    <x v="2"/>
    <x v="0"/>
    <x v="2"/>
    <s v="AT&amp;T EL51110 DECT"/>
    <n v="377.97"/>
    <n v="3"/>
    <n v="109.61"/>
  </r>
  <r>
    <d v="2014-07-09T00:00:00"/>
    <x v="6"/>
    <x v="0"/>
    <x v="115"/>
    <x v="4"/>
    <x v="0"/>
    <x v="2"/>
    <s v="Panasonic KX TS3282B Corded phone"/>
    <n v="196.78"/>
    <n v="3"/>
    <n v="14.76"/>
  </r>
  <r>
    <d v="2014-07-09T00:00:00"/>
    <x v="6"/>
    <x v="0"/>
    <x v="115"/>
    <x v="4"/>
    <x v="1"/>
    <x v="7"/>
    <s v="Riverside Furniture Oval Coffee Table, Oval End Table, End Table with Drawer"/>
    <n v="200.8"/>
    <n v="1"/>
    <n v="-22.95"/>
  </r>
  <r>
    <d v="2014-07-09T00:00:00"/>
    <x v="6"/>
    <x v="0"/>
    <x v="115"/>
    <x v="4"/>
    <x v="0"/>
    <x v="0"/>
    <s v="Belkin Standard 104 key USB Keyboard"/>
    <n v="46.69"/>
    <n v="4"/>
    <n v="-2.92"/>
  </r>
  <r>
    <d v="2014-07-09T00:00:00"/>
    <x v="6"/>
    <x v="0"/>
    <x v="115"/>
    <x v="4"/>
    <x v="2"/>
    <x v="11"/>
    <s v="Dixon Ticonderoga Core-Lock Colored Pencils"/>
    <n v="21.86"/>
    <n v="3"/>
    <n v="3.55"/>
  </r>
  <r>
    <d v="2014-07-09T00:00:00"/>
    <x v="6"/>
    <x v="0"/>
    <x v="178"/>
    <x v="28"/>
    <x v="2"/>
    <x v="9"/>
    <s v="Avery Recycled Flexi-View Covers for Binding Systems"/>
    <n v="32.06"/>
    <n v="2"/>
    <n v="15.39"/>
  </r>
  <r>
    <d v="2014-07-09T00:00:00"/>
    <x v="6"/>
    <x v="0"/>
    <x v="178"/>
    <x v="28"/>
    <x v="1"/>
    <x v="1"/>
    <s v="Padded Folding Chairs, Black, 4/Carton"/>
    <n v="161.96"/>
    <n v="2"/>
    <n v="45.35"/>
  </r>
  <r>
    <d v="2014-07-09T00:00:00"/>
    <x v="6"/>
    <x v="0"/>
    <x v="178"/>
    <x v="28"/>
    <x v="2"/>
    <x v="6"/>
    <s v="Akro-Mils 12-Gallon Tote"/>
    <n v="19.86"/>
    <n v="2"/>
    <n v="5.76"/>
  </r>
  <r>
    <d v="2014-07-09T00:00:00"/>
    <x v="6"/>
    <x v="0"/>
    <x v="179"/>
    <x v="5"/>
    <x v="2"/>
    <x v="15"/>
    <s v="Acme Design Line 8&quot; Stainless Steel Bent Scissors w/Champagne Handles, 3-1/8&quot; Cut"/>
    <n v="27.36"/>
    <n v="4"/>
    <n v="7.39"/>
  </r>
  <r>
    <d v="2014-07-09T00:00:00"/>
    <x v="6"/>
    <x v="0"/>
    <x v="179"/>
    <x v="5"/>
    <x v="2"/>
    <x v="9"/>
    <s v="Avery Legal 4-Ring Binder"/>
    <n v="83.92"/>
    <n v="5"/>
    <n v="31.47"/>
  </r>
  <r>
    <d v="2014-07-09T00:00:00"/>
    <x v="6"/>
    <x v="0"/>
    <x v="180"/>
    <x v="3"/>
    <x v="2"/>
    <x v="4"/>
    <s v="Acco Hot Clips Clips to Go"/>
    <n v="13.16"/>
    <n v="5"/>
    <n v="4.1100000000000003"/>
  </r>
  <r>
    <d v="2014-07-09T00:00:00"/>
    <x v="6"/>
    <x v="0"/>
    <x v="180"/>
    <x v="3"/>
    <x v="2"/>
    <x v="9"/>
    <s v="Avery Heavy-Duty EZD View Binder with Locking Rings"/>
    <n v="3.83"/>
    <n v="3"/>
    <n v="-6.51"/>
  </r>
  <r>
    <d v="2014-07-10T00:00:00"/>
    <x v="6"/>
    <x v="0"/>
    <x v="83"/>
    <x v="13"/>
    <x v="1"/>
    <x v="5"/>
    <s v="Seth Thomas 16&quot; Steel Case Clock"/>
    <n v="129.91999999999999"/>
    <n v="5"/>
    <n v="21.11"/>
  </r>
  <r>
    <d v="2014-07-10T00:00:00"/>
    <x v="6"/>
    <x v="0"/>
    <x v="120"/>
    <x v="4"/>
    <x v="2"/>
    <x v="6"/>
    <s v="Fellowes Personal Hanging Folder Files, Navy"/>
    <n v="107.44"/>
    <n v="10"/>
    <n v="10.74"/>
  </r>
  <r>
    <d v="2014-07-11T00:00:00"/>
    <x v="6"/>
    <x v="0"/>
    <x v="181"/>
    <x v="4"/>
    <x v="2"/>
    <x v="9"/>
    <s v="Satellite Sectional Post Binders"/>
    <n v="26.05"/>
    <n v="3"/>
    <n v="-44.28"/>
  </r>
  <r>
    <d v="2014-07-11T00:00:00"/>
    <x v="6"/>
    <x v="0"/>
    <x v="76"/>
    <x v="4"/>
    <x v="1"/>
    <x v="1"/>
    <s v="Hon Deluxe Fabric Upholstered Stacking Chairs, Squared Back"/>
    <n v="683.14"/>
    <n v="4"/>
    <n v="0"/>
  </r>
  <r>
    <d v="2014-07-11T00:00:00"/>
    <x v="6"/>
    <x v="0"/>
    <x v="76"/>
    <x v="4"/>
    <x v="2"/>
    <x v="9"/>
    <s v="Avery Triangle Shaped Sheet Lifters, Black, 2/Pack"/>
    <n v="1.48"/>
    <n v="3"/>
    <n v="-2.21"/>
  </r>
  <r>
    <d v="2014-07-11T00:00:00"/>
    <x v="6"/>
    <x v="0"/>
    <x v="76"/>
    <x v="4"/>
    <x v="2"/>
    <x v="15"/>
    <s v="Acme Stainless Steel Office Snips"/>
    <n v="40.71"/>
    <n v="7"/>
    <n v="3.56"/>
  </r>
  <r>
    <d v="2014-07-11T00:00:00"/>
    <x v="6"/>
    <x v="0"/>
    <x v="182"/>
    <x v="0"/>
    <x v="2"/>
    <x v="10"/>
    <s v="Belkin 8 Outlet Surge Protector"/>
    <n v="245.88"/>
    <n v="6"/>
    <n v="68.849999999999994"/>
  </r>
  <r>
    <d v="2014-07-11T00:00:00"/>
    <x v="6"/>
    <x v="0"/>
    <x v="182"/>
    <x v="0"/>
    <x v="2"/>
    <x v="6"/>
    <s v="Portable Personal File Box"/>
    <n v="36.630000000000003"/>
    <n v="3"/>
    <n v="9.89"/>
  </r>
  <r>
    <d v="2014-07-11T00:00:00"/>
    <x v="6"/>
    <x v="0"/>
    <x v="182"/>
    <x v="0"/>
    <x v="2"/>
    <x v="6"/>
    <s v="X-Rack File for Hanging Folders"/>
    <n v="22.58"/>
    <n v="2"/>
    <n v="5.87"/>
  </r>
  <r>
    <d v="2014-07-11T00:00:00"/>
    <x v="6"/>
    <x v="0"/>
    <x v="182"/>
    <x v="0"/>
    <x v="2"/>
    <x v="9"/>
    <s v="ACCOHIDE 3-Ring Binder, Blue, 1&quot;"/>
    <n v="12.39"/>
    <n v="3"/>
    <n v="5.82"/>
  </r>
  <r>
    <d v="2014-07-11T00:00:00"/>
    <x v="6"/>
    <x v="0"/>
    <x v="183"/>
    <x v="2"/>
    <x v="2"/>
    <x v="4"/>
    <s v="Binder Clips by OIC"/>
    <n v="5.92"/>
    <n v="4"/>
    <n v="2.84"/>
  </r>
  <r>
    <d v="2014-07-11T00:00:00"/>
    <x v="6"/>
    <x v="0"/>
    <x v="183"/>
    <x v="2"/>
    <x v="2"/>
    <x v="3"/>
    <s v="Riverleaf Stik-Withit Designer Note Cubes"/>
    <n v="30.18"/>
    <n v="3"/>
    <n v="13.88"/>
  </r>
  <r>
    <d v="2014-07-11T00:00:00"/>
    <x v="6"/>
    <x v="0"/>
    <x v="184"/>
    <x v="16"/>
    <x v="2"/>
    <x v="11"/>
    <s v="Panasonic KP-150 Electric Pencil Sharpener"/>
    <n v="120.77"/>
    <n v="4"/>
    <n v="9.06"/>
  </r>
  <r>
    <d v="2014-07-12T00:00:00"/>
    <x v="6"/>
    <x v="0"/>
    <x v="185"/>
    <x v="5"/>
    <x v="2"/>
    <x v="11"/>
    <s v="Newell 32"/>
    <n v="8.64"/>
    <n v="3"/>
    <n v="2.42"/>
  </r>
  <r>
    <d v="2014-07-12T00:00:00"/>
    <x v="6"/>
    <x v="0"/>
    <x v="186"/>
    <x v="5"/>
    <x v="2"/>
    <x v="3"/>
    <s v="Green Bar Computer Printout Paper"/>
    <n v="164.88"/>
    <n v="3"/>
    <n v="80.790000000000006"/>
  </r>
  <r>
    <d v="2014-08-02T00:00:00"/>
    <x v="7"/>
    <x v="0"/>
    <x v="112"/>
    <x v="14"/>
    <x v="1"/>
    <x v="5"/>
    <s v="Master Caster Door Stop, Large Brown"/>
    <n v="14.56"/>
    <n v="2"/>
    <n v="5.53"/>
  </r>
  <r>
    <d v="2014-08-04T00:00:00"/>
    <x v="7"/>
    <x v="0"/>
    <x v="187"/>
    <x v="23"/>
    <x v="2"/>
    <x v="3"/>
    <s v="Things To Do Today Spiral Book"/>
    <n v="19.010000000000002"/>
    <n v="3"/>
    <n v="6.89"/>
  </r>
  <r>
    <d v="2014-08-04T00:00:00"/>
    <x v="7"/>
    <x v="0"/>
    <x v="188"/>
    <x v="34"/>
    <x v="1"/>
    <x v="7"/>
    <s v="SAFCO PlanMaster Boards, 60w x 37-1/2d, White Melamine"/>
    <n v="1215.92"/>
    <n v="8"/>
    <n v="316.14"/>
  </r>
  <r>
    <d v="2014-08-04T00:00:00"/>
    <x v="7"/>
    <x v="0"/>
    <x v="112"/>
    <x v="5"/>
    <x v="1"/>
    <x v="7"/>
    <s v="Bevis 36 x 72 Conference Tables"/>
    <n v="99.59"/>
    <n v="1"/>
    <n v="2.4900000000000002"/>
  </r>
  <r>
    <d v="2014-08-04T00:00:00"/>
    <x v="7"/>
    <x v="0"/>
    <x v="112"/>
    <x v="5"/>
    <x v="0"/>
    <x v="0"/>
    <s v="Logitech Wireless Headset h800"/>
    <n v="399.96"/>
    <n v="4"/>
    <n v="139.99"/>
  </r>
  <r>
    <d v="2014-08-04T00:00:00"/>
    <x v="7"/>
    <x v="0"/>
    <x v="189"/>
    <x v="18"/>
    <x v="1"/>
    <x v="7"/>
    <s v="Riverside Furniture Stanwyck Manor Table Series"/>
    <n v="172.11"/>
    <n v="1"/>
    <n v="-94.66"/>
  </r>
  <r>
    <d v="2014-08-05T00:00:00"/>
    <x v="7"/>
    <x v="0"/>
    <x v="190"/>
    <x v="13"/>
    <x v="0"/>
    <x v="12"/>
    <s v="Hewlett Packard LaserJet 3310 Copier"/>
    <n v="1799.97"/>
    <n v="5"/>
    <n v="240"/>
  </r>
  <r>
    <d v="2014-08-06T00:00:00"/>
    <x v="7"/>
    <x v="0"/>
    <x v="73"/>
    <x v="26"/>
    <x v="1"/>
    <x v="1"/>
    <s v="Situations Contoured Folding Chairs, 4/Set"/>
    <n v="170.35"/>
    <n v="3"/>
    <n v="10.65"/>
  </r>
  <r>
    <d v="2014-08-06T00:00:00"/>
    <x v="7"/>
    <x v="0"/>
    <x v="191"/>
    <x v="2"/>
    <x v="2"/>
    <x v="9"/>
    <s v="Green Canvas Binder for 8-1/2&quot; x 14&quot; Sheets"/>
    <n v="68.48"/>
    <n v="2"/>
    <n v="25.68"/>
  </r>
  <r>
    <d v="2014-08-06T00:00:00"/>
    <x v="7"/>
    <x v="0"/>
    <x v="191"/>
    <x v="2"/>
    <x v="2"/>
    <x v="6"/>
    <s v="Tennsco Snap-Together Open Shelving Units, Starter Sets and Add-On Units"/>
    <n v="1676.88"/>
    <n v="6"/>
    <n v="83.84"/>
  </r>
  <r>
    <d v="2014-08-07T00:00:00"/>
    <x v="7"/>
    <x v="0"/>
    <x v="192"/>
    <x v="5"/>
    <x v="1"/>
    <x v="7"/>
    <s v="Hon 2111 Invitation Series Corner Table"/>
    <n v="502.49"/>
    <n v="3"/>
    <n v="-87.94"/>
  </r>
  <r>
    <d v="2014-08-07T00:00:00"/>
    <x v="7"/>
    <x v="0"/>
    <x v="192"/>
    <x v="5"/>
    <x v="2"/>
    <x v="9"/>
    <s v="Wilson Jones Ledger-Size, Piano-Hinge Binder, 2&quot;, Blue"/>
    <n v="196.7"/>
    <n v="6"/>
    <n v="68.849999999999994"/>
  </r>
  <r>
    <d v="2014-08-08T00:00:00"/>
    <x v="7"/>
    <x v="0"/>
    <x v="193"/>
    <x v="5"/>
    <x v="0"/>
    <x v="12"/>
    <s v="Sharp AL-1530CS Digital Copier"/>
    <n v="1199.98"/>
    <n v="3"/>
    <n v="434.99"/>
  </r>
  <r>
    <d v="2014-08-08T00:00:00"/>
    <x v="7"/>
    <x v="0"/>
    <x v="193"/>
    <x v="5"/>
    <x v="0"/>
    <x v="2"/>
    <s v="AT&amp;T 1070 Corded Phone"/>
    <n v="445.96"/>
    <n v="5"/>
    <n v="55.75"/>
  </r>
  <r>
    <d v="2014-08-08T00:00:00"/>
    <x v="7"/>
    <x v="0"/>
    <x v="193"/>
    <x v="5"/>
    <x v="1"/>
    <x v="5"/>
    <s v="Dana Halogen Swing-Arm Architect Lamp"/>
    <n v="327.76"/>
    <n v="8"/>
    <n v="91.77"/>
  </r>
  <r>
    <d v="2014-08-08T00:00:00"/>
    <x v="7"/>
    <x v="0"/>
    <x v="194"/>
    <x v="23"/>
    <x v="1"/>
    <x v="5"/>
    <s v="Eldon Delta Triangular Chair Mat, 52&quot; x 58&quot;, Clear"/>
    <n v="121.38"/>
    <n v="4"/>
    <n v="-3.03"/>
  </r>
  <r>
    <d v="2014-08-08T00:00:00"/>
    <x v="7"/>
    <x v="0"/>
    <x v="194"/>
    <x v="23"/>
    <x v="0"/>
    <x v="0"/>
    <s v="SanDisk Ultra 64 GB MicroSDHC Class 10 Memory Card"/>
    <n v="95.98"/>
    <n v="3"/>
    <n v="-10.8"/>
  </r>
  <r>
    <d v="2014-08-08T00:00:00"/>
    <x v="7"/>
    <x v="0"/>
    <x v="195"/>
    <x v="10"/>
    <x v="2"/>
    <x v="10"/>
    <s v="Acco Smartsocket Table Surge Protector, 6 Color-Coded Adapter Outlets"/>
    <n v="167.54"/>
    <n v="3"/>
    <n v="37.229999999999997"/>
  </r>
  <r>
    <d v="2014-08-08T00:00:00"/>
    <x v="7"/>
    <x v="0"/>
    <x v="195"/>
    <x v="10"/>
    <x v="2"/>
    <x v="13"/>
    <s v="Globe Weis Peel &amp; Seel First Class Envelopes"/>
    <n v="38.340000000000003"/>
    <n v="3"/>
    <n v="17.25"/>
  </r>
  <r>
    <d v="2014-08-08T00:00:00"/>
    <x v="7"/>
    <x v="0"/>
    <x v="196"/>
    <x v="11"/>
    <x v="1"/>
    <x v="16"/>
    <s v="O'Sullivan 2-Shelf Heavy-Duty Bookcases"/>
    <n v="155.46"/>
    <n v="4"/>
    <n v="-7.77"/>
  </r>
  <r>
    <d v="2014-08-09T00:00:00"/>
    <x v="7"/>
    <x v="0"/>
    <x v="197"/>
    <x v="4"/>
    <x v="2"/>
    <x v="11"/>
    <s v="BIC Brite Liner Highlighters"/>
    <n v="9.94"/>
    <n v="3"/>
    <n v="2.73"/>
  </r>
  <r>
    <d v="2014-08-09T00:00:00"/>
    <x v="7"/>
    <x v="0"/>
    <x v="197"/>
    <x v="4"/>
    <x v="0"/>
    <x v="14"/>
    <s v="Lexmark MX611dhe Monochrome Laser Printer"/>
    <n v="8159.95"/>
    <n v="8"/>
    <n v="-1359.99"/>
  </r>
  <r>
    <d v="2014-08-09T00:00:00"/>
    <x v="7"/>
    <x v="0"/>
    <x v="197"/>
    <x v="4"/>
    <x v="1"/>
    <x v="1"/>
    <s v="SAFCO Arco Folding Chair"/>
    <n v="1740.06"/>
    <n v="9"/>
    <n v="-24.86"/>
  </r>
  <r>
    <d v="2014-08-09T00:00:00"/>
    <x v="7"/>
    <x v="0"/>
    <x v="197"/>
    <x v="4"/>
    <x v="0"/>
    <x v="2"/>
    <s v="JBL Micro Wireless Portable Bluetooth Speaker"/>
    <n v="143.97999999999999"/>
    <n v="3"/>
    <n v="9"/>
  </r>
  <r>
    <d v="2014-08-09T00:00:00"/>
    <x v="7"/>
    <x v="0"/>
    <x v="133"/>
    <x v="5"/>
    <x v="0"/>
    <x v="0"/>
    <s v="Logitech Wireless Touch Keyboard K400"/>
    <n v="49.98"/>
    <n v="2"/>
    <n v="8.5"/>
  </r>
  <r>
    <d v="2014-08-09T00:00:00"/>
    <x v="7"/>
    <x v="0"/>
    <x v="198"/>
    <x v="4"/>
    <x v="2"/>
    <x v="9"/>
    <s v="GBC ProClick Punch Binding System"/>
    <n v="51.18"/>
    <n v="4"/>
    <n v="-79.34"/>
  </r>
  <r>
    <d v="2014-08-09T00:00:00"/>
    <x v="7"/>
    <x v="0"/>
    <x v="199"/>
    <x v="19"/>
    <x v="0"/>
    <x v="0"/>
    <s v="Memorex Froggy Flash Drive 4 GB"/>
    <n v="32.97"/>
    <n v="3"/>
    <n v="12.86"/>
  </r>
  <r>
    <d v="2014-08-09T00:00:00"/>
    <x v="7"/>
    <x v="0"/>
    <x v="127"/>
    <x v="5"/>
    <x v="2"/>
    <x v="10"/>
    <s v="Holmes Replacement Filter for HEPA Air Cleaner, Medium Room"/>
    <n v="56.65"/>
    <n v="5"/>
    <n v="24.36"/>
  </r>
  <r>
    <d v="2014-08-09T00:00:00"/>
    <x v="7"/>
    <x v="0"/>
    <x v="127"/>
    <x v="5"/>
    <x v="2"/>
    <x v="6"/>
    <s v="Pizazz Global Quick File"/>
    <n v="14.97"/>
    <n v="1"/>
    <n v="4.1900000000000004"/>
  </r>
  <r>
    <d v="2014-08-09T00:00:00"/>
    <x v="7"/>
    <x v="0"/>
    <x v="127"/>
    <x v="5"/>
    <x v="2"/>
    <x v="4"/>
    <s v="Ideal Clamps"/>
    <n v="4.0199999999999996"/>
    <n v="2"/>
    <n v="1.97"/>
  </r>
  <r>
    <d v="2014-08-09T00:00:00"/>
    <x v="7"/>
    <x v="0"/>
    <x v="200"/>
    <x v="20"/>
    <x v="0"/>
    <x v="14"/>
    <s v="Epson WorkForce WF-2530 All-in-One Printer, Copier Scanner"/>
    <n v="209.97"/>
    <n v="3"/>
    <n v="90.29"/>
  </r>
  <r>
    <d v="2014-08-09T00:00:00"/>
    <x v="7"/>
    <x v="0"/>
    <x v="201"/>
    <x v="2"/>
    <x v="2"/>
    <x v="10"/>
    <s v="Black &amp; Decker Filter for Double Action Dustbuster Cordless Vac BLDV7210"/>
    <n v="16.78"/>
    <n v="2"/>
    <n v="4.2"/>
  </r>
  <r>
    <d v="2014-08-09T00:00:00"/>
    <x v="7"/>
    <x v="0"/>
    <x v="202"/>
    <x v="1"/>
    <x v="1"/>
    <x v="1"/>
    <s v="Hon Deluxe Fabric Upholstered Stacking Chairs, Rounded Back"/>
    <n v="975.92"/>
    <n v="5"/>
    <n v="121.99"/>
  </r>
  <r>
    <d v="2014-08-09T00:00:00"/>
    <x v="7"/>
    <x v="0"/>
    <x v="202"/>
    <x v="1"/>
    <x v="2"/>
    <x v="11"/>
    <s v="Hunt PowerHouse Electric Pencil Sharpener, Blue"/>
    <n v="303.83999999999997"/>
    <n v="8"/>
    <n v="91.15"/>
  </r>
  <r>
    <d v="2014-08-09T00:00:00"/>
    <x v="7"/>
    <x v="0"/>
    <x v="202"/>
    <x v="1"/>
    <x v="2"/>
    <x v="6"/>
    <s v="Carina Double Wide Media Storage Towers in Natural &amp; Black"/>
    <n v="485.88"/>
    <n v="6"/>
    <n v="19.440000000000001"/>
  </r>
  <r>
    <d v="2014-08-09T00:00:00"/>
    <x v="7"/>
    <x v="0"/>
    <x v="203"/>
    <x v="4"/>
    <x v="2"/>
    <x v="3"/>
    <s v="Geographics Note Cards, Blank, White, 8 1/2&quot; x 11&quot;"/>
    <n v="17.899999999999999"/>
    <n v="2"/>
    <n v="6.27"/>
  </r>
  <r>
    <d v="2014-08-09T00:00:00"/>
    <x v="7"/>
    <x v="0"/>
    <x v="203"/>
    <x v="4"/>
    <x v="2"/>
    <x v="3"/>
    <s v="Snap-A-Way Black Print Carbonless Ruled Speed Letter, Triplicate"/>
    <n v="182.11"/>
    <n v="6"/>
    <n v="61.46"/>
  </r>
  <r>
    <d v="2014-08-09T00:00:00"/>
    <x v="7"/>
    <x v="0"/>
    <x v="204"/>
    <x v="2"/>
    <x v="1"/>
    <x v="1"/>
    <s v="Global Super Steno Chair"/>
    <n v="172.76"/>
    <n v="2"/>
    <n v="13.44"/>
  </r>
  <r>
    <d v="2014-08-09T00:00:00"/>
    <x v="7"/>
    <x v="0"/>
    <x v="204"/>
    <x v="2"/>
    <x v="2"/>
    <x v="11"/>
    <s v="Nontoxic Chalk"/>
    <n v="3.52"/>
    <n v="2"/>
    <n v="1.69"/>
  </r>
  <r>
    <d v="2014-08-09T00:00:00"/>
    <x v="7"/>
    <x v="0"/>
    <x v="205"/>
    <x v="5"/>
    <x v="2"/>
    <x v="9"/>
    <s v="Acco PRESSTEX Data Binder with Storage Hooks, Light Blue, 9 1/2&quot; X 11&quot;"/>
    <n v="8.61"/>
    <n v="2"/>
    <n v="3.01"/>
  </r>
  <r>
    <d v="2014-08-10T00:00:00"/>
    <x v="7"/>
    <x v="0"/>
    <x v="206"/>
    <x v="12"/>
    <x v="0"/>
    <x v="0"/>
    <s v="Maxell 74 Minute CDR, 10/Pack"/>
    <n v="23.47"/>
    <n v="3"/>
    <n v="4.99"/>
  </r>
  <r>
    <d v="2014-08-10T00:00:00"/>
    <x v="7"/>
    <x v="0"/>
    <x v="207"/>
    <x v="2"/>
    <x v="2"/>
    <x v="3"/>
    <s v="Xerox 197"/>
    <n v="123.92"/>
    <n v="4"/>
    <n v="55.76"/>
  </r>
  <r>
    <d v="2014-08-11T00:00:00"/>
    <x v="7"/>
    <x v="0"/>
    <x v="123"/>
    <x v="5"/>
    <x v="0"/>
    <x v="2"/>
    <s v="Toshiba IPT2010-SD IPÂ Telephone"/>
    <n v="333.58"/>
    <n v="3"/>
    <n v="25.02"/>
  </r>
  <r>
    <d v="2014-08-12T00:00:00"/>
    <x v="7"/>
    <x v="0"/>
    <x v="208"/>
    <x v="4"/>
    <x v="2"/>
    <x v="6"/>
    <s v="Companion Letter/Legal File, Black"/>
    <n v="60.42"/>
    <n v="2"/>
    <n v="6.04"/>
  </r>
  <r>
    <d v="2014-08-12T00:00:00"/>
    <x v="7"/>
    <x v="0"/>
    <x v="209"/>
    <x v="16"/>
    <x v="2"/>
    <x v="9"/>
    <s v="Acco PRESSTEX Data Binder with Storage Hooks, Dark Blue, 9 1/2&quot; X 11&quot;"/>
    <n v="6.46"/>
    <n v="4"/>
    <n v="-4.5199999999999996"/>
  </r>
  <r>
    <d v="2014-08-12T00:00:00"/>
    <x v="7"/>
    <x v="0"/>
    <x v="209"/>
    <x v="16"/>
    <x v="0"/>
    <x v="2"/>
    <s v="Samsung HM1900 Bluetooth Headset"/>
    <n v="52.68"/>
    <n v="3"/>
    <n v="19.760000000000002"/>
  </r>
  <r>
    <d v="2014-08-12T00:00:00"/>
    <x v="7"/>
    <x v="0"/>
    <x v="209"/>
    <x v="16"/>
    <x v="2"/>
    <x v="15"/>
    <s v="Acco Side-Punched Conventional Columnar Pads"/>
    <n v="13.88"/>
    <n v="5"/>
    <n v="-2.6"/>
  </r>
  <r>
    <d v="2014-08-12T00:00:00"/>
    <x v="7"/>
    <x v="0"/>
    <x v="209"/>
    <x v="16"/>
    <x v="0"/>
    <x v="0"/>
    <s v="SanDisk Ultra 16 GB MicroSDHC Class 10 Memory Card"/>
    <n v="103.92"/>
    <n v="10"/>
    <n v="-18.190000000000001"/>
  </r>
  <r>
    <d v="2014-08-12T00:00:00"/>
    <x v="7"/>
    <x v="0"/>
    <x v="209"/>
    <x v="16"/>
    <x v="2"/>
    <x v="8"/>
    <s v="Avery 492"/>
    <n v="11.52"/>
    <n v="5"/>
    <n v="3.74"/>
  </r>
  <r>
    <d v="2014-08-12T00:00:00"/>
    <x v="7"/>
    <x v="0"/>
    <x v="209"/>
    <x v="16"/>
    <x v="2"/>
    <x v="3"/>
    <s v="Xerox 232"/>
    <n v="10.37"/>
    <n v="2"/>
    <n v="3.63"/>
  </r>
  <r>
    <d v="2014-08-12T00:00:00"/>
    <x v="7"/>
    <x v="0"/>
    <x v="210"/>
    <x v="1"/>
    <x v="2"/>
    <x v="3"/>
    <s v="Xerox 1964"/>
    <n v="45.68"/>
    <n v="2"/>
    <n v="21.01"/>
  </r>
  <r>
    <d v="2014-08-12T00:00:00"/>
    <x v="7"/>
    <x v="0"/>
    <x v="211"/>
    <x v="5"/>
    <x v="1"/>
    <x v="5"/>
    <s v="Luxo Economy Swing Arm Lamp"/>
    <n v="39.880000000000003"/>
    <n v="2"/>
    <n v="11.17"/>
  </r>
  <r>
    <d v="2014-09-01T00:00:00"/>
    <x v="8"/>
    <x v="0"/>
    <x v="212"/>
    <x v="4"/>
    <x v="2"/>
    <x v="11"/>
    <s v="Newell 312"/>
    <n v="9.34"/>
    <n v="2"/>
    <n v="1.17"/>
  </r>
  <r>
    <d v="2014-09-01T00:00:00"/>
    <x v="8"/>
    <x v="0"/>
    <x v="212"/>
    <x v="4"/>
    <x v="0"/>
    <x v="0"/>
    <s v="Memorex Micro Travel Drive 8 GB"/>
    <n v="31.2"/>
    <n v="3"/>
    <n v="9.75"/>
  </r>
  <r>
    <d v="2014-09-05T00:00:00"/>
    <x v="8"/>
    <x v="0"/>
    <x v="213"/>
    <x v="5"/>
    <x v="0"/>
    <x v="0"/>
    <s v="Sony Micro Vault Click 16 GB USB 2.0 Flash Drive"/>
    <n v="167.97"/>
    <n v="3"/>
    <n v="40.31"/>
  </r>
  <r>
    <d v="2014-09-05T00:00:00"/>
    <x v="8"/>
    <x v="0"/>
    <x v="176"/>
    <x v="17"/>
    <x v="2"/>
    <x v="6"/>
    <s v="Fellowes Super Stor/Drawer"/>
    <n v="83.25"/>
    <n v="3"/>
    <n v="14.99"/>
  </r>
  <r>
    <d v="2014-09-05T00:00:00"/>
    <x v="8"/>
    <x v="0"/>
    <x v="176"/>
    <x v="17"/>
    <x v="2"/>
    <x v="8"/>
    <s v="Avery 506"/>
    <n v="20.65"/>
    <n v="5"/>
    <n v="9.5"/>
  </r>
  <r>
    <d v="2014-09-05T00:00:00"/>
    <x v="8"/>
    <x v="0"/>
    <x v="176"/>
    <x v="17"/>
    <x v="2"/>
    <x v="3"/>
    <s v="Weyerhaeuser First Choice Laser/Copy Paper (20Lb. and 88 Bright)"/>
    <n v="45.36"/>
    <n v="7"/>
    <n v="21.77"/>
  </r>
  <r>
    <d v="2014-09-06T00:00:00"/>
    <x v="8"/>
    <x v="0"/>
    <x v="214"/>
    <x v="5"/>
    <x v="0"/>
    <x v="2"/>
    <s v="Mitel 5320 IP Phone VoIP phone"/>
    <n v="907.15"/>
    <n v="6"/>
    <n v="90.72"/>
  </r>
  <r>
    <d v="2014-09-06T00:00:00"/>
    <x v="8"/>
    <x v="0"/>
    <x v="214"/>
    <x v="5"/>
    <x v="2"/>
    <x v="9"/>
    <s v="DXL Angle-View Binders with Locking Rings by Samsill"/>
    <n v="18.5"/>
    <n v="3"/>
    <n v="5.78"/>
  </r>
  <r>
    <d v="2014-09-06T00:00:00"/>
    <x v="8"/>
    <x v="0"/>
    <x v="214"/>
    <x v="5"/>
    <x v="1"/>
    <x v="7"/>
    <s v="Chromcraft Rectangular Conference Tables"/>
    <n v="1706.18"/>
    <n v="9"/>
    <n v="85.31"/>
  </r>
  <r>
    <d v="2014-09-06T00:00:00"/>
    <x v="8"/>
    <x v="0"/>
    <x v="214"/>
    <x v="5"/>
    <x v="0"/>
    <x v="2"/>
    <s v="Konftel 250 ConferenceÂ phoneÂ - Charcoal black"/>
    <n v="911.42"/>
    <n v="4"/>
    <n v="68.36"/>
  </r>
  <r>
    <d v="2014-09-06T00:00:00"/>
    <x v="8"/>
    <x v="0"/>
    <x v="215"/>
    <x v="4"/>
    <x v="0"/>
    <x v="2"/>
    <s v="Square Credit Card Reader"/>
    <n v="7.99"/>
    <n v="1"/>
    <n v="0.6"/>
  </r>
  <r>
    <d v="2014-09-06T00:00:00"/>
    <x v="8"/>
    <x v="0"/>
    <x v="215"/>
    <x v="4"/>
    <x v="0"/>
    <x v="0"/>
    <s v="Logitech M510 Wireless Mouse"/>
    <n v="63.98"/>
    <n v="2"/>
    <n v="10.4"/>
  </r>
  <r>
    <d v="2014-09-06T00:00:00"/>
    <x v="8"/>
    <x v="0"/>
    <x v="215"/>
    <x v="4"/>
    <x v="2"/>
    <x v="11"/>
    <s v="Boston 1645 Deluxe Heavier-Duty Electric Pencil Sharpener"/>
    <n v="70.37"/>
    <n v="2"/>
    <n v="6.16"/>
  </r>
  <r>
    <d v="2014-09-06T00:00:00"/>
    <x v="8"/>
    <x v="0"/>
    <x v="216"/>
    <x v="5"/>
    <x v="2"/>
    <x v="15"/>
    <s v="Staple remover"/>
    <n v="7.36"/>
    <n v="2"/>
    <n v="0.15"/>
  </r>
  <r>
    <d v="2014-09-06T00:00:00"/>
    <x v="8"/>
    <x v="0"/>
    <x v="216"/>
    <x v="5"/>
    <x v="2"/>
    <x v="11"/>
    <s v="Deluxe Chalkboard Eraser Cleaner"/>
    <n v="23.1"/>
    <n v="2"/>
    <n v="10.63"/>
  </r>
  <r>
    <d v="2014-09-06T00:00:00"/>
    <x v="8"/>
    <x v="0"/>
    <x v="217"/>
    <x v="20"/>
    <x v="1"/>
    <x v="7"/>
    <s v="Bevis 44 x 96 Conference Tables"/>
    <n v="1441.3"/>
    <n v="7"/>
    <n v="245.02"/>
  </r>
  <r>
    <d v="2014-09-06T00:00:00"/>
    <x v="8"/>
    <x v="0"/>
    <x v="218"/>
    <x v="14"/>
    <x v="1"/>
    <x v="5"/>
    <s v="Executive Impressions 13-1/2&quot; Indoor/Outdoor Wall Clock"/>
    <n v="37.4"/>
    <n v="2"/>
    <n v="14.21"/>
  </r>
  <r>
    <d v="2014-09-07T00:00:00"/>
    <x v="8"/>
    <x v="0"/>
    <x v="219"/>
    <x v="4"/>
    <x v="2"/>
    <x v="3"/>
    <s v="Eureka Recycled Copy Paper 8 1/2&quot; x 11&quot;, Ream"/>
    <n v="10.37"/>
    <n v="2"/>
    <n v="3.63"/>
  </r>
  <r>
    <d v="2014-09-07T00:00:00"/>
    <x v="8"/>
    <x v="0"/>
    <x v="219"/>
    <x v="4"/>
    <x v="2"/>
    <x v="3"/>
    <s v="Xerox 1895"/>
    <n v="14.35"/>
    <n v="3"/>
    <n v="4.49"/>
  </r>
  <r>
    <d v="2014-09-07T00:00:00"/>
    <x v="8"/>
    <x v="0"/>
    <x v="81"/>
    <x v="5"/>
    <x v="2"/>
    <x v="8"/>
    <s v="Avery 49"/>
    <n v="2.88"/>
    <n v="1"/>
    <n v="1.41"/>
  </r>
  <r>
    <d v="2014-09-07T00:00:00"/>
    <x v="8"/>
    <x v="0"/>
    <x v="81"/>
    <x v="5"/>
    <x v="2"/>
    <x v="9"/>
    <s v="Wilson Jones Leather-Like Binders with DublLock Round Rings"/>
    <n v="41.9"/>
    <n v="6"/>
    <n v="14.14"/>
  </r>
  <r>
    <d v="2014-09-07T00:00:00"/>
    <x v="8"/>
    <x v="0"/>
    <x v="81"/>
    <x v="5"/>
    <x v="2"/>
    <x v="6"/>
    <s v="Perma STOR-ALL Hanging File Box, 13 1/8&quot;W x 12 1/4&quot;D x 10 1/2&quot;H"/>
    <n v="23.92"/>
    <n v="4"/>
    <n v="4.07"/>
  </r>
  <r>
    <d v="2014-09-07T00:00:00"/>
    <x v="8"/>
    <x v="0"/>
    <x v="220"/>
    <x v="5"/>
    <x v="1"/>
    <x v="16"/>
    <s v="Bush Heritage Pine Collection 5-Shelf Bookcase, Albany Pine Finish, *Special Order"/>
    <n v="119.83"/>
    <n v="1"/>
    <n v="7.05"/>
  </r>
  <r>
    <d v="2014-09-07T00:00:00"/>
    <x v="8"/>
    <x v="0"/>
    <x v="220"/>
    <x v="5"/>
    <x v="2"/>
    <x v="11"/>
    <s v="Prang Drawing Pencil Set"/>
    <n v="5.56"/>
    <n v="2"/>
    <n v="2.2200000000000002"/>
  </r>
  <r>
    <d v="2014-09-07T00:00:00"/>
    <x v="8"/>
    <x v="0"/>
    <x v="220"/>
    <x v="5"/>
    <x v="2"/>
    <x v="3"/>
    <s v="Xerox 1967"/>
    <n v="32.4"/>
    <n v="5"/>
    <n v="15.55"/>
  </r>
  <r>
    <d v="2014-09-08T00:00:00"/>
    <x v="8"/>
    <x v="0"/>
    <x v="52"/>
    <x v="11"/>
    <x v="2"/>
    <x v="3"/>
    <s v="Xerox 21"/>
    <n v="15.55"/>
    <n v="3"/>
    <n v="5.44"/>
  </r>
  <r>
    <d v="2014-09-08T00:00:00"/>
    <x v="8"/>
    <x v="0"/>
    <x v="221"/>
    <x v="5"/>
    <x v="2"/>
    <x v="8"/>
    <s v="Avery 494"/>
    <n v="20.88"/>
    <n v="8"/>
    <n v="9.6"/>
  </r>
  <r>
    <d v="2014-09-08T00:00:00"/>
    <x v="8"/>
    <x v="0"/>
    <x v="222"/>
    <x v="1"/>
    <x v="0"/>
    <x v="2"/>
    <s v="Cisco Unified IP Phone 7945G VoIP phone"/>
    <n v="1091.17"/>
    <n v="4"/>
    <n v="68.2"/>
  </r>
  <r>
    <d v="2014-09-08T00:00:00"/>
    <x v="8"/>
    <x v="0"/>
    <x v="222"/>
    <x v="1"/>
    <x v="0"/>
    <x v="2"/>
    <s v="Jawbone MINI JAMBOX Wireless Bluetooth Speaker"/>
    <n v="219.17"/>
    <n v="2"/>
    <n v="-43.83"/>
  </r>
  <r>
    <d v="2014-09-08T00:00:00"/>
    <x v="8"/>
    <x v="0"/>
    <x v="223"/>
    <x v="1"/>
    <x v="2"/>
    <x v="9"/>
    <s v="Ibico Ibimaster 300 Manual Binding System"/>
    <n v="2060.7399999999998"/>
    <n v="7"/>
    <n v="643.98"/>
  </r>
  <r>
    <d v="2014-09-08T00:00:00"/>
    <x v="8"/>
    <x v="0"/>
    <x v="224"/>
    <x v="5"/>
    <x v="2"/>
    <x v="3"/>
    <s v="Great White Multi-Use Recycled Paper (20Lb. and 84 Bright)"/>
    <n v="5.98"/>
    <n v="1"/>
    <n v="2.69"/>
  </r>
  <r>
    <d v="2014-09-08T00:00:00"/>
    <x v="8"/>
    <x v="0"/>
    <x v="56"/>
    <x v="23"/>
    <x v="2"/>
    <x v="4"/>
    <s v="Super Bands, 12/Pack"/>
    <n v="4.46"/>
    <n v="3"/>
    <n v="-0.95"/>
  </r>
  <r>
    <d v="2014-09-08T00:00:00"/>
    <x v="8"/>
    <x v="0"/>
    <x v="56"/>
    <x v="23"/>
    <x v="2"/>
    <x v="9"/>
    <s v="Avery Hole Reinforcements"/>
    <n v="9.35"/>
    <n v="5"/>
    <n v="-6.54"/>
  </r>
  <r>
    <d v="2014-09-09T00:00:00"/>
    <x v="8"/>
    <x v="0"/>
    <x v="182"/>
    <x v="10"/>
    <x v="2"/>
    <x v="8"/>
    <s v="Alphabetical Labels for Top Tab Filing"/>
    <n v="103.6"/>
    <n v="7"/>
    <n v="51.8"/>
  </r>
  <r>
    <d v="2014-09-09T00:00:00"/>
    <x v="8"/>
    <x v="0"/>
    <x v="225"/>
    <x v="6"/>
    <x v="1"/>
    <x v="1"/>
    <s v="Global Italian Leather Office Chair"/>
    <n v="785.88"/>
    <n v="6"/>
    <n v="212.19"/>
  </r>
  <r>
    <d v="2014-09-09T00:00:00"/>
    <x v="8"/>
    <x v="0"/>
    <x v="225"/>
    <x v="6"/>
    <x v="2"/>
    <x v="3"/>
    <s v="Advantus Motivational Note Cards"/>
    <n v="26.2"/>
    <n v="2"/>
    <n v="12.84"/>
  </r>
  <r>
    <d v="2014-09-09T00:00:00"/>
    <x v="8"/>
    <x v="0"/>
    <x v="225"/>
    <x v="6"/>
    <x v="2"/>
    <x v="6"/>
    <s v="Tennsco 6- and 18-Compartment Lockers"/>
    <n v="1325.85"/>
    <n v="5"/>
    <n v="238.65"/>
  </r>
  <r>
    <d v="2014-09-09T00:00:00"/>
    <x v="8"/>
    <x v="0"/>
    <x v="226"/>
    <x v="13"/>
    <x v="2"/>
    <x v="3"/>
    <s v="Xerox 210"/>
    <n v="15.55"/>
    <n v="3"/>
    <n v="5.44"/>
  </r>
  <r>
    <d v="2014-09-09T00:00:00"/>
    <x v="8"/>
    <x v="0"/>
    <x v="226"/>
    <x v="13"/>
    <x v="0"/>
    <x v="0"/>
    <s v="Rosewill 107 Normal Keys USB Wired Standard Keyboard"/>
    <n v="64.7"/>
    <n v="6"/>
    <n v="-4.8499999999999996"/>
  </r>
  <r>
    <d v="2014-09-09T00:00:00"/>
    <x v="8"/>
    <x v="0"/>
    <x v="226"/>
    <x v="13"/>
    <x v="1"/>
    <x v="5"/>
    <s v="Master Caster Door Stop, Large Neon Orange"/>
    <n v="17.47"/>
    <n v="3"/>
    <n v="5.0199999999999996"/>
  </r>
  <r>
    <d v="2014-09-09T00:00:00"/>
    <x v="8"/>
    <x v="0"/>
    <x v="226"/>
    <x v="13"/>
    <x v="0"/>
    <x v="2"/>
    <s v="Polycom SoundPoint IP 450 VoIP phone"/>
    <n v="135.52000000000001"/>
    <n v="1"/>
    <n v="-31.62"/>
  </r>
  <r>
    <d v="2014-09-09T00:00:00"/>
    <x v="8"/>
    <x v="0"/>
    <x v="27"/>
    <x v="12"/>
    <x v="0"/>
    <x v="14"/>
    <s v="3D Systems Cube Printer, 2nd Generation, White"/>
    <n v="1299.99"/>
    <n v="2"/>
    <n v="-572"/>
  </r>
  <r>
    <d v="2014-09-09T00:00:00"/>
    <x v="8"/>
    <x v="0"/>
    <x v="227"/>
    <x v="18"/>
    <x v="1"/>
    <x v="5"/>
    <s v="Nu-Dell Executive Frame"/>
    <n v="60.67"/>
    <n v="6"/>
    <n v="12.89"/>
  </r>
  <r>
    <d v="2014-09-09T00:00:00"/>
    <x v="8"/>
    <x v="0"/>
    <x v="111"/>
    <x v="3"/>
    <x v="2"/>
    <x v="3"/>
    <s v="Ampad Poly Cover Wirebound Steno Book, 6&quot; x 9&quot; Assorted Colors, Gregg Ruled"/>
    <n v="10.9"/>
    <n v="3"/>
    <n v="3.41"/>
  </r>
  <r>
    <d v="2014-09-10T00:00:00"/>
    <x v="8"/>
    <x v="0"/>
    <x v="228"/>
    <x v="5"/>
    <x v="0"/>
    <x v="2"/>
    <s v="iOttie HLCRIO102 Car Mount"/>
    <n v="15.99"/>
    <n v="1"/>
    <n v="-3"/>
  </r>
  <r>
    <d v="2014-09-11T00:00:00"/>
    <x v="8"/>
    <x v="0"/>
    <x v="229"/>
    <x v="5"/>
    <x v="1"/>
    <x v="16"/>
    <s v="Sauder Mission Library with Doors, Fruitwood Finish"/>
    <n v="222.67"/>
    <n v="2"/>
    <n v="10.48"/>
  </r>
  <r>
    <d v="2014-09-11T00:00:00"/>
    <x v="8"/>
    <x v="0"/>
    <x v="229"/>
    <x v="5"/>
    <x v="0"/>
    <x v="2"/>
    <s v="Samsung Galaxy Note 3"/>
    <n v="703.97"/>
    <n v="4"/>
    <n v="88"/>
  </r>
  <r>
    <d v="2014-09-11T00:00:00"/>
    <x v="8"/>
    <x v="0"/>
    <x v="229"/>
    <x v="5"/>
    <x v="2"/>
    <x v="6"/>
    <s v="Decoflex Hanging Personal Folder File, Blue"/>
    <n v="92.52"/>
    <n v="6"/>
    <n v="24.98"/>
  </r>
  <r>
    <d v="2014-09-11T00:00:00"/>
    <x v="8"/>
    <x v="0"/>
    <x v="229"/>
    <x v="5"/>
    <x v="2"/>
    <x v="3"/>
    <s v="Recycled Desk Saver Line &quot;While You Were Out&quot; Book, 5 1/2&quot; X 4&quot;"/>
    <n v="62.65"/>
    <n v="7"/>
    <n v="28.82"/>
  </r>
  <r>
    <d v="2014-09-11T00:00:00"/>
    <x v="8"/>
    <x v="0"/>
    <x v="229"/>
    <x v="5"/>
    <x v="2"/>
    <x v="3"/>
    <s v="Xerox 1912"/>
    <n v="94.85"/>
    <n v="5"/>
    <n v="45.53"/>
  </r>
  <r>
    <d v="2014-09-11T00:00:00"/>
    <x v="8"/>
    <x v="0"/>
    <x v="230"/>
    <x v="2"/>
    <x v="1"/>
    <x v="5"/>
    <s v="Eldon 200 Class Desk Accessories, Black"/>
    <n v="56.52"/>
    <n v="9"/>
    <n v="21.48"/>
  </r>
  <r>
    <d v="2014-09-12T00:00:00"/>
    <x v="8"/>
    <x v="0"/>
    <x v="168"/>
    <x v="5"/>
    <x v="2"/>
    <x v="3"/>
    <s v="Xerox 1987"/>
    <n v="34.68"/>
    <n v="6"/>
    <n v="16.989999999999998"/>
  </r>
  <r>
    <d v="2014-09-12T00:00:00"/>
    <x v="8"/>
    <x v="0"/>
    <x v="231"/>
    <x v="23"/>
    <x v="2"/>
    <x v="6"/>
    <s v="Acco Perma 3000 Stacking Storage Drawers"/>
    <n v="100.7"/>
    <n v="6"/>
    <n v="-1.26"/>
  </r>
  <r>
    <d v="2014-09-12T00:00:00"/>
    <x v="8"/>
    <x v="0"/>
    <x v="162"/>
    <x v="4"/>
    <x v="2"/>
    <x v="3"/>
    <s v="Xerox 195"/>
    <n v="10.69"/>
    <n v="2"/>
    <n v="3.74"/>
  </r>
  <r>
    <d v="2014-09-12T00:00:00"/>
    <x v="8"/>
    <x v="0"/>
    <x v="162"/>
    <x v="4"/>
    <x v="2"/>
    <x v="6"/>
    <s v="Recycled Data-Pak for Archival Bound Computer Printouts, 12-1/2 x 12-1/2 x 16"/>
    <n v="237.1"/>
    <n v="3"/>
    <n v="20.75"/>
  </r>
  <r>
    <d v="2014-09-12T00:00:00"/>
    <x v="8"/>
    <x v="0"/>
    <x v="218"/>
    <x v="3"/>
    <x v="2"/>
    <x v="3"/>
    <s v="Astroparche Fine Business Paper"/>
    <n v="8.4499999999999993"/>
    <n v="2"/>
    <n v="2.96"/>
  </r>
  <r>
    <d v="2014-09-12T00:00:00"/>
    <x v="8"/>
    <x v="0"/>
    <x v="218"/>
    <x v="3"/>
    <x v="2"/>
    <x v="10"/>
    <s v="Tripp Lite TLP810NET Broadband Surge for Modem/Fax"/>
    <n v="20.39"/>
    <n v="2"/>
    <n v="-53.01"/>
  </r>
  <r>
    <d v="2014-09-12T00:00:00"/>
    <x v="8"/>
    <x v="0"/>
    <x v="185"/>
    <x v="13"/>
    <x v="0"/>
    <x v="12"/>
    <s v="Canon PC940 Copier"/>
    <n v="1079.98"/>
    <n v="4"/>
    <n v="126"/>
  </r>
  <r>
    <d v="2014-10-01T00:00:00"/>
    <x v="9"/>
    <x v="0"/>
    <x v="232"/>
    <x v="20"/>
    <x v="2"/>
    <x v="8"/>
    <s v="Avery 482"/>
    <n v="2.89"/>
    <n v="1"/>
    <n v="1.36"/>
  </r>
  <r>
    <d v="2014-10-01T00:00:00"/>
    <x v="9"/>
    <x v="0"/>
    <x v="232"/>
    <x v="20"/>
    <x v="1"/>
    <x v="5"/>
    <s v="Howard Miller 11-1/2&quot; Diameter Ridgewood Wall Clock"/>
    <n v="51.94"/>
    <n v="1"/>
    <n v="21.3"/>
  </r>
  <r>
    <d v="2014-10-03T00:00:00"/>
    <x v="9"/>
    <x v="0"/>
    <x v="190"/>
    <x v="15"/>
    <x v="2"/>
    <x v="11"/>
    <s v="BOSTON Ranger #55 Pencil Sharpener, Black"/>
    <n v="83.17"/>
    <n v="4"/>
    <n v="9.36"/>
  </r>
  <r>
    <d v="2014-10-05T00:00:00"/>
    <x v="9"/>
    <x v="0"/>
    <x v="233"/>
    <x v="1"/>
    <x v="2"/>
    <x v="13"/>
    <s v="Strathmore #10 Envelopes, Ultimate White"/>
    <n v="158.13"/>
    <n v="3"/>
    <n v="77.48"/>
  </r>
  <r>
    <d v="2014-10-05T00:00:00"/>
    <x v="9"/>
    <x v="0"/>
    <x v="233"/>
    <x v="1"/>
    <x v="0"/>
    <x v="2"/>
    <s v="LF Elite 3D Dazzle Designer Hard Case Cover, Lf Stylus Pen and Wiper For Apple Iphone 5c Mini Lite"/>
    <n v="43.6"/>
    <n v="5"/>
    <n v="4.3600000000000003"/>
  </r>
  <r>
    <d v="2014-10-05T00:00:00"/>
    <x v="9"/>
    <x v="0"/>
    <x v="234"/>
    <x v="13"/>
    <x v="1"/>
    <x v="16"/>
    <s v="Bestar Classic Bookcase"/>
    <n v="349.97"/>
    <n v="7"/>
    <n v="-216.98"/>
  </r>
  <r>
    <d v="2014-10-05T00:00:00"/>
    <x v="9"/>
    <x v="0"/>
    <x v="235"/>
    <x v="5"/>
    <x v="0"/>
    <x v="2"/>
    <s v="Wilson Electronics DB Pro Signal Booster"/>
    <n v="1432"/>
    <n v="5"/>
    <n v="125.3"/>
  </r>
  <r>
    <d v="2014-10-05T00:00:00"/>
    <x v="9"/>
    <x v="0"/>
    <x v="235"/>
    <x v="5"/>
    <x v="2"/>
    <x v="15"/>
    <s v="Acme Design Stainless Steel Bent Scissors"/>
    <n v="41.04"/>
    <n v="6"/>
    <n v="11.08"/>
  </r>
  <r>
    <d v="2014-10-05T00:00:00"/>
    <x v="9"/>
    <x v="0"/>
    <x v="235"/>
    <x v="5"/>
    <x v="1"/>
    <x v="1"/>
    <s v="Hon Pagoda Stacking Chairs"/>
    <n v="256.77999999999997"/>
    <n v="1"/>
    <n v="32.1"/>
  </r>
  <r>
    <d v="2014-10-06T00:00:00"/>
    <x v="9"/>
    <x v="0"/>
    <x v="236"/>
    <x v="10"/>
    <x v="2"/>
    <x v="8"/>
    <s v="Dot Matrix Printer Tape Reel Labels, White, 5000/Box"/>
    <n v="491.55"/>
    <n v="5"/>
    <n v="240.86"/>
  </r>
  <r>
    <d v="2014-10-09T00:00:00"/>
    <x v="9"/>
    <x v="0"/>
    <x v="237"/>
    <x v="20"/>
    <x v="2"/>
    <x v="9"/>
    <s v="Tuff Stuff Recycled Round Ring Binders"/>
    <n v="9.64"/>
    <n v="2"/>
    <n v="4.72"/>
  </r>
  <r>
    <d v="2014-10-09T00:00:00"/>
    <x v="9"/>
    <x v="0"/>
    <x v="49"/>
    <x v="16"/>
    <x v="2"/>
    <x v="13"/>
    <s v="Peel &amp; Seel Envelopes"/>
    <n v="21.73"/>
    <n v="7"/>
    <n v="7.6"/>
  </r>
  <r>
    <d v="2014-10-09T00:00:00"/>
    <x v="9"/>
    <x v="0"/>
    <x v="49"/>
    <x v="16"/>
    <x v="1"/>
    <x v="1"/>
    <s v="GuestStacker Chair with Chrome Finish Legs"/>
    <n v="1487.04"/>
    <n v="5"/>
    <n v="148.69999999999999"/>
  </r>
  <r>
    <d v="2014-10-09T00:00:00"/>
    <x v="9"/>
    <x v="0"/>
    <x v="238"/>
    <x v="8"/>
    <x v="2"/>
    <x v="10"/>
    <s v="Kensington 6 Outlet Guardian Standard Surge Protector"/>
    <n v="81.92"/>
    <n v="4"/>
    <n v="22.12"/>
  </r>
  <r>
    <d v="2014-10-09T00:00:00"/>
    <x v="9"/>
    <x v="0"/>
    <x v="238"/>
    <x v="8"/>
    <x v="1"/>
    <x v="5"/>
    <s v="Dana Fluorescent Magnifying Lamp, White, 36&quot;"/>
    <n v="254.9"/>
    <n v="5"/>
    <n v="76.47"/>
  </r>
  <r>
    <d v="2014-10-10T00:00:00"/>
    <x v="9"/>
    <x v="0"/>
    <x v="239"/>
    <x v="5"/>
    <x v="2"/>
    <x v="13"/>
    <s v="#10- 4 1/8&quot; x 9 1/2&quot; Security-Tint Envelopes"/>
    <n v="15.28"/>
    <n v="2"/>
    <n v="7.49"/>
  </r>
  <r>
    <d v="2014-10-10T00:00:00"/>
    <x v="9"/>
    <x v="0"/>
    <x v="151"/>
    <x v="23"/>
    <x v="1"/>
    <x v="5"/>
    <s v="Westinghouse Clip-On Gooseneck Lamps"/>
    <n v="46.87"/>
    <n v="7"/>
    <n v="3.52"/>
  </r>
  <r>
    <d v="2014-10-10T00:00:00"/>
    <x v="9"/>
    <x v="0"/>
    <x v="171"/>
    <x v="4"/>
    <x v="0"/>
    <x v="2"/>
    <s v="Cisco 8x8 Inc. 6753i IP Business Phone System"/>
    <n v="755.94"/>
    <n v="7"/>
    <n v="66.150000000000006"/>
  </r>
  <r>
    <d v="2014-10-10T00:00:00"/>
    <x v="9"/>
    <x v="0"/>
    <x v="171"/>
    <x v="4"/>
    <x v="2"/>
    <x v="9"/>
    <s v="GBC Personal VeloBind Strips"/>
    <n v="11.98"/>
    <n v="5"/>
    <n v="-19.170000000000002"/>
  </r>
  <r>
    <d v="2014-10-10T00:00:00"/>
    <x v="9"/>
    <x v="0"/>
    <x v="240"/>
    <x v="18"/>
    <x v="0"/>
    <x v="14"/>
    <s v="Hewlett-Packard Deskjet F4180 All-in-One Color Ink-jet - Printer / copier / scanner"/>
    <n v="101.99"/>
    <n v="2"/>
    <n v="-71.400000000000006"/>
  </r>
  <r>
    <d v="2014-10-10T00:00:00"/>
    <x v="9"/>
    <x v="0"/>
    <x v="240"/>
    <x v="18"/>
    <x v="2"/>
    <x v="9"/>
    <s v="Premier Elliptical Ring Binder, Black"/>
    <n v="18.260000000000002"/>
    <n v="2"/>
    <n v="-13.39"/>
  </r>
  <r>
    <d v="2014-10-10T00:00:00"/>
    <x v="9"/>
    <x v="0"/>
    <x v="241"/>
    <x v="35"/>
    <x v="2"/>
    <x v="11"/>
    <s v="Dixon Ticonderoga Core-Lock Colored Pencils, 48-Color Set"/>
    <n v="255.85"/>
    <n v="7"/>
    <n v="112.57"/>
  </r>
  <r>
    <d v="2014-10-11T00:00:00"/>
    <x v="9"/>
    <x v="0"/>
    <x v="121"/>
    <x v="5"/>
    <x v="0"/>
    <x v="2"/>
    <s v="Jabra SPEAK 410"/>
    <n v="601.54"/>
    <n v="8"/>
    <n v="60.15"/>
  </r>
  <r>
    <d v="2014-10-11T00:00:00"/>
    <x v="9"/>
    <x v="0"/>
    <x v="121"/>
    <x v="5"/>
    <x v="2"/>
    <x v="3"/>
    <s v="Southworth 100% RÃ©sumÃ© Paper, 24lb."/>
    <n v="62.24"/>
    <n v="8"/>
    <n v="28.01"/>
  </r>
  <r>
    <d v="2014-10-11T00:00:00"/>
    <x v="9"/>
    <x v="0"/>
    <x v="121"/>
    <x v="5"/>
    <x v="1"/>
    <x v="5"/>
    <s v="Eldon Expressions Punched Metal &amp; Wood Desk Accessories, Pewter &amp; Cherry"/>
    <n v="53.2"/>
    <n v="5"/>
    <n v="14.9"/>
  </r>
  <r>
    <d v="2014-10-11T00:00:00"/>
    <x v="9"/>
    <x v="0"/>
    <x v="121"/>
    <x v="5"/>
    <x v="2"/>
    <x v="8"/>
    <s v="Avery White Multi-Purpose Labels"/>
    <n v="39.840000000000003"/>
    <n v="8"/>
    <n v="18.329999999999998"/>
  </r>
  <r>
    <d v="2014-10-11T00:00:00"/>
    <x v="9"/>
    <x v="0"/>
    <x v="40"/>
    <x v="10"/>
    <x v="2"/>
    <x v="11"/>
    <s v="Avery Hi-Liter Comfort Grip Fluorescent Highlighter, Yellow Ink"/>
    <n v="3.9"/>
    <n v="2"/>
    <n v="1.52"/>
  </r>
  <r>
    <d v="2014-10-11T00:00:00"/>
    <x v="9"/>
    <x v="0"/>
    <x v="40"/>
    <x v="10"/>
    <x v="2"/>
    <x v="3"/>
    <s v="Xerox 199"/>
    <n v="12.84"/>
    <n v="3"/>
    <n v="5.78"/>
  </r>
  <r>
    <d v="2014-10-11T00:00:00"/>
    <x v="9"/>
    <x v="0"/>
    <x v="40"/>
    <x v="10"/>
    <x v="2"/>
    <x v="3"/>
    <s v="Xerox 4200 Series MultiUse Premium Copy Paper (20Lb. and 84 Bright)"/>
    <n v="15.84"/>
    <n v="3"/>
    <n v="7.13"/>
  </r>
  <r>
    <d v="2014-10-11T00:00:00"/>
    <x v="9"/>
    <x v="0"/>
    <x v="40"/>
    <x v="10"/>
    <x v="1"/>
    <x v="1"/>
    <s v="Hon Every-Day Series Multi-Task Chairs"/>
    <n v="563.94000000000005"/>
    <n v="3"/>
    <n v="112.79"/>
  </r>
  <r>
    <d v="2014-10-12T00:00:00"/>
    <x v="9"/>
    <x v="0"/>
    <x v="242"/>
    <x v="2"/>
    <x v="2"/>
    <x v="3"/>
    <s v="Adams Write n' Stick Phone Message Book, 11&quot; X 5 1/4&quot;, 200 Messages"/>
    <n v="11.36"/>
    <n v="2"/>
    <n v="5.23"/>
  </r>
  <r>
    <d v="2014-10-12T00:00:00"/>
    <x v="9"/>
    <x v="0"/>
    <x v="242"/>
    <x v="2"/>
    <x v="2"/>
    <x v="9"/>
    <s v="Poly Designer Cover &amp; Back"/>
    <n v="106.34"/>
    <n v="7"/>
    <n v="37.22"/>
  </r>
  <r>
    <d v="2014-10-12T00:00:00"/>
    <x v="9"/>
    <x v="0"/>
    <x v="243"/>
    <x v="36"/>
    <x v="1"/>
    <x v="1"/>
    <s v="Office Star - Contemporary Swivel Chair with Padded Adjustable Arms and Flex Back"/>
    <n v="338.35"/>
    <n v="3"/>
    <n v="4.2300000000000004"/>
  </r>
  <r>
    <d v="2014-10-12T00:00:00"/>
    <x v="9"/>
    <x v="0"/>
    <x v="243"/>
    <x v="36"/>
    <x v="2"/>
    <x v="3"/>
    <s v="Xerox 1931"/>
    <n v="25.92"/>
    <n v="4"/>
    <n v="12.44"/>
  </r>
  <r>
    <d v="2014-10-12T00:00:00"/>
    <x v="9"/>
    <x v="0"/>
    <x v="243"/>
    <x v="36"/>
    <x v="2"/>
    <x v="3"/>
    <s v="Xerox Color Copier Paper, 11&quot; x 17&quot;, Ream"/>
    <n v="91.36"/>
    <n v="4"/>
    <n v="42.03"/>
  </r>
  <r>
    <d v="2014-11-01T00:00:00"/>
    <x v="10"/>
    <x v="0"/>
    <x v="244"/>
    <x v="37"/>
    <x v="1"/>
    <x v="5"/>
    <s v="DAX Value U-Channel Document Frames, Easel Back"/>
    <n v="9.94"/>
    <n v="2"/>
    <n v="3.08"/>
  </r>
  <r>
    <d v="2014-11-02T00:00:00"/>
    <x v="10"/>
    <x v="0"/>
    <x v="245"/>
    <x v="22"/>
    <x v="2"/>
    <x v="8"/>
    <s v="Avery 483"/>
    <n v="14.94"/>
    <n v="3"/>
    <n v="6.87"/>
  </r>
  <r>
    <d v="2014-11-02T00:00:00"/>
    <x v="10"/>
    <x v="0"/>
    <x v="245"/>
    <x v="22"/>
    <x v="2"/>
    <x v="9"/>
    <s v="Wilson Jones Turn Tabs Binder Tool for Ring Binders"/>
    <n v="9.64"/>
    <n v="2"/>
    <n v="4.43"/>
  </r>
  <r>
    <d v="2014-11-02T00:00:00"/>
    <x v="10"/>
    <x v="0"/>
    <x v="245"/>
    <x v="22"/>
    <x v="1"/>
    <x v="5"/>
    <s v="Rubbermaid ClusterMat Chairmats, Mat Size- 66&quot; x 60&quot;, Lip 20&quot; x 11&quot; -90 Degree Angle"/>
    <n v="332.94"/>
    <n v="3"/>
    <n v="53.27"/>
  </r>
  <r>
    <d v="2014-11-02T00:00:00"/>
    <x v="10"/>
    <x v="0"/>
    <x v="245"/>
    <x v="22"/>
    <x v="2"/>
    <x v="9"/>
    <s v="VariCap6 Expandable Binder"/>
    <n v="51.9"/>
    <n v="3"/>
    <n v="24.39"/>
  </r>
  <r>
    <d v="2014-11-02T00:00:00"/>
    <x v="10"/>
    <x v="0"/>
    <x v="245"/>
    <x v="22"/>
    <x v="2"/>
    <x v="6"/>
    <s v="Fellowes Neat Ideas Storage Cubes"/>
    <n v="64.959999999999994"/>
    <n v="2"/>
    <n v="2.6"/>
  </r>
  <r>
    <d v="2014-11-03T00:00:00"/>
    <x v="10"/>
    <x v="0"/>
    <x v="246"/>
    <x v="18"/>
    <x v="1"/>
    <x v="5"/>
    <s v="Eldon Wave Desk Accessories"/>
    <n v="8.32"/>
    <n v="5"/>
    <n v="2.29"/>
  </r>
  <r>
    <d v="2014-11-03T00:00:00"/>
    <x v="10"/>
    <x v="0"/>
    <x v="246"/>
    <x v="18"/>
    <x v="2"/>
    <x v="4"/>
    <s v="Stockwell Push Pins"/>
    <n v="10.46"/>
    <n v="6"/>
    <n v="1.7"/>
  </r>
  <r>
    <d v="2014-11-03T00:00:00"/>
    <x v="10"/>
    <x v="0"/>
    <x v="247"/>
    <x v="17"/>
    <x v="2"/>
    <x v="10"/>
    <s v="Fellowes Premier Superior Surge Suppressor, 10-Outlet, With Phone and Remote"/>
    <n v="146.76"/>
    <n v="3"/>
    <n v="38.159999999999997"/>
  </r>
  <r>
    <d v="2014-11-03T00:00:00"/>
    <x v="10"/>
    <x v="0"/>
    <x v="247"/>
    <x v="17"/>
    <x v="2"/>
    <x v="3"/>
    <s v="Xerox 198"/>
    <n v="14.94"/>
    <n v="3"/>
    <n v="7.02"/>
  </r>
  <r>
    <d v="2014-11-03T00:00:00"/>
    <x v="10"/>
    <x v="0"/>
    <x v="240"/>
    <x v="5"/>
    <x v="2"/>
    <x v="11"/>
    <s v="Economy #2 Pencils"/>
    <n v="7.98"/>
    <n v="3"/>
    <n v="2.0699999999999998"/>
  </r>
  <r>
    <d v="2014-11-04T00:00:00"/>
    <x v="10"/>
    <x v="0"/>
    <x v="248"/>
    <x v="11"/>
    <x v="2"/>
    <x v="4"/>
    <s v="Acco Banker's Clasps, 5 3/4&quot;-Long"/>
    <n v="6.91"/>
    <n v="3"/>
    <n v="2.33"/>
  </r>
  <r>
    <d v="2014-11-04T00:00:00"/>
    <x v="10"/>
    <x v="0"/>
    <x v="248"/>
    <x v="11"/>
    <x v="2"/>
    <x v="3"/>
    <s v="Xerox 224"/>
    <n v="10.37"/>
    <n v="2"/>
    <n v="3.63"/>
  </r>
  <r>
    <d v="2014-11-04T00:00:00"/>
    <x v="10"/>
    <x v="0"/>
    <x v="248"/>
    <x v="11"/>
    <x v="0"/>
    <x v="0"/>
    <s v="Logitech Wireless Anywhere Mouse MX for PC and Mac"/>
    <n v="335.94"/>
    <n v="7"/>
    <n v="41.99"/>
  </r>
  <r>
    <d v="2014-11-04T00:00:00"/>
    <x v="10"/>
    <x v="0"/>
    <x v="249"/>
    <x v="4"/>
    <x v="0"/>
    <x v="2"/>
    <s v="Jawbone JAMBOX Wireless Bluetooth Speaker"/>
    <n v="758.35"/>
    <n v="6"/>
    <n v="265.42"/>
  </r>
  <r>
    <d v="2014-11-04T00:00:00"/>
    <x v="10"/>
    <x v="0"/>
    <x v="250"/>
    <x v="38"/>
    <x v="2"/>
    <x v="6"/>
    <s v="Eldon Simplefile Box Office"/>
    <n v="87.08"/>
    <n v="7"/>
    <n v="24.38"/>
  </r>
  <r>
    <d v="2014-11-04T00:00:00"/>
    <x v="10"/>
    <x v="0"/>
    <x v="250"/>
    <x v="38"/>
    <x v="0"/>
    <x v="2"/>
    <s v="AT&amp;T SB67148 SynJ"/>
    <n v="105.58"/>
    <n v="2"/>
    <n v="9.24"/>
  </r>
  <r>
    <d v="2014-11-04T00:00:00"/>
    <x v="10"/>
    <x v="0"/>
    <x v="250"/>
    <x v="38"/>
    <x v="0"/>
    <x v="0"/>
    <s v="Memorex Mini Travel Drive 64 GB USB 2.0 Flash Drive"/>
    <n v="217.44"/>
    <n v="6"/>
    <n v="91.32"/>
  </r>
  <r>
    <d v="2014-11-05T00:00:00"/>
    <x v="10"/>
    <x v="0"/>
    <x v="251"/>
    <x v="4"/>
    <x v="0"/>
    <x v="0"/>
    <s v="SanDisk Cruzer 64 GB USB Flash Drive"/>
    <n v="58.11"/>
    <n v="2"/>
    <n v="7.26"/>
  </r>
  <r>
    <d v="2014-11-05T00:00:00"/>
    <x v="10"/>
    <x v="0"/>
    <x v="251"/>
    <x v="4"/>
    <x v="0"/>
    <x v="2"/>
    <s v="Xblue XB-1670-86 X16 SmallÂ Office TelephoneÂ - Titanium"/>
    <n v="100.79"/>
    <n v="1"/>
    <n v="6.3"/>
  </r>
  <r>
    <d v="2014-11-05T00:00:00"/>
    <x v="10"/>
    <x v="0"/>
    <x v="251"/>
    <x v="4"/>
    <x v="1"/>
    <x v="5"/>
    <s v="Deflect-o EconoMat Studded, No Bevel Mat for Low Pile Carpeting"/>
    <n v="66.11"/>
    <n v="4"/>
    <n v="-84.29"/>
  </r>
  <r>
    <d v="2014-11-05T00:00:00"/>
    <x v="10"/>
    <x v="0"/>
    <x v="252"/>
    <x v="4"/>
    <x v="0"/>
    <x v="0"/>
    <s v="Logitech ClearChat Comfort/USB Headset H390"/>
    <n v="46.86"/>
    <n v="2"/>
    <n v="7.62"/>
  </r>
  <r>
    <d v="2014-11-05T00:00:00"/>
    <x v="10"/>
    <x v="0"/>
    <x v="253"/>
    <x v="3"/>
    <x v="2"/>
    <x v="9"/>
    <s v="Avery Arch Ring Binders"/>
    <n v="104.58"/>
    <n v="9"/>
    <n v="-172.56"/>
  </r>
  <r>
    <d v="2014-11-07T00:00:00"/>
    <x v="10"/>
    <x v="0"/>
    <x v="254"/>
    <x v="8"/>
    <x v="0"/>
    <x v="2"/>
    <s v="Cisco SPA508G"/>
    <n v="197.97"/>
    <n v="3"/>
    <n v="57.41"/>
  </r>
  <r>
    <d v="2014-11-07T00:00:00"/>
    <x v="10"/>
    <x v="0"/>
    <x v="254"/>
    <x v="8"/>
    <x v="1"/>
    <x v="1"/>
    <s v="Global Commerce Series High-Back Swivel/Tilt Chairs"/>
    <n v="854.94"/>
    <n v="3"/>
    <n v="213.74"/>
  </r>
  <r>
    <d v="2014-11-07T00:00:00"/>
    <x v="10"/>
    <x v="0"/>
    <x v="255"/>
    <x v="4"/>
    <x v="0"/>
    <x v="2"/>
    <s v="Polycom VVX 310 VoIP phone"/>
    <n v="575.97"/>
    <n v="4"/>
    <n v="43.2"/>
  </r>
  <r>
    <d v="2014-11-07T00:00:00"/>
    <x v="10"/>
    <x v="0"/>
    <x v="255"/>
    <x v="4"/>
    <x v="2"/>
    <x v="3"/>
    <s v="Xerox 200"/>
    <n v="10.37"/>
    <n v="2"/>
    <n v="3.63"/>
  </r>
  <r>
    <d v="2014-11-07T00:00:00"/>
    <x v="10"/>
    <x v="0"/>
    <x v="256"/>
    <x v="2"/>
    <x v="2"/>
    <x v="3"/>
    <s v="Xerox 1881"/>
    <n v="49.12"/>
    <n v="4"/>
    <n v="23.09"/>
  </r>
  <r>
    <d v="2014-11-07T00:00:00"/>
    <x v="10"/>
    <x v="0"/>
    <x v="256"/>
    <x v="2"/>
    <x v="2"/>
    <x v="9"/>
    <s v="Newell 3-Hole Punched Plastic Slotted Magazine Holders for Binders"/>
    <n v="18.28"/>
    <n v="5"/>
    <n v="6.4"/>
  </r>
  <r>
    <d v="2014-11-07T00:00:00"/>
    <x v="10"/>
    <x v="0"/>
    <x v="257"/>
    <x v="2"/>
    <x v="0"/>
    <x v="2"/>
    <s v="Cisco SPA112 2 Port Phone Adapter"/>
    <n v="164.85"/>
    <n v="3"/>
    <n v="47.81"/>
  </r>
  <r>
    <d v="2014-11-08T00:00:00"/>
    <x v="10"/>
    <x v="0"/>
    <x v="235"/>
    <x v="1"/>
    <x v="1"/>
    <x v="5"/>
    <s v="Eldon Image Series Desk Accessories, Ebony"/>
    <n v="12.35"/>
    <n v="1"/>
    <n v="5.43"/>
  </r>
  <r>
    <d v="2014-11-08T00:00:00"/>
    <x v="10"/>
    <x v="0"/>
    <x v="235"/>
    <x v="1"/>
    <x v="2"/>
    <x v="11"/>
    <s v="Sanford 52201 APSCO Electric Pencil Sharpener"/>
    <n v="40.97"/>
    <n v="1"/>
    <n v="10.65"/>
  </r>
  <r>
    <d v="2014-11-08T00:00:00"/>
    <x v="10"/>
    <x v="0"/>
    <x v="235"/>
    <x v="1"/>
    <x v="2"/>
    <x v="4"/>
    <s v="Vinyl Coated Wire Paper Clips in Organizer Box, 800/Box"/>
    <n v="22.96"/>
    <n v="2"/>
    <n v="10.79"/>
  </r>
  <r>
    <d v="2014-11-08T00:00:00"/>
    <x v="10"/>
    <x v="0"/>
    <x v="258"/>
    <x v="2"/>
    <x v="2"/>
    <x v="6"/>
    <s v="Tennsco Single-Tier Lockers"/>
    <n v="375.34"/>
    <n v="1"/>
    <n v="18.77"/>
  </r>
  <r>
    <d v="2014-11-09T00:00:00"/>
    <x v="10"/>
    <x v="0"/>
    <x v="259"/>
    <x v="5"/>
    <x v="1"/>
    <x v="5"/>
    <s v="Deflect-o DuraMat Lighweight, Studded, Beveled Mat for Low Pile Carpeting"/>
    <n v="127.95"/>
    <n v="3"/>
    <n v="21.75"/>
  </r>
  <r>
    <d v="2014-11-10T00:00:00"/>
    <x v="10"/>
    <x v="0"/>
    <x v="260"/>
    <x v="13"/>
    <x v="2"/>
    <x v="6"/>
    <s v="Fellowes High-Stak Drawer Files"/>
    <n v="281.89999999999998"/>
    <n v="2"/>
    <n v="10.57"/>
  </r>
  <r>
    <d v="2014-11-10T00:00:00"/>
    <x v="10"/>
    <x v="0"/>
    <x v="260"/>
    <x v="13"/>
    <x v="2"/>
    <x v="13"/>
    <s v="Airmail Envelopes"/>
    <n v="201.43"/>
    <n v="3"/>
    <n v="67.98"/>
  </r>
  <r>
    <d v="2014-11-10T00:00:00"/>
    <x v="10"/>
    <x v="0"/>
    <x v="261"/>
    <x v="1"/>
    <x v="1"/>
    <x v="5"/>
    <s v="DAX Cubicle Frames - 8x10"/>
    <n v="63.47"/>
    <n v="11"/>
    <n v="19.04"/>
  </r>
  <r>
    <d v="2014-11-10T00:00:00"/>
    <x v="10"/>
    <x v="0"/>
    <x v="261"/>
    <x v="1"/>
    <x v="0"/>
    <x v="0"/>
    <s v="WD My Passport Ultra 1TB Portable External Hard Drive"/>
    <n v="345"/>
    <n v="5"/>
    <n v="58.65"/>
  </r>
  <r>
    <d v="2014-11-10T00:00:00"/>
    <x v="10"/>
    <x v="0"/>
    <x v="262"/>
    <x v="5"/>
    <x v="2"/>
    <x v="6"/>
    <s v="Iris Project Case"/>
    <n v="31.92"/>
    <n v="4"/>
    <n v="8.3000000000000007"/>
  </r>
  <r>
    <d v="2014-11-10T00:00:00"/>
    <x v="10"/>
    <x v="0"/>
    <x v="262"/>
    <x v="5"/>
    <x v="1"/>
    <x v="1"/>
    <s v="Global Enterprise Series Seating High-Back Swivel/Tilt Chairs"/>
    <n v="433.57"/>
    <n v="2"/>
    <n v="-65.040000000000006"/>
  </r>
  <r>
    <d v="2014-11-10T00:00:00"/>
    <x v="10"/>
    <x v="0"/>
    <x v="263"/>
    <x v="9"/>
    <x v="1"/>
    <x v="5"/>
    <s v="Eldon Pizzaz Desk Accessories"/>
    <n v="8.92"/>
    <n v="4"/>
    <n v="3.92"/>
  </r>
  <r>
    <d v="2014-11-11T00:00:00"/>
    <x v="10"/>
    <x v="0"/>
    <x v="264"/>
    <x v="0"/>
    <x v="2"/>
    <x v="6"/>
    <s v="Stur-D-Stor Shelving, Vertical 5-Shelf: 72&quot;H x 36&quot;W x 18 1/2&quot;D"/>
    <n v="665.88"/>
    <n v="6"/>
    <n v="13.32"/>
  </r>
  <r>
    <d v="2014-11-11T00:00:00"/>
    <x v="10"/>
    <x v="0"/>
    <x v="265"/>
    <x v="15"/>
    <x v="2"/>
    <x v="11"/>
    <s v="BIC Brite Liner Grip Highlighters, Assorted, 5/Pack"/>
    <n v="3.39"/>
    <n v="1"/>
    <n v="0.81"/>
  </r>
  <r>
    <d v="2014-11-11T00:00:00"/>
    <x v="10"/>
    <x v="0"/>
    <x v="265"/>
    <x v="15"/>
    <x v="0"/>
    <x v="2"/>
    <s v="Samsung Galaxy S III - 16GB - pebble blue (T-Mobile)"/>
    <n v="559.98"/>
    <n v="2"/>
    <n v="56"/>
  </r>
  <r>
    <d v="2014-11-11T00:00:00"/>
    <x v="10"/>
    <x v="0"/>
    <x v="265"/>
    <x v="15"/>
    <x v="1"/>
    <x v="1"/>
    <s v="Global Airflow Leather Mesh Back Chair, Black"/>
    <n v="603.91999999999996"/>
    <n v="5"/>
    <n v="75.489999999999995"/>
  </r>
  <r>
    <d v="2014-11-11T00:00:00"/>
    <x v="10"/>
    <x v="0"/>
    <x v="266"/>
    <x v="4"/>
    <x v="2"/>
    <x v="9"/>
    <s v="Universal Recycled Hanging Pressboard Report Binders, Letter Size"/>
    <n v="1.23"/>
    <n v="1"/>
    <n v="-1.97"/>
  </r>
  <r>
    <d v="2014-11-11T00:00:00"/>
    <x v="10"/>
    <x v="0"/>
    <x v="266"/>
    <x v="4"/>
    <x v="2"/>
    <x v="11"/>
    <s v="Boston Electric Pencil Sharpener, Model 1818, Charcoal Black"/>
    <n v="67.56"/>
    <n v="3"/>
    <n v="6.76"/>
  </r>
  <r>
    <d v="2014-11-11T00:00:00"/>
    <x v="10"/>
    <x v="0"/>
    <x v="266"/>
    <x v="4"/>
    <x v="2"/>
    <x v="3"/>
    <s v="Wirebound Message Book, 4 per Page"/>
    <n v="21.72"/>
    <n v="5"/>
    <n v="7.87"/>
  </r>
  <r>
    <d v="2014-11-11T00:00:00"/>
    <x v="10"/>
    <x v="0"/>
    <x v="266"/>
    <x v="4"/>
    <x v="0"/>
    <x v="2"/>
    <s v="Geemarc AmpliPOWER60"/>
    <n v="148.47999999999999"/>
    <n v="2"/>
    <n v="16.7"/>
  </r>
  <r>
    <d v="2014-11-11T00:00:00"/>
    <x v="10"/>
    <x v="0"/>
    <x v="266"/>
    <x v="4"/>
    <x v="0"/>
    <x v="2"/>
    <s v="Classic Ivory AntiqueÂ TelephoneÂ ZL1810"/>
    <n v="241.18"/>
    <n v="3"/>
    <n v="15.07"/>
  </r>
  <r>
    <d v="2014-11-11T00:00:00"/>
    <x v="10"/>
    <x v="0"/>
    <x v="267"/>
    <x v="5"/>
    <x v="2"/>
    <x v="11"/>
    <s v="50 Colored Long Pencils"/>
    <n v="30.48"/>
    <n v="3"/>
    <n v="7.92"/>
  </r>
  <r>
    <d v="2014-11-11T00:00:00"/>
    <x v="10"/>
    <x v="0"/>
    <x v="267"/>
    <x v="5"/>
    <x v="1"/>
    <x v="1"/>
    <s v="Hon Olson Stacker Stools"/>
    <n v="112.65"/>
    <n v="1"/>
    <n v="11.26"/>
  </r>
  <r>
    <d v="2014-11-11T00:00:00"/>
    <x v="10"/>
    <x v="0"/>
    <x v="268"/>
    <x v="13"/>
    <x v="1"/>
    <x v="5"/>
    <s v="GE 4 Foot Flourescent Tube, 40 Watt"/>
    <n v="23.97"/>
    <n v="2"/>
    <n v="7.79"/>
  </r>
  <r>
    <d v="2014-11-11T00:00:00"/>
    <x v="10"/>
    <x v="0"/>
    <x v="268"/>
    <x v="13"/>
    <x v="1"/>
    <x v="16"/>
    <s v="Atlantic Metals Mobile 3-Shelf Bookcases, Custom Colors"/>
    <n v="521.96"/>
    <n v="4"/>
    <n v="-250.54"/>
  </r>
  <r>
    <d v="2014-11-11T00:00:00"/>
    <x v="10"/>
    <x v="0"/>
    <x v="195"/>
    <x v="5"/>
    <x v="2"/>
    <x v="3"/>
    <s v="Xerox 1979"/>
    <n v="123.92"/>
    <n v="4"/>
    <n v="55.76"/>
  </r>
  <r>
    <d v="2014-11-11T00:00:00"/>
    <x v="10"/>
    <x v="0"/>
    <x v="100"/>
    <x v="1"/>
    <x v="2"/>
    <x v="9"/>
    <s v="Fellowes PB500 Electric Punch Plastic Comb Binding Machine with Manual Bind"/>
    <n v="2033.58"/>
    <n v="2"/>
    <n v="762.59"/>
  </r>
  <r>
    <d v="2014-11-11T00:00:00"/>
    <x v="10"/>
    <x v="0"/>
    <x v="214"/>
    <x v="3"/>
    <x v="1"/>
    <x v="5"/>
    <s v="DAX Wood Document Frame."/>
    <n v="10.98"/>
    <n v="2"/>
    <n v="-7.96"/>
  </r>
  <r>
    <d v="2014-11-11T00:00:00"/>
    <x v="10"/>
    <x v="0"/>
    <x v="37"/>
    <x v="2"/>
    <x v="2"/>
    <x v="3"/>
    <s v="Wirebound Message Books, Four 2 3/4&quot; x 5&quot; Forms per Page, 600 Sets per Book"/>
    <n v="46.35"/>
    <n v="5"/>
    <n v="21.78"/>
  </r>
  <r>
    <d v="2014-11-11T00:00:00"/>
    <x v="10"/>
    <x v="0"/>
    <x v="37"/>
    <x v="2"/>
    <x v="2"/>
    <x v="3"/>
    <s v="Xerox 1882"/>
    <n v="223.92"/>
    <n v="4"/>
    <n v="109.72"/>
  </r>
  <r>
    <d v="2014-11-11T00:00:00"/>
    <x v="10"/>
    <x v="0"/>
    <x v="37"/>
    <x v="2"/>
    <x v="2"/>
    <x v="15"/>
    <s v="Acme Value Line Scissors"/>
    <n v="7.3"/>
    <n v="2"/>
    <n v="2.19"/>
  </r>
  <r>
    <d v="2014-12-02T00:00:00"/>
    <x v="11"/>
    <x v="0"/>
    <x v="53"/>
    <x v="5"/>
    <x v="1"/>
    <x v="1"/>
    <s v="Global Geo Office Task Chair, Gray"/>
    <n v="129.57"/>
    <n v="2"/>
    <n v="-24.29"/>
  </r>
  <r>
    <d v="2014-12-04T00:00:00"/>
    <x v="11"/>
    <x v="0"/>
    <x v="269"/>
    <x v="5"/>
    <x v="0"/>
    <x v="2"/>
    <s v="AT&amp;T 1080 Corded phone"/>
    <n v="438.37"/>
    <n v="4"/>
    <n v="38.36"/>
  </r>
  <r>
    <d v="2014-12-04T00:00:00"/>
    <x v="11"/>
    <x v="0"/>
    <x v="269"/>
    <x v="5"/>
    <x v="2"/>
    <x v="9"/>
    <s v="Recycled Pressboard Report Cover with Reinforced Top Hinge"/>
    <n v="18.09"/>
    <n v="7"/>
    <n v="6.56"/>
  </r>
  <r>
    <d v="2014-12-04T00:00:00"/>
    <x v="11"/>
    <x v="0"/>
    <x v="269"/>
    <x v="5"/>
    <x v="1"/>
    <x v="16"/>
    <s v="O'Sullivan Living Dimensions 2-Shelf Bookcases"/>
    <n v="308.5"/>
    <n v="3"/>
    <n v="-18.149999999999999"/>
  </r>
  <r>
    <d v="2014-12-04T00:00:00"/>
    <x v="11"/>
    <x v="0"/>
    <x v="45"/>
    <x v="33"/>
    <x v="2"/>
    <x v="3"/>
    <s v="Xerox 213"/>
    <n v="32.4"/>
    <n v="5"/>
    <n v="15.55"/>
  </r>
  <r>
    <d v="2014-12-04T00:00:00"/>
    <x v="11"/>
    <x v="0"/>
    <x v="270"/>
    <x v="5"/>
    <x v="2"/>
    <x v="11"/>
    <s v="Prismacolor Color Pencil Set"/>
    <n v="39.68"/>
    <n v="2"/>
    <n v="16.27"/>
  </r>
  <r>
    <d v="2014-12-05T00:00:00"/>
    <x v="11"/>
    <x v="0"/>
    <x v="190"/>
    <x v="6"/>
    <x v="1"/>
    <x v="7"/>
    <s v="Bevis Traditional Conference Table Top, Plinth Base"/>
    <n v="700.06"/>
    <n v="3"/>
    <n v="-130.01"/>
  </r>
  <r>
    <d v="2014-12-07T00:00:00"/>
    <x v="11"/>
    <x v="0"/>
    <x v="271"/>
    <x v="5"/>
    <x v="1"/>
    <x v="7"/>
    <s v="Hon 5100 Series Wood Tables"/>
    <n v="698.35"/>
    <n v="3"/>
    <n v="-17.46"/>
  </r>
  <r>
    <d v="2014-12-07T00:00:00"/>
    <x v="11"/>
    <x v="0"/>
    <x v="272"/>
    <x v="5"/>
    <x v="0"/>
    <x v="2"/>
    <s v="GE DSL Phone Line Filter"/>
    <n v="255.94"/>
    <n v="8"/>
    <n v="28.79"/>
  </r>
  <r>
    <d v="2014-12-07T00:00:00"/>
    <x v="11"/>
    <x v="0"/>
    <x v="49"/>
    <x v="1"/>
    <x v="1"/>
    <x v="1"/>
    <s v="Safco Chair Connectors, 6/Carton"/>
    <n v="123.14"/>
    <n v="4"/>
    <n v="13.85"/>
  </r>
  <r>
    <d v="2014-12-07T00:00:00"/>
    <x v="11"/>
    <x v="0"/>
    <x v="49"/>
    <x v="1"/>
    <x v="2"/>
    <x v="9"/>
    <s v="Self-Adhesive Ring Binder Labels"/>
    <n v="11.26"/>
    <n v="4"/>
    <n v="3.8"/>
  </r>
  <r>
    <d v="2014-12-07T00:00:00"/>
    <x v="11"/>
    <x v="0"/>
    <x v="273"/>
    <x v="3"/>
    <x v="2"/>
    <x v="3"/>
    <s v="Xerox 1949"/>
    <n v="35.86"/>
    <n v="9"/>
    <n v="13"/>
  </r>
  <r>
    <d v="2014-12-07T00:00:00"/>
    <x v="11"/>
    <x v="0"/>
    <x v="273"/>
    <x v="3"/>
    <x v="0"/>
    <x v="0"/>
    <s v="Verbatim 25 GB 6x Blu-ray Single Layer Recordable Disc, 1/Pack"/>
    <n v="23.84"/>
    <n v="4"/>
    <n v="3.28"/>
  </r>
  <r>
    <d v="2014-12-07T00:00:00"/>
    <x v="11"/>
    <x v="0"/>
    <x v="274"/>
    <x v="4"/>
    <x v="1"/>
    <x v="1"/>
    <s v="Hon Deluxe Fabric Upholstered Stacking Chairs"/>
    <n v="512.36"/>
    <n v="3"/>
    <n v="-14.64"/>
  </r>
  <r>
    <d v="2014-12-07T00:00:00"/>
    <x v="11"/>
    <x v="0"/>
    <x v="274"/>
    <x v="4"/>
    <x v="2"/>
    <x v="11"/>
    <s v="Fluorescent Highlighters by Dixon"/>
    <n v="22.29"/>
    <n v="7"/>
    <n v="3.9"/>
  </r>
  <r>
    <d v="2014-12-08T00:00:00"/>
    <x v="11"/>
    <x v="0"/>
    <x v="275"/>
    <x v="8"/>
    <x v="2"/>
    <x v="9"/>
    <s v="Performers Binder/Pad Holder, Black"/>
    <n v="196.21"/>
    <n v="7"/>
    <n v="98.11"/>
  </r>
  <r>
    <d v="2014-12-08T00:00:00"/>
    <x v="11"/>
    <x v="0"/>
    <x v="276"/>
    <x v="5"/>
    <x v="0"/>
    <x v="2"/>
    <s v="BlackBerry Q10"/>
    <n v="806.34"/>
    <n v="8"/>
    <n v="50.4"/>
  </r>
  <r>
    <d v="2014-12-08T00:00:00"/>
    <x v="11"/>
    <x v="0"/>
    <x v="277"/>
    <x v="11"/>
    <x v="2"/>
    <x v="3"/>
    <s v="Xerox 229"/>
    <n v="31.1"/>
    <n v="6"/>
    <n v="10.89"/>
  </r>
  <r>
    <d v="2014-12-08T00:00:00"/>
    <x v="11"/>
    <x v="0"/>
    <x v="277"/>
    <x v="11"/>
    <x v="2"/>
    <x v="11"/>
    <s v="Bulldog Vacuum Base Pencil Sharpener"/>
    <n v="47.96"/>
    <n v="5"/>
    <n v="4.2"/>
  </r>
  <r>
    <d v="2014-12-08T00:00:00"/>
    <x v="11"/>
    <x v="0"/>
    <x v="277"/>
    <x v="11"/>
    <x v="2"/>
    <x v="10"/>
    <s v="Acco Smartsocket Color-Coded Six-Outlet AC Adapter Model Surge Protectors"/>
    <n v="211.25"/>
    <n v="6"/>
    <n v="15.84"/>
  </r>
  <r>
    <d v="2014-12-08T00:00:00"/>
    <x v="11"/>
    <x v="0"/>
    <x v="277"/>
    <x v="11"/>
    <x v="2"/>
    <x v="8"/>
    <s v="Avery 501"/>
    <n v="2.95"/>
    <n v="1"/>
    <n v="1"/>
  </r>
  <r>
    <d v="2014-12-08T00:00:00"/>
    <x v="11"/>
    <x v="0"/>
    <x v="278"/>
    <x v="19"/>
    <x v="2"/>
    <x v="9"/>
    <s v="Acco Translucent Poly Ring Binders"/>
    <n v="14.04"/>
    <n v="3"/>
    <n v="6.74"/>
  </r>
  <r>
    <d v="2014-12-09T00:00:00"/>
    <x v="11"/>
    <x v="0"/>
    <x v="279"/>
    <x v="12"/>
    <x v="2"/>
    <x v="3"/>
    <s v="Xerox 220"/>
    <n v="10.37"/>
    <n v="2"/>
    <n v="3.63"/>
  </r>
  <r>
    <d v="2014-12-09T00:00:00"/>
    <x v="11"/>
    <x v="0"/>
    <x v="279"/>
    <x v="12"/>
    <x v="0"/>
    <x v="0"/>
    <s v="SanDisk Cruzer 32 GB USB Flash Drive"/>
    <n v="15.22"/>
    <n v="1"/>
    <n v="2.2799999999999998"/>
  </r>
  <r>
    <d v="2014-12-09T00:00:00"/>
    <x v="11"/>
    <x v="0"/>
    <x v="280"/>
    <x v="4"/>
    <x v="2"/>
    <x v="9"/>
    <s v="Wilson Jones Impact Binders"/>
    <n v="5.18"/>
    <n v="5"/>
    <n v="-8.0299999999999994"/>
  </r>
  <r>
    <d v="2014-12-09T00:00:00"/>
    <x v="11"/>
    <x v="0"/>
    <x v="281"/>
    <x v="39"/>
    <x v="0"/>
    <x v="0"/>
    <s v="SanDisk Cruzer 16 GB USB Flash Drive"/>
    <n v="57.4"/>
    <n v="5"/>
    <n v="10.91"/>
  </r>
  <r>
    <d v="2014-12-09T00:00:00"/>
    <x v="11"/>
    <x v="0"/>
    <x v="281"/>
    <x v="39"/>
    <x v="2"/>
    <x v="9"/>
    <s v="GBC DocuBind P100 Manual Binding Machine"/>
    <n v="331.96"/>
    <n v="2"/>
    <n v="149.38"/>
  </r>
  <r>
    <d v="2014-12-09T00:00:00"/>
    <x v="11"/>
    <x v="0"/>
    <x v="281"/>
    <x v="39"/>
    <x v="1"/>
    <x v="5"/>
    <s v="Seth Thomas 8 1/2&quot; Cubicle Clock"/>
    <n v="40.56"/>
    <n v="2"/>
    <n v="12.98"/>
  </r>
  <r>
    <d v="2014-12-09T00:00:00"/>
    <x v="11"/>
    <x v="0"/>
    <x v="282"/>
    <x v="2"/>
    <x v="1"/>
    <x v="1"/>
    <s v="HON 5400 Series Task Chairs for Big and Tall"/>
    <n v="3785.29"/>
    <n v="6"/>
    <n v="420.59"/>
  </r>
  <r>
    <d v="2014-12-10T00:00:00"/>
    <x v="11"/>
    <x v="0"/>
    <x v="207"/>
    <x v="5"/>
    <x v="2"/>
    <x v="11"/>
    <s v="Premium Writing Pencils, Soft, #2 by Central Association for the Blind"/>
    <n v="14.9"/>
    <n v="5"/>
    <n v="4.17"/>
  </r>
  <r>
    <d v="2014-12-10T00:00:00"/>
    <x v="11"/>
    <x v="0"/>
    <x v="207"/>
    <x v="5"/>
    <x v="2"/>
    <x v="6"/>
    <s v="Sortfiler Multipurpose Personal File Organizer, Black"/>
    <n v="21.39"/>
    <n v="1"/>
    <n v="6.2"/>
  </r>
  <r>
    <d v="2014-12-10T00:00:00"/>
    <x v="11"/>
    <x v="0"/>
    <x v="283"/>
    <x v="3"/>
    <x v="2"/>
    <x v="15"/>
    <s v="Acme Hot Forged Carbon Steel Scissors with Nickel-Plated Handles, 3 7/8&quot; Cut, 8&quot;L"/>
    <n v="22.24"/>
    <n v="2"/>
    <n v="2.5"/>
  </r>
  <r>
    <d v="2014-12-11T00:00:00"/>
    <x v="11"/>
    <x v="0"/>
    <x v="284"/>
    <x v="4"/>
    <x v="2"/>
    <x v="6"/>
    <s v="Personal Filing Tote with Lid, Black/Gray"/>
    <n v="49.63"/>
    <n v="4"/>
    <n v="4.96"/>
  </r>
  <r>
    <d v="2014-12-11T00:00:00"/>
    <x v="11"/>
    <x v="0"/>
    <x v="285"/>
    <x v="5"/>
    <x v="2"/>
    <x v="3"/>
    <s v="Xerox 1974"/>
    <n v="11.96"/>
    <n v="2"/>
    <n v="5.86"/>
  </r>
  <r>
    <d v="2014-12-11T00:00:00"/>
    <x v="11"/>
    <x v="0"/>
    <x v="285"/>
    <x v="5"/>
    <x v="1"/>
    <x v="7"/>
    <s v="Bevis Boat-Shaped Conference Table"/>
    <n v="629.05999999999995"/>
    <n v="3"/>
    <n v="31.45"/>
  </r>
  <r>
    <d v="2014-12-11T00:00:00"/>
    <x v="11"/>
    <x v="0"/>
    <x v="286"/>
    <x v="4"/>
    <x v="2"/>
    <x v="11"/>
    <s v="Avery Fluorescent Highlighter Four-Color Set"/>
    <n v="2.67"/>
    <n v="1"/>
    <n v="0.33"/>
  </r>
  <r>
    <d v="2014-12-11T00:00:00"/>
    <x v="11"/>
    <x v="0"/>
    <x v="286"/>
    <x v="4"/>
    <x v="0"/>
    <x v="0"/>
    <s v="ImationÂ 16GB Mini TravelDrive USB 2.0Â Flash Drive"/>
    <n v="79.510000000000005"/>
    <n v="3"/>
    <n v="20.87"/>
  </r>
  <r>
    <d v="2014-12-11T00:00:00"/>
    <x v="11"/>
    <x v="0"/>
    <x v="67"/>
    <x v="4"/>
    <x v="1"/>
    <x v="5"/>
    <s v="GE General Use Halogen Bulbs, 100 Watts, 1 Bulb per Pack"/>
    <n v="25.13"/>
    <n v="3"/>
    <n v="-6.91"/>
  </r>
  <r>
    <d v="2014-12-11T00:00:00"/>
    <x v="11"/>
    <x v="0"/>
    <x v="67"/>
    <x v="4"/>
    <x v="0"/>
    <x v="0"/>
    <s v="Logitech G602 Wireless Gaming Mouse"/>
    <n v="127.98"/>
    <n v="2"/>
    <n v="25.6"/>
  </r>
  <r>
    <d v="2014-12-12T00:00:00"/>
    <x v="11"/>
    <x v="0"/>
    <x v="134"/>
    <x v="5"/>
    <x v="1"/>
    <x v="7"/>
    <s v="Hon Non-Folding Utility Tables"/>
    <n v="764.69"/>
    <n v="6"/>
    <n v="95.59"/>
  </r>
  <r>
    <d v="2014-12-12T00:00:00"/>
    <x v="11"/>
    <x v="0"/>
    <x v="134"/>
    <x v="5"/>
    <x v="1"/>
    <x v="7"/>
    <s v="Bretford Rectangular Conference Table Tops"/>
    <n v="3610.85"/>
    <n v="12"/>
    <n v="135.41"/>
  </r>
  <r>
    <d v="2014-12-12T00:00:00"/>
    <x v="11"/>
    <x v="0"/>
    <x v="114"/>
    <x v="5"/>
    <x v="1"/>
    <x v="5"/>
    <s v="Eldon Advantage Chair Mats for Low to Medium Pile Carpets"/>
    <n v="43.31"/>
    <n v="1"/>
    <n v="4.33"/>
  </r>
  <r>
    <d v="2014-12-12T00:00:00"/>
    <x v="11"/>
    <x v="0"/>
    <x v="287"/>
    <x v="4"/>
    <x v="2"/>
    <x v="9"/>
    <s v="GBC DocuBind 300 Electric Binding Machine"/>
    <n v="210.39"/>
    <n v="2"/>
    <n v="-336.63"/>
  </r>
  <r>
    <d v="2014-12-12T00:00:00"/>
    <x v="11"/>
    <x v="0"/>
    <x v="288"/>
    <x v="5"/>
    <x v="1"/>
    <x v="5"/>
    <s v="Eldon Image Series Desk Accessories, Burgundy"/>
    <n v="12.54"/>
    <n v="3"/>
    <n v="4.51"/>
  </r>
  <r>
    <d v="2014-12-12T00:00:00"/>
    <x v="11"/>
    <x v="0"/>
    <x v="288"/>
    <x v="5"/>
    <x v="2"/>
    <x v="6"/>
    <s v="Woodgrain Magazine Files by Perma"/>
    <n v="8.94"/>
    <n v="3"/>
    <n v="0.63"/>
  </r>
  <r>
    <d v="2014-12-12T00:00:00"/>
    <x v="11"/>
    <x v="0"/>
    <x v="288"/>
    <x v="5"/>
    <x v="1"/>
    <x v="5"/>
    <s v="Longer-Life Soft White Bulbs"/>
    <n v="9.24"/>
    <n v="3"/>
    <n v="4.4400000000000004"/>
  </r>
  <r>
    <d v="2015-01-03T00:00:00"/>
    <x v="0"/>
    <x v="1"/>
    <x v="289"/>
    <x v="19"/>
    <x v="2"/>
    <x v="9"/>
    <s v="XtraLife ClearVue Slant-D Ring Binder, White, 3&quot;"/>
    <n v="58.72"/>
    <n v="4"/>
    <n v="27.01"/>
  </r>
  <r>
    <d v="2015-01-03T00:00:00"/>
    <x v="0"/>
    <x v="1"/>
    <x v="290"/>
    <x v="5"/>
    <x v="1"/>
    <x v="1"/>
    <s v="Global Deluxe Steno Chair"/>
    <n v="184.75"/>
    <n v="3"/>
    <n v="-20.78"/>
  </r>
  <r>
    <d v="2015-01-03T00:00:00"/>
    <x v="0"/>
    <x v="1"/>
    <x v="30"/>
    <x v="13"/>
    <x v="2"/>
    <x v="10"/>
    <s v="Hoover Replacement Belt for Commercial Guardsman Heavy-Duty Upright Vacuum"/>
    <n v="3.55"/>
    <n v="2"/>
    <n v="0.44"/>
  </r>
  <r>
    <d v="2015-01-03T00:00:00"/>
    <x v="0"/>
    <x v="1"/>
    <x v="171"/>
    <x v="4"/>
    <x v="2"/>
    <x v="11"/>
    <s v="Panasonic KP-350BK Electric Pencil Sharpener with Auto Stop"/>
    <n v="55.33"/>
    <n v="2"/>
    <n v="6.22"/>
  </r>
  <r>
    <d v="2015-01-03T00:00:00"/>
    <x v="0"/>
    <x v="1"/>
    <x v="171"/>
    <x v="4"/>
    <x v="1"/>
    <x v="16"/>
    <s v="Atlantic Metals Mobile 5-Shelf Bookcases, Custom Colors"/>
    <n v="1228"/>
    <n v="6"/>
    <n v="-36.119999999999997"/>
  </r>
  <r>
    <d v="2015-01-03T00:00:00"/>
    <x v="0"/>
    <x v="1"/>
    <x v="291"/>
    <x v="4"/>
    <x v="0"/>
    <x v="2"/>
    <s v="Jackery Bar Premium Fast-charging Portable Charger"/>
    <n v="95.84"/>
    <n v="4"/>
    <n v="34.74"/>
  </r>
  <r>
    <d v="2015-01-05T00:00:00"/>
    <x v="0"/>
    <x v="1"/>
    <x v="292"/>
    <x v="5"/>
    <x v="0"/>
    <x v="2"/>
    <s v="OtterBox Defender Series Case - iPhone 5c"/>
    <n v="88.75"/>
    <n v="3"/>
    <n v="11.09"/>
  </r>
  <r>
    <d v="2015-01-05T00:00:00"/>
    <x v="0"/>
    <x v="1"/>
    <x v="293"/>
    <x v="11"/>
    <x v="2"/>
    <x v="15"/>
    <s v="Fiskars 8&quot; Scissors, 2/Pack"/>
    <n v="41.38"/>
    <n v="3"/>
    <n v="4.6500000000000004"/>
  </r>
  <r>
    <d v="2015-01-05T00:00:00"/>
    <x v="0"/>
    <x v="1"/>
    <x v="293"/>
    <x v="11"/>
    <x v="2"/>
    <x v="11"/>
    <s v="Panasonic KP-380BK Classic Electric Pencil Sharpener"/>
    <n v="172.7"/>
    <n v="6"/>
    <n v="10.79"/>
  </r>
  <r>
    <d v="2015-01-05T00:00:00"/>
    <x v="0"/>
    <x v="1"/>
    <x v="294"/>
    <x v="5"/>
    <x v="2"/>
    <x v="9"/>
    <s v="GBC Twin Loop Wire Binding Elements, 9/16&quot; Spine, Black"/>
    <n v="12.18"/>
    <n v="1"/>
    <n v="4.41"/>
  </r>
  <r>
    <d v="2015-01-05T00:00:00"/>
    <x v="0"/>
    <x v="1"/>
    <x v="294"/>
    <x v="5"/>
    <x v="2"/>
    <x v="15"/>
    <s v="Acme 10&quot; Easy Grip Assistive Scissors"/>
    <n v="35.06"/>
    <n v="2"/>
    <n v="10.52"/>
  </r>
  <r>
    <d v="2015-01-06T00:00:00"/>
    <x v="0"/>
    <x v="1"/>
    <x v="73"/>
    <x v="4"/>
    <x v="2"/>
    <x v="9"/>
    <s v="Avery Poly Binder Pockets"/>
    <n v="5.73"/>
    <n v="8"/>
    <n v="-9.16"/>
  </r>
  <r>
    <d v="2015-01-06T00:00:00"/>
    <x v="0"/>
    <x v="1"/>
    <x v="73"/>
    <x v="4"/>
    <x v="2"/>
    <x v="3"/>
    <s v="Xerox 1928"/>
    <n v="42.24"/>
    <n v="10"/>
    <n v="13.2"/>
  </r>
  <r>
    <d v="2015-01-06T00:00:00"/>
    <x v="0"/>
    <x v="1"/>
    <x v="69"/>
    <x v="10"/>
    <x v="0"/>
    <x v="2"/>
    <s v="iKross Bluetooth Portable Keyboard + Cell Phone Stand Holder + Brush for Apple iPhone 5S 5C 5, 4S 4"/>
    <n v="41.9"/>
    <n v="2"/>
    <n v="11.73"/>
  </r>
  <r>
    <d v="2015-01-06T00:00:00"/>
    <x v="0"/>
    <x v="1"/>
    <x v="69"/>
    <x v="10"/>
    <x v="2"/>
    <x v="8"/>
    <s v="Avery 491"/>
    <n v="28.91"/>
    <n v="7"/>
    <n v="13.3"/>
  </r>
  <r>
    <d v="2015-01-09T00:00:00"/>
    <x v="0"/>
    <x v="1"/>
    <x v="295"/>
    <x v="6"/>
    <x v="2"/>
    <x v="9"/>
    <s v="Deluxe Heavy-Duty Vinyl Round Ring Binder"/>
    <n v="114.6"/>
    <n v="5"/>
    <n v="51.57"/>
  </r>
  <r>
    <d v="2015-01-09T00:00:00"/>
    <x v="0"/>
    <x v="1"/>
    <x v="295"/>
    <x v="6"/>
    <x v="1"/>
    <x v="5"/>
    <s v="Deflect-o Glass Clear Studded Chair Mats"/>
    <n v="124.36"/>
    <n v="2"/>
    <n v="27.36"/>
  </r>
  <r>
    <d v="2015-01-10T00:00:00"/>
    <x v="0"/>
    <x v="1"/>
    <x v="296"/>
    <x v="6"/>
    <x v="0"/>
    <x v="2"/>
    <s v="Cisco SPA301"/>
    <n v="311.98"/>
    <n v="2"/>
    <n v="93.59"/>
  </r>
  <r>
    <d v="2015-01-10T00:00:00"/>
    <x v="0"/>
    <x v="1"/>
    <x v="297"/>
    <x v="3"/>
    <x v="2"/>
    <x v="9"/>
    <s v="Accohide Poly Flexible Ring Binders"/>
    <n v="2.99"/>
    <n v="4"/>
    <n v="-4.49"/>
  </r>
  <r>
    <d v="2015-01-10T00:00:00"/>
    <x v="0"/>
    <x v="1"/>
    <x v="297"/>
    <x v="3"/>
    <x v="0"/>
    <x v="0"/>
    <s v="Lenovo 17-Key USB Numeric Keypad"/>
    <n v="108.77"/>
    <n v="4"/>
    <n v="2.72"/>
  </r>
  <r>
    <d v="2015-01-11T00:00:00"/>
    <x v="0"/>
    <x v="1"/>
    <x v="173"/>
    <x v="13"/>
    <x v="0"/>
    <x v="0"/>
    <s v="SanDisk Ultra 32 GB MicroSDHC Class 10 Memory Card"/>
    <n v="35.36"/>
    <n v="2"/>
    <n v="-3.09"/>
  </r>
  <r>
    <d v="2015-01-11T00:00:00"/>
    <x v="0"/>
    <x v="1"/>
    <x v="173"/>
    <x v="13"/>
    <x v="2"/>
    <x v="4"/>
    <s v="Brites Rubber Bands, 1 1/2 oz. Box"/>
    <n v="3.17"/>
    <n v="2"/>
    <n v="-0.71"/>
  </r>
  <r>
    <d v="2015-01-11T00:00:00"/>
    <x v="0"/>
    <x v="1"/>
    <x v="11"/>
    <x v="2"/>
    <x v="0"/>
    <x v="2"/>
    <s v="Cush Cases Heavy Duty Rugged Cover Case for Samsung Galaxy S5 - Purple"/>
    <n v="4.95"/>
    <n v="1"/>
    <n v="1.34"/>
  </r>
  <r>
    <d v="2015-01-11T00:00:00"/>
    <x v="0"/>
    <x v="1"/>
    <x v="107"/>
    <x v="2"/>
    <x v="2"/>
    <x v="3"/>
    <s v="Avoid Verbal Orders Carbonless Minifold Book"/>
    <n v="13.52"/>
    <n v="4"/>
    <n v="6.22"/>
  </r>
  <r>
    <d v="2015-01-11T00:00:00"/>
    <x v="0"/>
    <x v="1"/>
    <x v="107"/>
    <x v="2"/>
    <x v="0"/>
    <x v="2"/>
    <s v="Plantronics MX500i Earset"/>
    <n v="42.95"/>
    <n v="1"/>
    <n v="1.29"/>
  </r>
  <r>
    <d v="2015-01-11T00:00:00"/>
    <x v="0"/>
    <x v="1"/>
    <x v="107"/>
    <x v="2"/>
    <x v="0"/>
    <x v="0"/>
    <s v="Razer Tiamat Over Ear 7.1 Surround Sound PC Gaming Headset"/>
    <n v="1399.93"/>
    <n v="7"/>
    <n v="601.97"/>
  </r>
  <r>
    <d v="2015-01-11T00:00:00"/>
    <x v="0"/>
    <x v="1"/>
    <x v="245"/>
    <x v="16"/>
    <x v="2"/>
    <x v="11"/>
    <s v="Lumber Crayons"/>
    <n v="7.88"/>
    <n v="1"/>
    <n v="1.77"/>
  </r>
  <r>
    <d v="2015-01-11T00:00:00"/>
    <x v="0"/>
    <x v="1"/>
    <x v="113"/>
    <x v="9"/>
    <x v="1"/>
    <x v="7"/>
    <s v="Iceberg OfficeWorks 42&quot; Round Tables"/>
    <n v="301.95999999999998"/>
    <n v="2"/>
    <n v="45.29"/>
  </r>
  <r>
    <d v="2015-01-11T00:00:00"/>
    <x v="0"/>
    <x v="1"/>
    <x v="298"/>
    <x v="2"/>
    <x v="1"/>
    <x v="1"/>
    <s v="Global Highback Leather Tilter in Burgundy"/>
    <n v="327.56"/>
    <n v="4"/>
    <n v="21.84"/>
  </r>
  <r>
    <d v="2015-01-11T00:00:00"/>
    <x v="0"/>
    <x v="1"/>
    <x v="299"/>
    <x v="2"/>
    <x v="1"/>
    <x v="1"/>
    <s v="Hon Comfortask Task/Swivel Chairs"/>
    <n v="205.16"/>
    <n v="2"/>
    <n v="13.68"/>
  </r>
  <r>
    <d v="2015-01-12T00:00:00"/>
    <x v="0"/>
    <x v="1"/>
    <x v="300"/>
    <x v="20"/>
    <x v="2"/>
    <x v="9"/>
    <s v="GBC Pre-Punched Binding Paper, Plastic, White, 8-1/2&quot; x 11&quot;"/>
    <n v="63.96"/>
    <n v="4"/>
    <n v="30.7"/>
  </r>
  <r>
    <d v="2015-01-12T00:00:00"/>
    <x v="0"/>
    <x v="1"/>
    <x v="301"/>
    <x v="1"/>
    <x v="1"/>
    <x v="1"/>
    <s v="Global Troy Executive Leather Low-Back Tilter"/>
    <n v="2003.92"/>
    <n v="5"/>
    <n v="125.25"/>
  </r>
  <r>
    <d v="2015-01-12T00:00:00"/>
    <x v="0"/>
    <x v="1"/>
    <x v="301"/>
    <x v="1"/>
    <x v="2"/>
    <x v="3"/>
    <s v="Xerox 219"/>
    <n v="32.4"/>
    <n v="5"/>
    <n v="15.55"/>
  </r>
  <r>
    <d v="2015-01-12T00:00:00"/>
    <x v="0"/>
    <x v="1"/>
    <x v="301"/>
    <x v="1"/>
    <x v="1"/>
    <x v="7"/>
    <s v="Bush Advantage Collection Round Conference Table"/>
    <n v="1913.4"/>
    <n v="9"/>
    <n v="401.81"/>
  </r>
  <r>
    <d v="2015-01-12T00:00:00"/>
    <x v="0"/>
    <x v="1"/>
    <x v="301"/>
    <x v="1"/>
    <x v="2"/>
    <x v="6"/>
    <s v="Tennsco Industrial Shelving"/>
    <n v="146.72999999999999"/>
    <n v="3"/>
    <n v="2.93"/>
  </r>
  <r>
    <d v="2015-01-12T00:00:00"/>
    <x v="0"/>
    <x v="1"/>
    <x v="195"/>
    <x v="10"/>
    <x v="2"/>
    <x v="3"/>
    <s v="Xerox 207"/>
    <n v="19.440000000000001"/>
    <n v="3"/>
    <n v="9.33"/>
  </r>
  <r>
    <d v="2015-01-12T00:00:00"/>
    <x v="0"/>
    <x v="1"/>
    <x v="195"/>
    <x v="10"/>
    <x v="2"/>
    <x v="11"/>
    <s v="Newell 307"/>
    <n v="3.64"/>
    <n v="2"/>
    <n v="1.02"/>
  </r>
  <r>
    <d v="2015-02-01T00:00:00"/>
    <x v="1"/>
    <x v="1"/>
    <x v="302"/>
    <x v="18"/>
    <x v="2"/>
    <x v="8"/>
    <s v="Avery 505"/>
    <n v="23.68"/>
    <n v="2"/>
    <n v="8.8800000000000008"/>
  </r>
  <r>
    <d v="2015-02-01T00:00:00"/>
    <x v="1"/>
    <x v="1"/>
    <x v="302"/>
    <x v="18"/>
    <x v="1"/>
    <x v="16"/>
    <s v="O'Sullivan 2-Door Barrister Bookcase in Odessa Pine"/>
    <n v="452.45"/>
    <n v="5"/>
    <n v="-244.32"/>
  </r>
  <r>
    <d v="2015-02-01T00:00:00"/>
    <x v="1"/>
    <x v="1"/>
    <x v="302"/>
    <x v="18"/>
    <x v="0"/>
    <x v="2"/>
    <s v="Speck Products Candyshell Flip Case"/>
    <n v="62.98"/>
    <n v="3"/>
    <n v="-14.7"/>
  </r>
  <r>
    <d v="2015-02-01T00:00:00"/>
    <x v="1"/>
    <x v="1"/>
    <x v="302"/>
    <x v="18"/>
    <x v="0"/>
    <x v="14"/>
    <s v="Cisco 9971 IP Video Phone Charcoal"/>
    <n v="1188"/>
    <n v="9"/>
    <n v="-950.4"/>
  </r>
  <r>
    <d v="2015-02-01T00:00:00"/>
    <x v="1"/>
    <x v="1"/>
    <x v="303"/>
    <x v="37"/>
    <x v="2"/>
    <x v="6"/>
    <s v="SAFCO Mobile Desk Side File, Wire Frame"/>
    <n v="85.52"/>
    <n v="2"/>
    <n v="22.24"/>
  </r>
  <r>
    <d v="2015-02-01T00:00:00"/>
    <x v="1"/>
    <x v="1"/>
    <x v="303"/>
    <x v="37"/>
    <x v="2"/>
    <x v="11"/>
    <s v="Newell 313"/>
    <n v="9.84"/>
    <n v="3"/>
    <n v="2.66"/>
  </r>
  <r>
    <d v="2015-02-01T00:00:00"/>
    <x v="1"/>
    <x v="1"/>
    <x v="303"/>
    <x v="37"/>
    <x v="2"/>
    <x v="3"/>
    <s v="Xerox 1959"/>
    <n v="20.04"/>
    <n v="3"/>
    <n v="9.6199999999999992"/>
  </r>
  <r>
    <d v="2015-02-03T00:00:00"/>
    <x v="1"/>
    <x v="1"/>
    <x v="304"/>
    <x v="33"/>
    <x v="2"/>
    <x v="13"/>
    <s v="Brown Kraft Recycled Envelopes"/>
    <n v="101.88"/>
    <n v="6"/>
    <n v="50.94"/>
  </r>
  <r>
    <d v="2015-02-04T00:00:00"/>
    <x v="1"/>
    <x v="1"/>
    <x v="305"/>
    <x v="4"/>
    <x v="2"/>
    <x v="10"/>
    <s v="APC 7 Outlet Network SurgeArrest Surge Protector"/>
    <n v="32.19"/>
    <n v="2"/>
    <n v="-80.48"/>
  </r>
  <r>
    <d v="2015-02-04T00:00:00"/>
    <x v="1"/>
    <x v="1"/>
    <x v="305"/>
    <x v="4"/>
    <x v="0"/>
    <x v="0"/>
    <s v="Anker Ultra-Slim Mini Bluetooth 3.0 Wireless Keyboard"/>
    <n v="47.98"/>
    <n v="3"/>
    <n v="1.8"/>
  </r>
  <r>
    <d v="2015-02-04T00:00:00"/>
    <x v="1"/>
    <x v="1"/>
    <x v="306"/>
    <x v="4"/>
    <x v="2"/>
    <x v="9"/>
    <s v="Aluminum Screw Posts"/>
    <n v="9.16"/>
    <n v="3"/>
    <n v="-13.73"/>
  </r>
  <r>
    <d v="2015-02-04T00:00:00"/>
    <x v="1"/>
    <x v="1"/>
    <x v="307"/>
    <x v="5"/>
    <x v="0"/>
    <x v="14"/>
    <s v="Vtech AT&amp;T CL2940 Corded Speakerphone, Black"/>
    <n v="71.98"/>
    <n v="3"/>
    <n v="24.29"/>
  </r>
  <r>
    <d v="2015-02-07T00:00:00"/>
    <x v="1"/>
    <x v="1"/>
    <x v="308"/>
    <x v="3"/>
    <x v="1"/>
    <x v="1"/>
    <s v="Hon 4070 Series Pagoda Armless Upholstered Stacking Chairs"/>
    <n v="408.42"/>
    <n v="2"/>
    <n v="-5.83"/>
  </r>
  <r>
    <d v="2015-02-07T00:00:00"/>
    <x v="1"/>
    <x v="1"/>
    <x v="308"/>
    <x v="3"/>
    <x v="1"/>
    <x v="1"/>
    <s v="Global Wood Trimmed Manager's Task Chair, Khaki"/>
    <n v="382.12"/>
    <n v="6"/>
    <n v="-92.8"/>
  </r>
  <r>
    <d v="2015-02-07T00:00:00"/>
    <x v="1"/>
    <x v="1"/>
    <x v="308"/>
    <x v="3"/>
    <x v="2"/>
    <x v="6"/>
    <s v="Advantus Rolling Storage Box"/>
    <n v="68.599999999999994"/>
    <n v="5"/>
    <n v="6"/>
  </r>
  <r>
    <d v="2015-02-07T00:00:00"/>
    <x v="1"/>
    <x v="1"/>
    <x v="309"/>
    <x v="12"/>
    <x v="1"/>
    <x v="5"/>
    <s v="24-Hour Round Wall Clock"/>
    <n v="159.84"/>
    <n v="10"/>
    <n v="45.95"/>
  </r>
  <r>
    <d v="2015-02-07T00:00:00"/>
    <x v="1"/>
    <x v="1"/>
    <x v="309"/>
    <x v="12"/>
    <x v="2"/>
    <x v="3"/>
    <s v="Things To Do Today Pad"/>
    <n v="9.39"/>
    <n v="2"/>
    <n v="3.29"/>
  </r>
  <r>
    <d v="2015-02-08T00:00:00"/>
    <x v="1"/>
    <x v="1"/>
    <x v="310"/>
    <x v="1"/>
    <x v="2"/>
    <x v="9"/>
    <s v="Ibico Presentation Index for Binding Systems"/>
    <n v="6.37"/>
    <n v="2"/>
    <n v="2.15"/>
  </r>
  <r>
    <d v="2015-02-08T00:00:00"/>
    <x v="1"/>
    <x v="1"/>
    <x v="310"/>
    <x v="1"/>
    <x v="0"/>
    <x v="14"/>
    <s v="Okidata C331dn Printer"/>
    <n v="558.4"/>
    <n v="2"/>
    <n v="41.88"/>
  </r>
  <r>
    <d v="2015-02-08T00:00:00"/>
    <x v="1"/>
    <x v="1"/>
    <x v="311"/>
    <x v="40"/>
    <x v="2"/>
    <x v="3"/>
    <s v="Important Message Pads, 50 4-1/4 x 5-1/2 Forms per Pad"/>
    <n v="8.4"/>
    <n v="2"/>
    <n v="4.12"/>
  </r>
  <r>
    <d v="2015-02-08T00:00:00"/>
    <x v="1"/>
    <x v="1"/>
    <x v="311"/>
    <x v="40"/>
    <x v="1"/>
    <x v="1"/>
    <s v="Office Star Flex Back Scooter Chair with White Frame"/>
    <n v="110.98"/>
    <n v="1"/>
    <n v="15.54"/>
  </r>
  <r>
    <d v="2015-02-10T00:00:00"/>
    <x v="1"/>
    <x v="1"/>
    <x v="312"/>
    <x v="8"/>
    <x v="2"/>
    <x v="3"/>
    <s v="Computer Printout Paper with Letter-Trim Perforations"/>
    <n v="94.85"/>
    <n v="5"/>
    <n v="45.53"/>
  </r>
  <r>
    <d v="2015-02-10T00:00:00"/>
    <x v="1"/>
    <x v="1"/>
    <x v="313"/>
    <x v="5"/>
    <x v="2"/>
    <x v="6"/>
    <s v="Eldon ProFile File 'N Store Portable File Tub Letter/Legal Size Black"/>
    <n v="270.33999999999997"/>
    <n v="14"/>
    <n v="75.7"/>
  </r>
  <r>
    <d v="2015-02-10T00:00:00"/>
    <x v="1"/>
    <x v="1"/>
    <x v="170"/>
    <x v="12"/>
    <x v="2"/>
    <x v="9"/>
    <s v="Pressboard Hanging Data Binders for Unburst Sheets"/>
    <n v="7.38"/>
    <n v="5"/>
    <n v="-5.41"/>
  </r>
  <r>
    <d v="2015-02-10T00:00:00"/>
    <x v="1"/>
    <x v="1"/>
    <x v="314"/>
    <x v="5"/>
    <x v="0"/>
    <x v="2"/>
    <s v="HTC One Mini"/>
    <n v="503.96"/>
    <n v="5"/>
    <n v="50.4"/>
  </r>
  <r>
    <d v="2015-02-10T00:00:00"/>
    <x v="1"/>
    <x v="1"/>
    <x v="315"/>
    <x v="24"/>
    <x v="2"/>
    <x v="3"/>
    <s v="Xerox 202"/>
    <n v="19.440000000000001"/>
    <n v="3"/>
    <n v="9.33"/>
  </r>
  <r>
    <d v="2015-02-10T00:00:00"/>
    <x v="1"/>
    <x v="1"/>
    <x v="315"/>
    <x v="24"/>
    <x v="2"/>
    <x v="9"/>
    <s v="GBC Plastic Binding Combs"/>
    <n v="7.38"/>
    <n v="1"/>
    <n v="3.62"/>
  </r>
  <r>
    <d v="2015-02-11T00:00:00"/>
    <x v="1"/>
    <x v="1"/>
    <x v="316"/>
    <x v="5"/>
    <x v="1"/>
    <x v="7"/>
    <s v="Bevis Round Bullnose 29&quot; High Table Top"/>
    <n v="1038.8399999999999"/>
    <n v="5"/>
    <n v="51.94"/>
  </r>
  <r>
    <d v="2015-02-11T00:00:00"/>
    <x v="1"/>
    <x v="1"/>
    <x v="317"/>
    <x v="1"/>
    <x v="0"/>
    <x v="0"/>
    <s v="Logitech K350 2.4Ghz Wireless Keyboard"/>
    <n v="447.93"/>
    <n v="9"/>
    <n v="49.27"/>
  </r>
  <r>
    <d v="2015-02-11T00:00:00"/>
    <x v="1"/>
    <x v="1"/>
    <x v="318"/>
    <x v="2"/>
    <x v="1"/>
    <x v="1"/>
    <s v="Global Armless Task Chair, Royal Blue"/>
    <n v="109.76"/>
    <n v="2"/>
    <n v="8.5399999999999991"/>
  </r>
  <r>
    <d v="2015-02-11T00:00:00"/>
    <x v="1"/>
    <x v="1"/>
    <x v="10"/>
    <x v="5"/>
    <x v="1"/>
    <x v="5"/>
    <s v="Contemporary Wood/Metal Frame"/>
    <n v="96.96"/>
    <n v="6"/>
    <n v="33.94"/>
  </r>
  <r>
    <d v="2015-02-11T00:00:00"/>
    <x v="1"/>
    <x v="1"/>
    <x v="10"/>
    <x v="5"/>
    <x v="2"/>
    <x v="9"/>
    <s v="GBC Premium Transparent Covers with Diagonal Lined Pattern"/>
    <n v="117.49"/>
    <n v="7"/>
    <n v="41.12"/>
  </r>
  <r>
    <d v="2015-02-11T00:00:00"/>
    <x v="1"/>
    <x v="1"/>
    <x v="10"/>
    <x v="5"/>
    <x v="1"/>
    <x v="16"/>
    <s v="O'Sullivan Living Dimensions 3-Shelf Bookcases"/>
    <n v="512.5"/>
    <n v="3"/>
    <n v="-30.15"/>
  </r>
  <r>
    <d v="2015-02-11T00:00:00"/>
    <x v="1"/>
    <x v="1"/>
    <x v="221"/>
    <x v="2"/>
    <x v="1"/>
    <x v="1"/>
    <s v="Hon Olson Stacker Chairs"/>
    <n v="2621.3200000000002"/>
    <n v="11"/>
    <n v="553.39"/>
  </r>
  <r>
    <d v="2015-02-11T00:00:00"/>
    <x v="1"/>
    <x v="1"/>
    <x v="319"/>
    <x v="4"/>
    <x v="0"/>
    <x v="2"/>
    <s v="Aastra 6757i CT Wireless VoIP phone"/>
    <n v="344.7"/>
    <n v="2"/>
    <n v="38.78"/>
  </r>
  <r>
    <d v="2015-02-11T00:00:00"/>
    <x v="1"/>
    <x v="1"/>
    <x v="320"/>
    <x v="20"/>
    <x v="2"/>
    <x v="10"/>
    <s v="Eureka Hand Vacuum, Bagless"/>
    <n v="197.72"/>
    <n v="4"/>
    <n v="55.36"/>
  </r>
  <r>
    <d v="2015-03-01T00:00:00"/>
    <x v="2"/>
    <x v="1"/>
    <x v="321"/>
    <x v="4"/>
    <x v="0"/>
    <x v="0"/>
    <s v="Enermax Acrylux Wireless Keyboard"/>
    <n v="398.4"/>
    <n v="5"/>
    <n v="84.66"/>
  </r>
  <r>
    <d v="2015-03-01T00:00:00"/>
    <x v="2"/>
    <x v="1"/>
    <x v="321"/>
    <x v="4"/>
    <x v="2"/>
    <x v="11"/>
    <s v="Newell 317"/>
    <n v="7.06"/>
    <n v="3"/>
    <n v="0.79"/>
  </r>
  <r>
    <d v="2015-03-02T00:00:00"/>
    <x v="2"/>
    <x v="1"/>
    <x v="322"/>
    <x v="27"/>
    <x v="1"/>
    <x v="5"/>
    <s v="Coloredge Poster Frame"/>
    <n v="28.4"/>
    <n v="2"/>
    <n v="11.08"/>
  </r>
  <r>
    <d v="2015-03-02T00:00:00"/>
    <x v="2"/>
    <x v="1"/>
    <x v="322"/>
    <x v="27"/>
    <x v="0"/>
    <x v="0"/>
    <s v="Kensington SlimBlade Notebook Wireless Mouse with Nano Receiver"/>
    <n v="149.97"/>
    <n v="3"/>
    <n v="50.99"/>
  </r>
  <r>
    <d v="2015-03-02T00:00:00"/>
    <x v="2"/>
    <x v="1"/>
    <x v="323"/>
    <x v="5"/>
    <x v="1"/>
    <x v="5"/>
    <s v="Hand-Finished Solid Wood Document Frame"/>
    <n v="136.91999999999999"/>
    <n v="4"/>
    <n v="41.08"/>
  </r>
  <r>
    <d v="2015-03-02T00:00:00"/>
    <x v="2"/>
    <x v="1"/>
    <x v="23"/>
    <x v="21"/>
    <x v="2"/>
    <x v="9"/>
    <s v="Wilson Jones Standard D-Ring Binders"/>
    <n v="12.14"/>
    <n v="3"/>
    <n v="4.0999999999999996"/>
  </r>
  <r>
    <d v="2015-03-02T00:00:00"/>
    <x v="2"/>
    <x v="1"/>
    <x v="324"/>
    <x v="2"/>
    <x v="1"/>
    <x v="1"/>
    <s v="Global Fabric Manager's Chair, Dark Gray"/>
    <n v="90.88"/>
    <n v="1"/>
    <n v="15.15"/>
  </r>
  <r>
    <d v="2015-03-05T00:00:00"/>
    <x v="2"/>
    <x v="1"/>
    <x v="45"/>
    <x v="13"/>
    <x v="2"/>
    <x v="11"/>
    <s v="Sanford Prismacolor Professional Thick Lead Art Pencils, 36-Color Set"/>
    <n v="59.9"/>
    <n v="2"/>
    <n v="14.23"/>
  </r>
  <r>
    <d v="2015-03-05T00:00:00"/>
    <x v="2"/>
    <x v="1"/>
    <x v="45"/>
    <x v="13"/>
    <x v="2"/>
    <x v="10"/>
    <s v="Holmes Replacement Filter for HEPA Air Cleaner, Large Room"/>
    <n v="23.7"/>
    <n v="2"/>
    <n v="6.52"/>
  </r>
  <r>
    <d v="2015-03-05T00:00:00"/>
    <x v="2"/>
    <x v="1"/>
    <x v="45"/>
    <x v="13"/>
    <x v="2"/>
    <x v="3"/>
    <s v="Xerox 1897"/>
    <n v="7.97"/>
    <n v="2"/>
    <n v="2.89"/>
  </r>
  <r>
    <d v="2015-03-05T00:00:00"/>
    <x v="2"/>
    <x v="1"/>
    <x v="45"/>
    <x v="13"/>
    <x v="1"/>
    <x v="1"/>
    <s v="Global Leather Highback Executive Chair with Pneumatic Height Adjustment, Black"/>
    <n v="844.12"/>
    <n v="6"/>
    <n v="-36.18"/>
  </r>
  <r>
    <d v="2015-03-05T00:00:00"/>
    <x v="2"/>
    <x v="1"/>
    <x v="325"/>
    <x v="5"/>
    <x v="2"/>
    <x v="9"/>
    <s v="Ibico Recycled Linen-Style Covers"/>
    <n v="62.5"/>
    <n v="2"/>
    <n v="21.87"/>
  </r>
  <r>
    <d v="2015-03-05T00:00:00"/>
    <x v="2"/>
    <x v="1"/>
    <x v="325"/>
    <x v="5"/>
    <x v="2"/>
    <x v="9"/>
    <s v="GBC Linen Binding Covers"/>
    <n v="49.57"/>
    <n v="2"/>
    <n v="17.350000000000001"/>
  </r>
  <r>
    <d v="2015-03-05T00:00:00"/>
    <x v="2"/>
    <x v="1"/>
    <x v="227"/>
    <x v="5"/>
    <x v="2"/>
    <x v="9"/>
    <s v="Avery Binding System Hidden Tab Executive Style Index Sets"/>
    <n v="13.85"/>
    <n v="3"/>
    <n v="5.19"/>
  </r>
  <r>
    <d v="2015-03-07T00:00:00"/>
    <x v="2"/>
    <x v="1"/>
    <x v="326"/>
    <x v="17"/>
    <x v="1"/>
    <x v="1"/>
    <s v="Novimex High-Tech Fabric Mesh Task Chair"/>
    <n v="70.98"/>
    <n v="1"/>
    <n v="4.97"/>
  </r>
  <r>
    <d v="2015-03-07T00:00:00"/>
    <x v="2"/>
    <x v="1"/>
    <x v="28"/>
    <x v="13"/>
    <x v="1"/>
    <x v="5"/>
    <s v="Eldon Antistatic Chair Mats for Low to Medium Pile Carpets"/>
    <n v="168.46"/>
    <n v="2"/>
    <n v="-29.48"/>
  </r>
  <r>
    <d v="2015-03-07T00:00:00"/>
    <x v="2"/>
    <x v="1"/>
    <x v="28"/>
    <x v="13"/>
    <x v="1"/>
    <x v="5"/>
    <s v="Howard Miller 12&quot; Round Wall Clock"/>
    <n v="282.89"/>
    <n v="9"/>
    <n v="56.58"/>
  </r>
  <r>
    <d v="2015-03-09T00:00:00"/>
    <x v="2"/>
    <x v="1"/>
    <x v="327"/>
    <x v="12"/>
    <x v="2"/>
    <x v="13"/>
    <s v="Jet-Pak Recycled Peel 'N' Seal Padded Mailers"/>
    <n v="200.98"/>
    <n v="7"/>
    <n v="62.81"/>
  </r>
  <r>
    <d v="2015-03-09T00:00:00"/>
    <x v="2"/>
    <x v="1"/>
    <x v="328"/>
    <x v="13"/>
    <x v="2"/>
    <x v="6"/>
    <s v="Eldon Gobal File Keepers"/>
    <n v="36.340000000000003"/>
    <n v="3"/>
    <n v="-7.27"/>
  </r>
  <r>
    <d v="2015-03-09T00:00:00"/>
    <x v="2"/>
    <x v="1"/>
    <x v="328"/>
    <x v="13"/>
    <x v="2"/>
    <x v="13"/>
    <s v="White Business Envelopes with Contemporary Seam, Recycled White Business Envelopes"/>
    <n v="52.51"/>
    <n v="6"/>
    <n v="19.690000000000001"/>
  </r>
  <r>
    <d v="2015-03-09T00:00:00"/>
    <x v="2"/>
    <x v="1"/>
    <x v="293"/>
    <x v="5"/>
    <x v="2"/>
    <x v="6"/>
    <s v="Sterilite Officeware Hinged File Box"/>
    <n v="31.44"/>
    <n v="3"/>
    <n v="8.49"/>
  </r>
  <r>
    <d v="2015-03-09T00:00:00"/>
    <x v="2"/>
    <x v="1"/>
    <x v="293"/>
    <x v="5"/>
    <x v="0"/>
    <x v="0"/>
    <s v="TRENDnet 56K USB 2.0 Phone, Internet and Fax Modem"/>
    <n v="129.44999999999999"/>
    <n v="5"/>
    <n v="46.6"/>
  </r>
  <r>
    <d v="2015-03-09T00:00:00"/>
    <x v="2"/>
    <x v="1"/>
    <x v="292"/>
    <x v="25"/>
    <x v="2"/>
    <x v="10"/>
    <s v="Holmes Replacement Filter for HEPA Air Cleaner, Very Large Room, HEPA Filter"/>
    <n v="137.62"/>
    <n v="2"/>
    <n v="60.55"/>
  </r>
  <r>
    <d v="2015-03-09T00:00:00"/>
    <x v="2"/>
    <x v="1"/>
    <x v="292"/>
    <x v="2"/>
    <x v="2"/>
    <x v="6"/>
    <s v="Iceberg Mobile Mega Data/Printer Cart"/>
    <n v="120.33"/>
    <n v="1"/>
    <n v="31.29"/>
  </r>
  <r>
    <d v="2015-03-09T00:00:00"/>
    <x v="2"/>
    <x v="1"/>
    <x v="16"/>
    <x v="5"/>
    <x v="1"/>
    <x v="1"/>
    <s v="Office Star - Ergonomically Designed Knee Chair"/>
    <n v="129.57"/>
    <n v="2"/>
    <n v="-12.96"/>
  </r>
  <r>
    <d v="2015-03-09T00:00:00"/>
    <x v="2"/>
    <x v="1"/>
    <x v="16"/>
    <x v="5"/>
    <x v="2"/>
    <x v="9"/>
    <s v="Avery Durable Slant Ring Binders, No Labels"/>
    <n v="6.37"/>
    <n v="2"/>
    <n v="2.15"/>
  </r>
  <r>
    <d v="2015-03-09T00:00:00"/>
    <x v="2"/>
    <x v="1"/>
    <x v="329"/>
    <x v="23"/>
    <x v="1"/>
    <x v="5"/>
    <s v="GE 48&quot; Fluorescent Tube, Cool White Energy Saver, 34 Watts, 30/Box"/>
    <n v="238.15"/>
    <n v="3"/>
    <n v="89.31"/>
  </r>
  <r>
    <d v="2015-03-09T00:00:00"/>
    <x v="2"/>
    <x v="1"/>
    <x v="330"/>
    <x v="10"/>
    <x v="2"/>
    <x v="8"/>
    <s v="Smead Alpha-Z Color-Coded Name Labels First Letter Starter Set"/>
    <n v="7.5"/>
    <n v="2"/>
    <n v="3.6"/>
  </r>
  <r>
    <d v="2015-03-10T00:00:00"/>
    <x v="2"/>
    <x v="1"/>
    <x v="54"/>
    <x v="18"/>
    <x v="0"/>
    <x v="0"/>
    <s v="ImationÂ 8gb Micro Traveldrive Usb 2.0Â Flash Drive"/>
    <n v="24"/>
    <n v="2"/>
    <n v="-2.7"/>
  </r>
  <r>
    <d v="2015-03-10T00:00:00"/>
    <x v="2"/>
    <x v="1"/>
    <x v="54"/>
    <x v="18"/>
    <x v="1"/>
    <x v="16"/>
    <s v="Safco Value Mate Series Steel Bookcases, Baked Enamel Finish on Steel, Gray"/>
    <n v="35.49"/>
    <n v="1"/>
    <n v="-15.62"/>
  </r>
  <r>
    <d v="2015-03-10T00:00:00"/>
    <x v="2"/>
    <x v="1"/>
    <x v="54"/>
    <x v="18"/>
    <x v="0"/>
    <x v="0"/>
    <s v="Microsoft Natural Ergonomic Keyboard 4000"/>
    <n v="47.98"/>
    <n v="2"/>
    <n v="0.6"/>
  </r>
  <r>
    <d v="2015-03-11T00:00:00"/>
    <x v="2"/>
    <x v="1"/>
    <x v="331"/>
    <x v="5"/>
    <x v="0"/>
    <x v="2"/>
    <s v="Cisco IP Phone 7961G-GE VoIP phone"/>
    <n v="1212.8499999999999"/>
    <n v="7"/>
    <n v="106.12"/>
  </r>
  <r>
    <d v="2015-03-11T00:00:00"/>
    <x v="2"/>
    <x v="1"/>
    <x v="331"/>
    <x v="5"/>
    <x v="0"/>
    <x v="0"/>
    <s v="Logitech Trackman Marble Mouse"/>
    <n v="89.97"/>
    <n v="3"/>
    <n v="37.79"/>
  </r>
  <r>
    <d v="2015-03-11T00:00:00"/>
    <x v="2"/>
    <x v="1"/>
    <x v="332"/>
    <x v="4"/>
    <x v="2"/>
    <x v="13"/>
    <s v="#10 Gummed Flap White Envelopes, 100/Box"/>
    <n v="6.61"/>
    <n v="2"/>
    <n v="2.15"/>
  </r>
  <r>
    <d v="2015-03-11T00:00:00"/>
    <x v="2"/>
    <x v="1"/>
    <x v="333"/>
    <x v="2"/>
    <x v="1"/>
    <x v="1"/>
    <s v="Office Star - Mid Back Dual function Ergonomic High Back Chair with 2-Way Adjustable Arms"/>
    <n v="1448.82"/>
    <n v="10"/>
    <n v="209.27"/>
  </r>
  <r>
    <d v="2015-03-12T00:00:00"/>
    <x v="2"/>
    <x v="1"/>
    <x v="334"/>
    <x v="13"/>
    <x v="0"/>
    <x v="14"/>
    <s v="Lexmark MarkNet N8150 Wireless Print Server"/>
    <n v="482.34"/>
    <n v="4"/>
    <n v="-337.64"/>
  </r>
  <r>
    <d v="2015-03-12T00:00:00"/>
    <x v="2"/>
    <x v="1"/>
    <x v="335"/>
    <x v="2"/>
    <x v="2"/>
    <x v="9"/>
    <s v="Cardinal Poly Pocket Divider Pockets for Ring Binders"/>
    <n v="10.75"/>
    <n v="4"/>
    <n v="3.36"/>
  </r>
  <r>
    <d v="2015-03-12T00:00:00"/>
    <x v="2"/>
    <x v="1"/>
    <x v="336"/>
    <x v="13"/>
    <x v="0"/>
    <x v="0"/>
    <s v="Verbatim 25 GB 6x Blu-ray Single Layer Recordable Disc, 25/Pack"/>
    <n v="36.78"/>
    <n v="2"/>
    <n v="10.58"/>
  </r>
  <r>
    <d v="2015-03-12T00:00:00"/>
    <x v="2"/>
    <x v="1"/>
    <x v="337"/>
    <x v="2"/>
    <x v="2"/>
    <x v="9"/>
    <s v="GBC Therma-A-Bind 250T Electric Binding System"/>
    <n v="590.35"/>
    <n v="6"/>
    <n v="206.62"/>
  </r>
  <r>
    <d v="2015-03-12T00:00:00"/>
    <x v="2"/>
    <x v="1"/>
    <x v="338"/>
    <x v="5"/>
    <x v="1"/>
    <x v="16"/>
    <s v="Sauder Forest Hills Library, Woodland Oak Finish"/>
    <n v="359.5"/>
    <n v="3"/>
    <n v="-29.61"/>
  </r>
  <r>
    <d v="2015-03-12T00:00:00"/>
    <x v="2"/>
    <x v="1"/>
    <x v="206"/>
    <x v="12"/>
    <x v="2"/>
    <x v="9"/>
    <s v="GBC DocuBind P50 Personal Binding Machine"/>
    <n v="95.97"/>
    <n v="5"/>
    <n v="-73.58"/>
  </r>
  <r>
    <d v="2015-03-12T00:00:00"/>
    <x v="2"/>
    <x v="1"/>
    <x v="206"/>
    <x v="12"/>
    <x v="0"/>
    <x v="2"/>
    <s v="Panasonic KX-TG6844B Expandable Digital Cordless Telephone"/>
    <n v="105.58"/>
    <n v="2"/>
    <n v="9.24"/>
  </r>
  <r>
    <d v="2015-03-12T00:00:00"/>
    <x v="2"/>
    <x v="1"/>
    <x v="339"/>
    <x v="41"/>
    <x v="2"/>
    <x v="3"/>
    <s v="Xerox 1935"/>
    <n v="184.66"/>
    <n v="7"/>
    <n v="84.94"/>
  </r>
  <r>
    <d v="2015-04-04T00:00:00"/>
    <x v="3"/>
    <x v="1"/>
    <x v="227"/>
    <x v="2"/>
    <x v="1"/>
    <x v="5"/>
    <s v="Eldon Advantage Foldable Chair Mats for Low Pile Carpets"/>
    <n v="108.4"/>
    <n v="2"/>
    <n v="22.76"/>
  </r>
  <r>
    <d v="2015-04-04T00:00:00"/>
    <x v="3"/>
    <x v="1"/>
    <x v="227"/>
    <x v="2"/>
    <x v="2"/>
    <x v="9"/>
    <s v="GBC Prestige Therm-A-Bind Covers"/>
    <n v="82.34"/>
    <n v="3"/>
    <n v="27.79"/>
  </r>
  <r>
    <d v="2015-04-04T00:00:00"/>
    <x v="3"/>
    <x v="1"/>
    <x v="227"/>
    <x v="2"/>
    <x v="2"/>
    <x v="9"/>
    <s v="Avery Round Ring Poly Binders"/>
    <n v="9.09"/>
    <n v="4"/>
    <n v="3.29"/>
  </r>
  <r>
    <d v="2015-04-04T00:00:00"/>
    <x v="3"/>
    <x v="1"/>
    <x v="104"/>
    <x v="10"/>
    <x v="2"/>
    <x v="10"/>
    <s v="Hoover Shoulder Vac Commercial Portable Vacuum"/>
    <n v="644.08000000000004"/>
    <n v="2"/>
    <n v="107.35"/>
  </r>
  <r>
    <d v="2015-04-04T00:00:00"/>
    <x v="3"/>
    <x v="1"/>
    <x v="104"/>
    <x v="10"/>
    <x v="2"/>
    <x v="9"/>
    <s v="Acco Expandable Hanging Binders"/>
    <n v="12.76"/>
    <n v="2"/>
    <n v="5.87"/>
  </r>
  <r>
    <d v="2015-04-05T00:00:00"/>
    <x v="3"/>
    <x v="1"/>
    <x v="340"/>
    <x v="2"/>
    <x v="1"/>
    <x v="5"/>
    <s v="Electrix 20W Halogen Replacement Bulb for Zoom-In Desk Lamp"/>
    <n v="26.8"/>
    <n v="2"/>
    <n v="12.86"/>
  </r>
  <r>
    <d v="2015-04-05T00:00:00"/>
    <x v="3"/>
    <x v="1"/>
    <x v="254"/>
    <x v="3"/>
    <x v="1"/>
    <x v="5"/>
    <s v="Staple-based wall hangings"/>
    <n v="22.29"/>
    <n v="7"/>
    <n v="-8.92"/>
  </r>
  <r>
    <d v="2015-04-05T00:00:00"/>
    <x v="3"/>
    <x v="1"/>
    <x v="41"/>
    <x v="4"/>
    <x v="0"/>
    <x v="2"/>
    <s v="ShoreTel ShorePhone IP 230 VoIP phone"/>
    <n v="946.34"/>
    <n v="7"/>
    <n v="118.29"/>
  </r>
  <r>
    <d v="2015-04-06T00:00:00"/>
    <x v="3"/>
    <x v="1"/>
    <x v="93"/>
    <x v="2"/>
    <x v="2"/>
    <x v="3"/>
    <s v="Wirebound Message Books, Two 4 1/4&quot; x 5&quot; Forms per Page"/>
    <n v="30.44"/>
    <n v="4"/>
    <n v="14.31"/>
  </r>
  <r>
    <d v="2015-04-06T00:00:00"/>
    <x v="3"/>
    <x v="1"/>
    <x v="93"/>
    <x v="2"/>
    <x v="1"/>
    <x v="5"/>
    <s v="Executive Impressions 10&quot; Spectator Wall Clock"/>
    <n v="35.28"/>
    <n v="3"/>
    <n v="12"/>
  </r>
  <r>
    <d v="2015-04-06T00:00:00"/>
    <x v="3"/>
    <x v="1"/>
    <x v="341"/>
    <x v="5"/>
    <x v="0"/>
    <x v="0"/>
    <s v="LogitechÂ Z-906 Speaker sys - home theater - 5.1-CH"/>
    <n v="989.97"/>
    <n v="3"/>
    <n v="395.99"/>
  </r>
  <r>
    <d v="2015-04-07T00:00:00"/>
    <x v="3"/>
    <x v="1"/>
    <x v="342"/>
    <x v="0"/>
    <x v="0"/>
    <x v="2"/>
    <s v="Mitel MiVoice 5330e IP Phone"/>
    <n v="1099.96"/>
    <n v="4"/>
    <n v="285.99"/>
  </r>
  <r>
    <d v="2015-04-07T00:00:00"/>
    <x v="3"/>
    <x v="1"/>
    <x v="343"/>
    <x v="2"/>
    <x v="2"/>
    <x v="11"/>
    <s v="Colorific Watercolor Pencils"/>
    <n v="15.48"/>
    <n v="3"/>
    <n v="4.49"/>
  </r>
  <r>
    <d v="2015-04-07T00:00:00"/>
    <x v="3"/>
    <x v="1"/>
    <x v="344"/>
    <x v="5"/>
    <x v="2"/>
    <x v="9"/>
    <s v="Avery Premier Heavy-Duty Binder with Round Locking Rings"/>
    <n v="22.85"/>
    <n v="2"/>
    <n v="7.43"/>
  </r>
  <r>
    <d v="2015-04-09T00:00:00"/>
    <x v="3"/>
    <x v="1"/>
    <x v="345"/>
    <x v="19"/>
    <x v="2"/>
    <x v="3"/>
    <s v="Xerox 1908"/>
    <n v="279.89999999999998"/>
    <n v="5"/>
    <n v="137.15"/>
  </r>
  <r>
    <d v="2015-04-09T00:00:00"/>
    <x v="3"/>
    <x v="1"/>
    <x v="345"/>
    <x v="19"/>
    <x v="0"/>
    <x v="0"/>
    <s v="Logitech G19 Programmable Gaming Keyboard"/>
    <n v="619.95000000000005"/>
    <n v="5"/>
    <n v="111.59"/>
  </r>
  <r>
    <d v="2015-04-10T00:00:00"/>
    <x v="3"/>
    <x v="1"/>
    <x v="211"/>
    <x v="19"/>
    <x v="1"/>
    <x v="1"/>
    <s v="Office Star - Mesh Screen back chair with Vinyl seat"/>
    <n v="392.94"/>
    <n v="3"/>
    <n v="43.22"/>
  </r>
  <r>
    <d v="2015-04-10T00:00:00"/>
    <x v="3"/>
    <x v="1"/>
    <x v="346"/>
    <x v="5"/>
    <x v="2"/>
    <x v="6"/>
    <s v="Tenex Personal Project File with Scoop Front Design, Black"/>
    <n v="26.96"/>
    <n v="2"/>
    <n v="7.01"/>
  </r>
  <r>
    <d v="2015-04-10T00:00:00"/>
    <x v="3"/>
    <x v="1"/>
    <x v="58"/>
    <x v="13"/>
    <x v="1"/>
    <x v="5"/>
    <s v="DataProducts Ampli Magnifier Task Lamp, Black,"/>
    <n v="64.94"/>
    <n v="3"/>
    <n v="6.49"/>
  </r>
  <r>
    <d v="2015-04-10T00:00:00"/>
    <x v="3"/>
    <x v="1"/>
    <x v="58"/>
    <x v="13"/>
    <x v="2"/>
    <x v="3"/>
    <s v="Xerox 1946"/>
    <n v="20.74"/>
    <n v="4"/>
    <n v="7.26"/>
  </r>
  <r>
    <d v="2015-04-12T00:00:00"/>
    <x v="3"/>
    <x v="1"/>
    <x v="347"/>
    <x v="11"/>
    <x v="2"/>
    <x v="9"/>
    <s v="SpineVue Locking Slant-D Ring Binders by Cardinal"/>
    <n v="8.23"/>
    <n v="3"/>
    <n v="-6.03"/>
  </r>
  <r>
    <d v="2015-04-12T00:00:00"/>
    <x v="3"/>
    <x v="1"/>
    <x v="348"/>
    <x v="2"/>
    <x v="1"/>
    <x v="5"/>
    <s v="DAX Two-Tone Rosewood/Black Document Frame, Desktop, 5 x 7"/>
    <n v="28.44"/>
    <n v="3"/>
    <n v="11.38"/>
  </r>
  <r>
    <d v="2015-04-12T00:00:00"/>
    <x v="3"/>
    <x v="1"/>
    <x v="182"/>
    <x v="2"/>
    <x v="2"/>
    <x v="13"/>
    <s v="Wausau Papers Astrobrights Colored Envelopes"/>
    <n v="17.940000000000001"/>
    <n v="3"/>
    <n v="8.7899999999999991"/>
  </r>
  <r>
    <d v="2015-04-12T00:00:00"/>
    <x v="3"/>
    <x v="1"/>
    <x v="349"/>
    <x v="26"/>
    <x v="2"/>
    <x v="9"/>
    <s v="GBC Ibimaster 500 Manual ProClick Binding System"/>
    <n v="1598.06"/>
    <n v="7"/>
    <n v="-1065.3699999999999"/>
  </r>
  <r>
    <d v="2015-04-12T00:00:00"/>
    <x v="3"/>
    <x v="1"/>
    <x v="350"/>
    <x v="5"/>
    <x v="2"/>
    <x v="13"/>
    <s v="Tyvek Side-Opening Peel &amp; Seel Expanding Envelopes"/>
    <n v="271.44"/>
    <n v="3"/>
    <n v="122.15"/>
  </r>
  <r>
    <d v="2015-04-12T00:00:00"/>
    <x v="3"/>
    <x v="1"/>
    <x v="350"/>
    <x v="5"/>
    <x v="0"/>
    <x v="2"/>
    <s v="Jensen SMPS-640 -Â speaker phone"/>
    <n v="110.35"/>
    <n v="3"/>
    <n v="8.2799999999999994"/>
  </r>
  <r>
    <d v="2015-04-12T00:00:00"/>
    <x v="3"/>
    <x v="1"/>
    <x v="265"/>
    <x v="5"/>
    <x v="2"/>
    <x v="11"/>
    <s v="Avery Hi-Liter Fluorescent Desk Style Markers"/>
    <n v="16.899999999999999"/>
    <n v="5"/>
    <n v="6.25"/>
  </r>
  <r>
    <d v="2015-05-01T00:00:00"/>
    <x v="4"/>
    <x v="1"/>
    <x v="351"/>
    <x v="2"/>
    <x v="2"/>
    <x v="11"/>
    <s v="Newell 34"/>
    <n v="59.52"/>
    <n v="3"/>
    <n v="15.48"/>
  </r>
  <r>
    <d v="2015-05-03T00:00:00"/>
    <x v="4"/>
    <x v="1"/>
    <x v="352"/>
    <x v="2"/>
    <x v="2"/>
    <x v="6"/>
    <s v="Fellowes Strictly Business Drawer File, Letter/Legal Size"/>
    <n v="563.4"/>
    <n v="4"/>
    <n v="67.61"/>
  </r>
  <r>
    <d v="2015-05-03T00:00:00"/>
    <x v="4"/>
    <x v="1"/>
    <x v="63"/>
    <x v="13"/>
    <x v="0"/>
    <x v="2"/>
    <s v="Samsung Convoy 3"/>
    <n v="466.16"/>
    <n v="7"/>
    <n v="-93.23"/>
  </r>
  <r>
    <d v="2015-05-03T00:00:00"/>
    <x v="4"/>
    <x v="1"/>
    <x v="353"/>
    <x v="13"/>
    <x v="1"/>
    <x v="5"/>
    <s v="36X48 HARDFLOOR CHAIRMAT"/>
    <n v="33.57"/>
    <n v="2"/>
    <n v="-5.45"/>
  </r>
  <r>
    <d v="2015-05-03T00:00:00"/>
    <x v="4"/>
    <x v="1"/>
    <x v="354"/>
    <x v="4"/>
    <x v="0"/>
    <x v="2"/>
    <s v="Cisco SPA525G2 IP Phone - Wireless"/>
    <n v="31.92"/>
    <n v="2"/>
    <n v="2.39"/>
  </r>
  <r>
    <d v="2015-05-03T00:00:00"/>
    <x v="4"/>
    <x v="1"/>
    <x v="182"/>
    <x v="3"/>
    <x v="2"/>
    <x v="10"/>
    <s v="Avanti 4.4 Cu. Ft. Refrigerator"/>
    <n v="180.98"/>
    <n v="5"/>
    <n v="-470.55"/>
  </r>
  <r>
    <d v="2015-05-04T00:00:00"/>
    <x v="4"/>
    <x v="1"/>
    <x v="158"/>
    <x v="13"/>
    <x v="2"/>
    <x v="9"/>
    <s v="Cardinal Slant-D Ring Binders"/>
    <n v="10.43"/>
    <n v="4"/>
    <n v="-6.95"/>
  </r>
  <r>
    <d v="2015-05-04T00:00:00"/>
    <x v="4"/>
    <x v="1"/>
    <x v="158"/>
    <x v="13"/>
    <x v="1"/>
    <x v="5"/>
    <s v="DAX Charcoal/Nickel-Tone Document Frame, 5 x 7"/>
    <n v="7.58"/>
    <n v="1"/>
    <n v="2.37"/>
  </r>
  <r>
    <d v="2015-05-04T00:00:00"/>
    <x v="4"/>
    <x v="1"/>
    <x v="355"/>
    <x v="1"/>
    <x v="2"/>
    <x v="11"/>
    <s v="Dixon Ticonderoga Pencils"/>
    <n v="23.84"/>
    <n v="8"/>
    <n v="6.44"/>
  </r>
  <r>
    <d v="2015-05-06T00:00:00"/>
    <x v="4"/>
    <x v="1"/>
    <x v="356"/>
    <x v="22"/>
    <x v="2"/>
    <x v="3"/>
    <s v="Xerox 1981"/>
    <n v="10.56"/>
    <n v="2"/>
    <n v="4.75"/>
  </r>
  <r>
    <d v="2015-05-07T00:00:00"/>
    <x v="4"/>
    <x v="1"/>
    <x v="14"/>
    <x v="12"/>
    <x v="1"/>
    <x v="5"/>
    <s v="Stackable Trays"/>
    <n v="4.93"/>
    <n v="2"/>
    <n v="0.74"/>
  </r>
  <r>
    <d v="2015-05-07T00:00:00"/>
    <x v="4"/>
    <x v="1"/>
    <x v="357"/>
    <x v="10"/>
    <x v="2"/>
    <x v="9"/>
    <s v="Durable Pressboard Binders"/>
    <n v="19"/>
    <n v="5"/>
    <n v="8.93"/>
  </r>
  <r>
    <d v="2015-05-07T00:00:00"/>
    <x v="4"/>
    <x v="1"/>
    <x v="358"/>
    <x v="13"/>
    <x v="0"/>
    <x v="0"/>
    <s v="HP Standard 104 key PS/2 Keyboard"/>
    <n v="34.799999999999997"/>
    <n v="3"/>
    <n v="2.1800000000000002"/>
  </r>
  <r>
    <d v="2015-05-08T00:00:00"/>
    <x v="4"/>
    <x v="1"/>
    <x v="41"/>
    <x v="4"/>
    <x v="1"/>
    <x v="5"/>
    <s v="Eldon Expressions Wood Desk Accessories, Oak"/>
    <n v="14.76"/>
    <n v="5"/>
    <n v="-11.44"/>
  </r>
  <r>
    <d v="2015-05-09T00:00:00"/>
    <x v="4"/>
    <x v="1"/>
    <x v="359"/>
    <x v="5"/>
    <x v="1"/>
    <x v="16"/>
    <s v="Sauder Camden County Barrister Bookcase, Planked Cherry Finish"/>
    <n v="411.33"/>
    <n v="4"/>
    <n v="-4.84"/>
  </r>
  <r>
    <d v="2015-05-09T00:00:00"/>
    <x v="4"/>
    <x v="1"/>
    <x v="359"/>
    <x v="5"/>
    <x v="2"/>
    <x v="9"/>
    <s v="DXL Angle-View Binders with Locking Rings, Black"/>
    <n v="28.75"/>
    <n v="6"/>
    <n v="9.6999999999999993"/>
  </r>
  <r>
    <d v="2015-05-09T00:00:00"/>
    <x v="4"/>
    <x v="1"/>
    <x v="359"/>
    <x v="5"/>
    <x v="1"/>
    <x v="16"/>
    <s v="Sauder Camden County Collection Libraries, Planked Cherry Finish"/>
    <n v="293.2"/>
    <n v="3"/>
    <n v="-20.7"/>
  </r>
  <r>
    <d v="2015-05-09T00:00:00"/>
    <x v="4"/>
    <x v="1"/>
    <x v="301"/>
    <x v="20"/>
    <x v="1"/>
    <x v="5"/>
    <s v="Tensor Brushed Steel Torchiere Floor Lamp"/>
    <n v="67.959999999999994"/>
    <n v="4"/>
    <n v="12.23"/>
  </r>
  <r>
    <d v="2015-05-10T00:00:00"/>
    <x v="4"/>
    <x v="1"/>
    <x v="299"/>
    <x v="16"/>
    <x v="1"/>
    <x v="16"/>
    <s v="Bush Cubix Collection Bookcases, Fully Assembled"/>
    <n v="66.290000000000006"/>
    <n v="1"/>
    <n v="-103.86"/>
  </r>
  <r>
    <d v="2015-05-11T00:00:00"/>
    <x v="4"/>
    <x v="1"/>
    <x v="107"/>
    <x v="11"/>
    <x v="2"/>
    <x v="10"/>
    <s v="Belkin 325VA UPS Surge Protector, 6'"/>
    <n v="387.14"/>
    <n v="4"/>
    <n v="24.2"/>
  </r>
  <r>
    <d v="2015-05-11T00:00:00"/>
    <x v="4"/>
    <x v="1"/>
    <x v="156"/>
    <x v="2"/>
    <x v="2"/>
    <x v="9"/>
    <s v="Wilson Jones 1&quot; Hanging DublLock Ring Binders"/>
    <n v="25.34"/>
    <n v="6"/>
    <n v="8.8699999999999992"/>
  </r>
  <r>
    <d v="2015-05-11T00:00:00"/>
    <x v="4"/>
    <x v="1"/>
    <x v="94"/>
    <x v="3"/>
    <x v="2"/>
    <x v="8"/>
    <s v="Avery 476"/>
    <n v="19.82"/>
    <n v="6"/>
    <n v="6.44"/>
  </r>
  <r>
    <d v="2015-05-11T00:00:00"/>
    <x v="4"/>
    <x v="1"/>
    <x v="48"/>
    <x v="5"/>
    <x v="2"/>
    <x v="6"/>
    <s v="Hanging Personal Folder File"/>
    <n v="62.8"/>
    <n v="4"/>
    <n v="15.7"/>
  </r>
  <r>
    <d v="2015-05-11T00:00:00"/>
    <x v="4"/>
    <x v="1"/>
    <x v="360"/>
    <x v="18"/>
    <x v="2"/>
    <x v="9"/>
    <s v="Insertable Tab Post Binder Dividers"/>
    <n v="7.22"/>
    <n v="3"/>
    <n v="-5.53"/>
  </r>
  <r>
    <d v="2015-05-11T00:00:00"/>
    <x v="4"/>
    <x v="1"/>
    <x v="360"/>
    <x v="18"/>
    <x v="2"/>
    <x v="15"/>
    <s v="Acme Titanium Bonded Scissors"/>
    <n v="27.2"/>
    <n v="4"/>
    <n v="2.04"/>
  </r>
  <r>
    <d v="2015-05-12T00:00:00"/>
    <x v="4"/>
    <x v="1"/>
    <x v="361"/>
    <x v="5"/>
    <x v="1"/>
    <x v="5"/>
    <s v="Executive Impressions 14&quot; Contract Wall Clock"/>
    <n v="44.46"/>
    <n v="2"/>
    <n v="14.67"/>
  </r>
  <r>
    <d v="2015-05-12T00:00:00"/>
    <x v="4"/>
    <x v="1"/>
    <x v="318"/>
    <x v="13"/>
    <x v="2"/>
    <x v="9"/>
    <s v="GBC White Gloss Covers, Plain Front"/>
    <n v="26.06"/>
    <n v="6"/>
    <n v="-19.98"/>
  </r>
  <r>
    <d v="2015-05-12T00:00:00"/>
    <x v="4"/>
    <x v="1"/>
    <x v="136"/>
    <x v="2"/>
    <x v="2"/>
    <x v="3"/>
    <s v="Xerox 188"/>
    <n v="22.68"/>
    <n v="2"/>
    <n v="11.11"/>
  </r>
  <r>
    <d v="2015-05-12T00:00:00"/>
    <x v="4"/>
    <x v="1"/>
    <x v="362"/>
    <x v="5"/>
    <x v="2"/>
    <x v="8"/>
    <s v="Avery 488"/>
    <n v="12.6"/>
    <n v="4"/>
    <n v="6.05"/>
  </r>
  <r>
    <d v="2015-06-01T00:00:00"/>
    <x v="5"/>
    <x v="1"/>
    <x v="201"/>
    <x v="15"/>
    <x v="2"/>
    <x v="3"/>
    <s v="It's Hot Message Books with Stickers, 2 3/4&quot; x 5&quot;"/>
    <n v="29.6"/>
    <n v="5"/>
    <n v="9.25"/>
  </r>
  <r>
    <d v="2015-06-02T00:00:00"/>
    <x v="5"/>
    <x v="1"/>
    <x v="302"/>
    <x v="1"/>
    <x v="2"/>
    <x v="11"/>
    <s v="Newell 310"/>
    <n v="5.28"/>
    <n v="3"/>
    <n v="1.53"/>
  </r>
  <r>
    <d v="2015-06-02T00:00:00"/>
    <x v="5"/>
    <x v="1"/>
    <x v="15"/>
    <x v="37"/>
    <x v="1"/>
    <x v="16"/>
    <s v="Hon Metal Bookcases, Putty"/>
    <n v="283.92"/>
    <n v="4"/>
    <n v="82.34"/>
  </r>
  <r>
    <d v="2015-06-02T00:00:00"/>
    <x v="5"/>
    <x v="1"/>
    <x v="15"/>
    <x v="37"/>
    <x v="2"/>
    <x v="11"/>
    <s v="SANFORD Liquid Accent Tank-Style Highlighters"/>
    <n v="5.68"/>
    <n v="2"/>
    <n v="1.76"/>
  </r>
  <r>
    <d v="2015-06-02T00:00:00"/>
    <x v="5"/>
    <x v="1"/>
    <x v="363"/>
    <x v="4"/>
    <x v="2"/>
    <x v="9"/>
    <s v="UniKeep View Case Binders"/>
    <n v="2.93"/>
    <n v="3"/>
    <n v="-4.99"/>
  </r>
  <r>
    <d v="2015-06-02T00:00:00"/>
    <x v="5"/>
    <x v="1"/>
    <x v="363"/>
    <x v="4"/>
    <x v="0"/>
    <x v="0"/>
    <s v="Memorex Mini Travel Drive 8 GB USB 2.0 Flash Drive"/>
    <n v="18.53"/>
    <n v="2"/>
    <n v="4.4000000000000004"/>
  </r>
  <r>
    <d v="2015-06-02T00:00:00"/>
    <x v="5"/>
    <x v="1"/>
    <x v="364"/>
    <x v="20"/>
    <x v="2"/>
    <x v="3"/>
    <s v="Xerox 1920"/>
    <n v="29.9"/>
    <n v="5"/>
    <n v="13.46"/>
  </r>
  <r>
    <d v="2015-06-03T00:00:00"/>
    <x v="5"/>
    <x v="1"/>
    <x v="365"/>
    <x v="5"/>
    <x v="0"/>
    <x v="12"/>
    <s v="Canon PC1060 Personal Laser Copier"/>
    <n v="1119.98"/>
    <n v="2"/>
    <n v="377.99"/>
  </r>
  <r>
    <d v="2015-06-07T00:00:00"/>
    <x v="5"/>
    <x v="1"/>
    <x v="366"/>
    <x v="2"/>
    <x v="0"/>
    <x v="2"/>
    <s v="OtterBox Commuter Series Case - Samsung Galaxy S4"/>
    <n v="124.95"/>
    <n v="5"/>
    <n v="2.5"/>
  </r>
  <r>
    <d v="2015-06-07T00:00:00"/>
    <x v="5"/>
    <x v="1"/>
    <x v="204"/>
    <x v="6"/>
    <x v="1"/>
    <x v="16"/>
    <s v="Bush Mission Pointe Library"/>
    <n v="301.95999999999998"/>
    <n v="2"/>
    <n v="60.39"/>
  </r>
  <r>
    <d v="2015-06-07T00:00:00"/>
    <x v="5"/>
    <x v="1"/>
    <x v="367"/>
    <x v="5"/>
    <x v="1"/>
    <x v="1"/>
    <s v="Novimex Turbo Task Chair"/>
    <n v="170.35"/>
    <n v="3"/>
    <n v="-17.04"/>
  </r>
  <r>
    <d v="2015-06-07T00:00:00"/>
    <x v="5"/>
    <x v="1"/>
    <x v="14"/>
    <x v="8"/>
    <x v="2"/>
    <x v="11"/>
    <s v="Newell 333"/>
    <n v="11.12"/>
    <n v="4"/>
    <n v="2.89"/>
  </r>
  <r>
    <d v="2015-06-08T00:00:00"/>
    <x v="5"/>
    <x v="1"/>
    <x v="368"/>
    <x v="4"/>
    <x v="2"/>
    <x v="3"/>
    <s v="Xerox 1906"/>
    <n v="56.7"/>
    <n v="2"/>
    <n v="19.14"/>
  </r>
  <r>
    <d v="2015-06-08T00:00:00"/>
    <x v="5"/>
    <x v="1"/>
    <x v="368"/>
    <x v="4"/>
    <x v="1"/>
    <x v="16"/>
    <s v="O'Sullivan Manor Hill 2-Door Library in Brianna Oak"/>
    <n v="369.2"/>
    <n v="3"/>
    <n v="-114.02"/>
  </r>
  <r>
    <d v="2015-06-09T00:00:00"/>
    <x v="5"/>
    <x v="1"/>
    <x v="369"/>
    <x v="1"/>
    <x v="2"/>
    <x v="9"/>
    <s v="Acco Hanging Data Binders"/>
    <n v="6.1"/>
    <n v="2"/>
    <n v="2.13"/>
  </r>
  <r>
    <d v="2015-06-09T00:00:00"/>
    <x v="5"/>
    <x v="1"/>
    <x v="369"/>
    <x v="1"/>
    <x v="1"/>
    <x v="5"/>
    <s v="Howard Miller 16&quot; Diameter Gallery Wall Clock"/>
    <n v="191.82"/>
    <n v="3"/>
    <n v="74.81"/>
  </r>
  <r>
    <d v="2015-06-09T00:00:00"/>
    <x v="5"/>
    <x v="1"/>
    <x v="168"/>
    <x v="26"/>
    <x v="2"/>
    <x v="4"/>
    <s v="Assorted Color Push Pins"/>
    <n v="7.24"/>
    <n v="5"/>
    <n v="1.18"/>
  </r>
  <r>
    <d v="2015-06-09T00:00:00"/>
    <x v="5"/>
    <x v="1"/>
    <x v="370"/>
    <x v="11"/>
    <x v="2"/>
    <x v="9"/>
    <s v="GBC Plasticlear Binding Covers"/>
    <n v="3.44"/>
    <n v="1"/>
    <n v="-2.5299999999999998"/>
  </r>
  <r>
    <d v="2015-06-09T00:00:00"/>
    <x v="5"/>
    <x v="1"/>
    <x v="52"/>
    <x v="20"/>
    <x v="2"/>
    <x v="9"/>
    <s v="SlimView Poly Binder, 3/8&quot;"/>
    <n v="46.62"/>
    <n v="9"/>
    <n v="21.45"/>
  </r>
  <r>
    <d v="2015-06-11T00:00:00"/>
    <x v="5"/>
    <x v="1"/>
    <x v="371"/>
    <x v="23"/>
    <x v="2"/>
    <x v="13"/>
    <s v="Redi-Strip #10 Envelopes, 4 1/8 x 9 1/2"/>
    <n v="7.08"/>
    <n v="3"/>
    <n v="2.48"/>
  </r>
  <r>
    <d v="2015-06-12T00:00:00"/>
    <x v="5"/>
    <x v="1"/>
    <x v="372"/>
    <x v="4"/>
    <x v="2"/>
    <x v="9"/>
    <s v="Avery Reinforcements for Hole-Punch Pages"/>
    <n v="2.77"/>
    <n v="7"/>
    <n v="-4.8499999999999996"/>
  </r>
  <r>
    <d v="2015-06-12T00:00:00"/>
    <x v="5"/>
    <x v="1"/>
    <x v="373"/>
    <x v="23"/>
    <x v="2"/>
    <x v="3"/>
    <s v="Xerox 1970"/>
    <n v="19.920000000000002"/>
    <n v="5"/>
    <n v="6.72"/>
  </r>
  <r>
    <d v="2015-06-12T00:00:00"/>
    <x v="5"/>
    <x v="1"/>
    <x v="373"/>
    <x v="23"/>
    <x v="2"/>
    <x v="3"/>
    <s v="Xerox 1960"/>
    <n v="198.27"/>
    <n v="8"/>
    <n v="61.96"/>
  </r>
  <r>
    <d v="2015-06-12T00:00:00"/>
    <x v="5"/>
    <x v="1"/>
    <x v="373"/>
    <x v="23"/>
    <x v="2"/>
    <x v="6"/>
    <s v="Belkin 19&quot; Vented Equipment Shelf, Black"/>
    <n v="247.1"/>
    <n v="6"/>
    <n v="-58.69"/>
  </r>
  <r>
    <d v="2015-06-12T00:00:00"/>
    <x v="5"/>
    <x v="1"/>
    <x v="177"/>
    <x v="18"/>
    <x v="0"/>
    <x v="2"/>
    <s v="Polycom SoundStation2 EX ConferenceÂ phone"/>
    <n v="485.94"/>
    <n v="2"/>
    <n v="-89.09"/>
  </r>
  <r>
    <d v="2015-06-12T00:00:00"/>
    <x v="5"/>
    <x v="1"/>
    <x v="177"/>
    <x v="18"/>
    <x v="1"/>
    <x v="1"/>
    <s v="Global Low Back Tilter Chair"/>
    <n v="70.69"/>
    <n v="1"/>
    <n v="-24.24"/>
  </r>
  <r>
    <d v="2015-06-12T00:00:00"/>
    <x v="5"/>
    <x v="1"/>
    <x v="374"/>
    <x v="5"/>
    <x v="2"/>
    <x v="3"/>
    <s v="Message Book, Phone, Wirebound Standard Line Memo, 2 3/4&quot; X 5&quot;"/>
    <n v="32.75"/>
    <n v="5"/>
    <n v="15.07"/>
  </r>
  <r>
    <d v="2015-06-12T00:00:00"/>
    <x v="5"/>
    <x v="1"/>
    <x v="90"/>
    <x v="2"/>
    <x v="2"/>
    <x v="3"/>
    <s v="Xerox 1903"/>
    <n v="41.86"/>
    <n v="7"/>
    <n v="20.51"/>
  </r>
  <r>
    <d v="2015-06-12T00:00:00"/>
    <x v="5"/>
    <x v="1"/>
    <x v="90"/>
    <x v="2"/>
    <x v="0"/>
    <x v="0"/>
    <s v="LogitechÂ VX Revolution Cordless Laser Mouse for Notebooks (Black)"/>
    <n v="1619.91"/>
    <n v="9"/>
    <n v="97.19"/>
  </r>
  <r>
    <d v="2015-06-12T00:00:00"/>
    <x v="5"/>
    <x v="1"/>
    <x v="170"/>
    <x v="33"/>
    <x v="0"/>
    <x v="12"/>
    <s v="Hewlett Packard 610 Color Digital Copier / Printer"/>
    <n v="999.98"/>
    <n v="2"/>
    <n v="449.99"/>
  </r>
  <r>
    <d v="2015-06-12T00:00:00"/>
    <x v="5"/>
    <x v="1"/>
    <x v="15"/>
    <x v="14"/>
    <x v="2"/>
    <x v="3"/>
    <s v="Xerox 20"/>
    <n v="6.48"/>
    <n v="1"/>
    <n v="3.11"/>
  </r>
  <r>
    <d v="2015-06-12T00:00:00"/>
    <x v="5"/>
    <x v="1"/>
    <x v="293"/>
    <x v="5"/>
    <x v="2"/>
    <x v="3"/>
    <s v="Spiral Phone Message Books with Labels by Adams"/>
    <n v="8.9600000000000009"/>
    <n v="2"/>
    <n v="4.3899999999999997"/>
  </r>
  <r>
    <d v="2015-07-03T00:00:00"/>
    <x v="6"/>
    <x v="1"/>
    <x v="375"/>
    <x v="37"/>
    <x v="0"/>
    <x v="0"/>
    <s v="Microsoft Sculpt Comfort Mouse"/>
    <n v="119.85"/>
    <n v="3"/>
    <n v="52.73"/>
  </r>
  <r>
    <d v="2015-07-03T00:00:00"/>
    <x v="6"/>
    <x v="1"/>
    <x v="375"/>
    <x v="37"/>
    <x v="0"/>
    <x v="2"/>
    <s v="LG G3"/>
    <n v="587.97"/>
    <n v="3"/>
    <n v="170.51"/>
  </r>
  <r>
    <d v="2015-07-04T00:00:00"/>
    <x v="6"/>
    <x v="1"/>
    <x v="122"/>
    <x v="4"/>
    <x v="2"/>
    <x v="10"/>
    <s v="Hoover Upright Vacuum With Dirt Cup"/>
    <n v="463.25"/>
    <n v="8"/>
    <n v="-1181.28"/>
  </r>
  <r>
    <d v="2015-07-04T00:00:00"/>
    <x v="6"/>
    <x v="1"/>
    <x v="122"/>
    <x v="4"/>
    <x v="0"/>
    <x v="0"/>
    <s v="Razer Kraken PRO Over Ear PC and Music Headset"/>
    <n v="383.95"/>
    <n v="6"/>
    <n v="47.99"/>
  </r>
  <r>
    <d v="2015-07-04T00:00:00"/>
    <x v="6"/>
    <x v="1"/>
    <x v="376"/>
    <x v="13"/>
    <x v="2"/>
    <x v="11"/>
    <s v="Newell 331"/>
    <n v="11.74"/>
    <n v="3"/>
    <n v="1.03"/>
  </r>
  <r>
    <d v="2015-07-04T00:00:00"/>
    <x v="6"/>
    <x v="1"/>
    <x v="30"/>
    <x v="2"/>
    <x v="2"/>
    <x v="3"/>
    <s v="Xerox 192"/>
    <n v="25.92"/>
    <n v="4"/>
    <n v="12.44"/>
  </r>
  <r>
    <d v="2015-07-05T00:00:00"/>
    <x v="6"/>
    <x v="1"/>
    <x v="377"/>
    <x v="4"/>
    <x v="1"/>
    <x v="7"/>
    <s v="Chromcraft Round Conference Tables"/>
    <n v="244.01"/>
    <n v="2"/>
    <n v="-31.37"/>
  </r>
  <r>
    <d v="2015-07-05T00:00:00"/>
    <x v="6"/>
    <x v="1"/>
    <x v="111"/>
    <x v="17"/>
    <x v="2"/>
    <x v="3"/>
    <s v="Xerox 1902"/>
    <n v="45.68"/>
    <n v="2"/>
    <n v="21.01"/>
  </r>
  <r>
    <d v="2015-07-06T00:00:00"/>
    <x v="6"/>
    <x v="1"/>
    <x v="378"/>
    <x v="5"/>
    <x v="2"/>
    <x v="9"/>
    <s v="3-ring staple pack"/>
    <n v="7.52"/>
    <n v="5"/>
    <n v="2.63"/>
  </r>
  <r>
    <d v="2015-07-08T00:00:00"/>
    <x v="6"/>
    <x v="1"/>
    <x v="379"/>
    <x v="5"/>
    <x v="2"/>
    <x v="9"/>
    <s v="Cardinal Hold-It CD Pocket"/>
    <n v="19.149999999999999"/>
    <n v="3"/>
    <n v="6.46"/>
  </r>
  <r>
    <d v="2015-07-08T00:00:00"/>
    <x v="6"/>
    <x v="1"/>
    <x v="380"/>
    <x v="22"/>
    <x v="2"/>
    <x v="9"/>
    <s v="Wilson Jones Hanging View Binder, White, 1&quot;"/>
    <n v="28.4"/>
    <n v="4"/>
    <n v="13.06"/>
  </r>
  <r>
    <d v="2015-07-08T00:00:00"/>
    <x v="6"/>
    <x v="1"/>
    <x v="380"/>
    <x v="22"/>
    <x v="1"/>
    <x v="5"/>
    <s v="Tenex V2T-RE Standard Weight Series Chair Mat, 45&quot; x 53&quot;, Lip 25&quot; x 12&quot;"/>
    <n v="212.94"/>
    <n v="3"/>
    <n v="34.07"/>
  </r>
  <r>
    <d v="2015-07-08T00:00:00"/>
    <x v="6"/>
    <x v="1"/>
    <x v="381"/>
    <x v="24"/>
    <x v="2"/>
    <x v="10"/>
    <s v="Acco Six-Outlet Power Strip, 4' Cord Length"/>
    <n v="77.58"/>
    <n v="9"/>
    <n v="20.170000000000002"/>
  </r>
  <r>
    <d v="2015-07-08T00:00:00"/>
    <x v="6"/>
    <x v="1"/>
    <x v="382"/>
    <x v="20"/>
    <x v="0"/>
    <x v="2"/>
    <s v="Ativa D5772 2-Line 5.8GHz Digital Expandable Corded/Cordless Phone System with Answering &amp; Caller ID/Call Waiting, Black/Silver"/>
    <n v="494.97"/>
    <n v="3"/>
    <n v="148.49"/>
  </r>
  <r>
    <d v="2015-07-08T00:00:00"/>
    <x v="6"/>
    <x v="1"/>
    <x v="382"/>
    <x v="20"/>
    <x v="2"/>
    <x v="8"/>
    <s v="Avery 50"/>
    <n v="25.06"/>
    <n v="2"/>
    <n v="11.78"/>
  </r>
  <r>
    <d v="2015-07-09T00:00:00"/>
    <x v="6"/>
    <x v="1"/>
    <x v="262"/>
    <x v="5"/>
    <x v="2"/>
    <x v="6"/>
    <s v="Safco Industrial Wire Shelving"/>
    <n v="671.93"/>
    <n v="7"/>
    <n v="20.16"/>
  </r>
  <r>
    <d v="2015-07-09T00:00:00"/>
    <x v="6"/>
    <x v="1"/>
    <x v="383"/>
    <x v="4"/>
    <x v="1"/>
    <x v="1"/>
    <s v="Metal Folding Chairs, Beige, 4/Carton"/>
    <n v="47.52"/>
    <n v="2"/>
    <n v="-2.04"/>
  </r>
  <r>
    <d v="2015-07-09T00:00:00"/>
    <x v="6"/>
    <x v="1"/>
    <x v="202"/>
    <x v="2"/>
    <x v="1"/>
    <x v="7"/>
    <s v="Anderson Hickey Conga Table Tops &amp; Accessories"/>
    <n v="27.41"/>
    <n v="3"/>
    <n v="-14.16"/>
  </r>
  <r>
    <d v="2015-07-09T00:00:00"/>
    <x v="6"/>
    <x v="1"/>
    <x v="179"/>
    <x v="13"/>
    <x v="2"/>
    <x v="9"/>
    <s v="GBC Wire Binding Strips"/>
    <n v="9.52"/>
    <n v="1"/>
    <n v="-6.98"/>
  </r>
  <r>
    <d v="2015-07-09T00:00:00"/>
    <x v="6"/>
    <x v="1"/>
    <x v="179"/>
    <x v="13"/>
    <x v="2"/>
    <x v="9"/>
    <s v="Angle-D Ring Binders"/>
    <n v="4.92"/>
    <n v="3"/>
    <n v="-3.94"/>
  </r>
  <r>
    <d v="2015-07-09T00:00:00"/>
    <x v="6"/>
    <x v="1"/>
    <x v="52"/>
    <x v="2"/>
    <x v="2"/>
    <x v="6"/>
    <s v="Mobile Personal File Cube"/>
    <n v="70.260000000000005"/>
    <n v="3"/>
    <n v="18.97"/>
  </r>
  <r>
    <d v="2015-07-09T00:00:00"/>
    <x v="6"/>
    <x v="1"/>
    <x v="52"/>
    <x v="2"/>
    <x v="0"/>
    <x v="0"/>
    <s v="KeyTronicÂ E03601U1 -Â KeyboardÂ - Beige"/>
    <n v="90"/>
    <n v="5"/>
    <n v="16.2"/>
  </r>
  <r>
    <d v="2015-07-09T00:00:00"/>
    <x v="6"/>
    <x v="1"/>
    <x v="52"/>
    <x v="2"/>
    <x v="2"/>
    <x v="9"/>
    <s v="Acco Pressboard Covers with Storage Hooks, 9 1/2&quot; x 11&quot;, Executive Red"/>
    <n v="6.1"/>
    <n v="2"/>
    <n v="2.06"/>
  </r>
  <r>
    <d v="2015-07-09T00:00:00"/>
    <x v="6"/>
    <x v="1"/>
    <x v="52"/>
    <x v="2"/>
    <x v="1"/>
    <x v="7"/>
    <s v="Bretford CR8500 Series Meeting Room Furniture"/>
    <n v="481.18"/>
    <n v="2"/>
    <n v="-120.29"/>
  </r>
  <r>
    <d v="2015-07-11T00:00:00"/>
    <x v="6"/>
    <x v="1"/>
    <x v="384"/>
    <x v="5"/>
    <x v="1"/>
    <x v="1"/>
    <s v="Safco Contoured Stacking Chairs"/>
    <n v="190.72"/>
    <n v="1"/>
    <n v="11.92"/>
  </r>
  <r>
    <d v="2015-07-11T00:00:00"/>
    <x v="6"/>
    <x v="1"/>
    <x v="385"/>
    <x v="37"/>
    <x v="2"/>
    <x v="4"/>
    <s v="Rubber Band Ball"/>
    <n v="26.18"/>
    <n v="7"/>
    <n v="0.52"/>
  </r>
  <r>
    <d v="2015-07-11T00:00:00"/>
    <x v="6"/>
    <x v="1"/>
    <x v="385"/>
    <x v="37"/>
    <x v="2"/>
    <x v="3"/>
    <s v="Loose Memo Sheets"/>
    <n v="7.3"/>
    <n v="2"/>
    <n v="3.43"/>
  </r>
  <r>
    <d v="2015-07-11T00:00:00"/>
    <x v="6"/>
    <x v="1"/>
    <x v="384"/>
    <x v="13"/>
    <x v="2"/>
    <x v="13"/>
    <s v="White Envelopes, White Envelopes with Clear Poly Window"/>
    <n v="24.4"/>
    <n v="2"/>
    <n v="7.93"/>
  </r>
  <r>
    <d v="2015-07-11T00:00:00"/>
    <x v="6"/>
    <x v="1"/>
    <x v="386"/>
    <x v="11"/>
    <x v="2"/>
    <x v="9"/>
    <s v="Avery Hanging File Binders"/>
    <n v="16.149999999999999"/>
    <n v="9"/>
    <n v="-12.92"/>
  </r>
  <r>
    <d v="2015-07-11T00:00:00"/>
    <x v="6"/>
    <x v="1"/>
    <x v="387"/>
    <x v="4"/>
    <x v="2"/>
    <x v="3"/>
    <s v="Xerox 1886"/>
    <n v="76.64"/>
    <n v="2"/>
    <n v="26.82"/>
  </r>
  <r>
    <d v="2015-07-11T00:00:00"/>
    <x v="6"/>
    <x v="1"/>
    <x v="388"/>
    <x v="4"/>
    <x v="2"/>
    <x v="6"/>
    <s v="Gould Plastics 9-Pocket Panel Bin, 18-3/8w x 5-1/4d x 20-1/2h, Black"/>
    <n v="84.78"/>
    <n v="2"/>
    <n v="-16.96"/>
  </r>
  <r>
    <d v="2015-07-11T00:00:00"/>
    <x v="6"/>
    <x v="1"/>
    <x v="388"/>
    <x v="4"/>
    <x v="1"/>
    <x v="5"/>
    <s v="Tenex Chairmats For Use with Hard Floors"/>
    <n v="64.959999999999994"/>
    <n v="5"/>
    <n v="-84.45"/>
  </r>
  <r>
    <d v="2015-07-11T00:00:00"/>
    <x v="6"/>
    <x v="1"/>
    <x v="388"/>
    <x v="4"/>
    <x v="2"/>
    <x v="6"/>
    <s v="Fellowes Recycled Storage Drawers"/>
    <n v="177.65"/>
    <n v="2"/>
    <n v="-28.87"/>
  </r>
  <r>
    <d v="2015-07-11T00:00:00"/>
    <x v="6"/>
    <x v="1"/>
    <x v="388"/>
    <x v="4"/>
    <x v="0"/>
    <x v="14"/>
    <s v="Canon PC170 Desktop Personal Copier"/>
    <n v="287.91000000000003"/>
    <n v="3"/>
    <n v="33.590000000000003"/>
  </r>
  <r>
    <d v="2015-07-12T00:00:00"/>
    <x v="6"/>
    <x v="1"/>
    <x v="299"/>
    <x v="1"/>
    <x v="2"/>
    <x v="4"/>
    <s v="Alliance Big Bands Rubber Bands, 12/Pack"/>
    <n v="3.96"/>
    <n v="2"/>
    <n v="0"/>
  </r>
  <r>
    <d v="2015-07-12T00:00:00"/>
    <x v="6"/>
    <x v="1"/>
    <x v="389"/>
    <x v="2"/>
    <x v="2"/>
    <x v="9"/>
    <s v="Pressboard Data Binders by Wilson Jones"/>
    <n v="21.36"/>
    <n v="5"/>
    <n v="7.21"/>
  </r>
  <r>
    <d v="2015-07-12T00:00:00"/>
    <x v="6"/>
    <x v="1"/>
    <x v="389"/>
    <x v="2"/>
    <x v="2"/>
    <x v="9"/>
    <s v="Avery Durable Slant Ring Binders With Label Holder"/>
    <n v="6.69"/>
    <n v="2"/>
    <n v="2.34"/>
  </r>
  <r>
    <d v="2015-07-12T00:00:00"/>
    <x v="6"/>
    <x v="1"/>
    <x v="389"/>
    <x v="2"/>
    <x v="0"/>
    <x v="2"/>
    <s v="Digium D40 VoIP phone"/>
    <n v="773.94"/>
    <n v="6"/>
    <n v="224.44"/>
  </r>
  <r>
    <d v="2015-07-12T00:00:00"/>
    <x v="6"/>
    <x v="1"/>
    <x v="390"/>
    <x v="5"/>
    <x v="2"/>
    <x v="3"/>
    <s v="Xerox 218"/>
    <n v="12.96"/>
    <n v="2"/>
    <n v="6.22"/>
  </r>
  <r>
    <d v="2015-08-02T00:00:00"/>
    <x v="7"/>
    <x v="1"/>
    <x v="214"/>
    <x v="39"/>
    <x v="2"/>
    <x v="3"/>
    <s v="Wirebound Message Books, Four 2 3/4 x 5 Forms per Page, 200 Sets per Book"/>
    <n v="9.5399999999999991"/>
    <n v="2"/>
    <n v="4.29"/>
  </r>
  <r>
    <d v="2015-08-02T00:00:00"/>
    <x v="7"/>
    <x v="1"/>
    <x v="214"/>
    <x v="39"/>
    <x v="2"/>
    <x v="4"/>
    <s v="Advantus Push Pins, Aluminum Head"/>
    <n v="5.81"/>
    <n v="1"/>
    <n v="1.8"/>
  </r>
  <r>
    <d v="2015-08-02T00:00:00"/>
    <x v="7"/>
    <x v="1"/>
    <x v="214"/>
    <x v="39"/>
    <x v="2"/>
    <x v="11"/>
    <s v="Sanford Colorific Colored Pencils, 12/Box"/>
    <n v="5.76"/>
    <n v="2"/>
    <n v="1.73"/>
  </r>
  <r>
    <d v="2015-08-03T00:00:00"/>
    <x v="7"/>
    <x v="1"/>
    <x v="391"/>
    <x v="0"/>
    <x v="1"/>
    <x v="16"/>
    <s v="Rush Hierlooms Collection 1&quot; Thick Stackable Bookcases"/>
    <n v="512.94000000000005"/>
    <n v="3"/>
    <n v="97.46"/>
  </r>
  <r>
    <d v="2015-08-03T00:00:00"/>
    <x v="7"/>
    <x v="1"/>
    <x v="391"/>
    <x v="0"/>
    <x v="1"/>
    <x v="1"/>
    <s v="Hon Mobius Operator's Chair"/>
    <n v="860.93"/>
    <n v="7"/>
    <n v="189.4"/>
  </r>
  <r>
    <d v="2015-08-03T00:00:00"/>
    <x v="7"/>
    <x v="1"/>
    <x v="391"/>
    <x v="0"/>
    <x v="0"/>
    <x v="2"/>
    <s v="Nortel Meridian M3904 Professional Digital phone"/>
    <n v="769.95"/>
    <n v="5"/>
    <n v="223.29"/>
  </r>
  <r>
    <d v="2015-08-03T00:00:00"/>
    <x v="7"/>
    <x v="1"/>
    <x v="391"/>
    <x v="0"/>
    <x v="2"/>
    <x v="11"/>
    <s v="Boston 1900 Electric Pencil Sharpener"/>
    <n v="14.98"/>
    <n v="1"/>
    <n v="4.49"/>
  </r>
  <r>
    <d v="2015-08-03T00:00:00"/>
    <x v="7"/>
    <x v="1"/>
    <x v="392"/>
    <x v="2"/>
    <x v="2"/>
    <x v="3"/>
    <s v="Xerox 1997"/>
    <n v="19.440000000000001"/>
    <n v="3"/>
    <n v="9.33"/>
  </r>
  <r>
    <d v="2015-08-05T00:00:00"/>
    <x v="7"/>
    <x v="1"/>
    <x v="27"/>
    <x v="7"/>
    <x v="0"/>
    <x v="2"/>
    <s v="VTech DS6151"/>
    <n v="377.97"/>
    <n v="3"/>
    <n v="105.83"/>
  </r>
  <r>
    <d v="2015-08-05T00:00:00"/>
    <x v="7"/>
    <x v="1"/>
    <x v="393"/>
    <x v="2"/>
    <x v="2"/>
    <x v="3"/>
    <s v="Xerox 204"/>
    <n v="19.440000000000001"/>
    <n v="3"/>
    <n v="9.33"/>
  </r>
  <r>
    <d v="2015-08-06T00:00:00"/>
    <x v="7"/>
    <x v="1"/>
    <x v="394"/>
    <x v="3"/>
    <x v="0"/>
    <x v="0"/>
    <s v="Maxell 4.7GB DVD+R 5/Pack"/>
    <n v="2.38"/>
    <n v="3"/>
    <n v="0.74"/>
  </r>
  <r>
    <d v="2015-08-06T00:00:00"/>
    <x v="7"/>
    <x v="1"/>
    <x v="395"/>
    <x v="11"/>
    <x v="2"/>
    <x v="3"/>
    <s v="Xerox 1951"/>
    <n v="173.49"/>
    <n v="7"/>
    <n v="54.22"/>
  </r>
  <r>
    <d v="2015-08-06T00:00:00"/>
    <x v="7"/>
    <x v="1"/>
    <x v="395"/>
    <x v="11"/>
    <x v="2"/>
    <x v="6"/>
    <s v="Fellowes Super Stor/Drawer Files"/>
    <n v="516.96"/>
    <n v="4"/>
    <n v="-6.46"/>
  </r>
  <r>
    <d v="2015-08-06T00:00:00"/>
    <x v="7"/>
    <x v="1"/>
    <x v="395"/>
    <x v="11"/>
    <x v="1"/>
    <x v="5"/>
    <s v="Advantus Employee of the Month Certificate Frame, 11 x 13-1/2"/>
    <n v="173.21"/>
    <n v="7"/>
    <n v="45.47"/>
  </r>
  <r>
    <d v="2015-08-06T00:00:00"/>
    <x v="7"/>
    <x v="1"/>
    <x v="395"/>
    <x v="11"/>
    <x v="2"/>
    <x v="11"/>
    <s v="Newell 344"/>
    <n v="4.45"/>
    <n v="2"/>
    <n v="0.33"/>
  </r>
  <r>
    <d v="2015-08-06T00:00:00"/>
    <x v="7"/>
    <x v="1"/>
    <x v="395"/>
    <x v="11"/>
    <x v="2"/>
    <x v="3"/>
    <s v="Xerox 1963"/>
    <n v="42.24"/>
    <n v="10"/>
    <n v="13.2"/>
  </r>
  <r>
    <d v="2015-08-08T00:00:00"/>
    <x v="7"/>
    <x v="1"/>
    <x v="396"/>
    <x v="5"/>
    <x v="1"/>
    <x v="1"/>
    <s v="Global Ergonomic Managers Chair"/>
    <n v="144.78"/>
    <n v="1"/>
    <n v="10.86"/>
  </r>
  <r>
    <d v="2015-08-08T00:00:00"/>
    <x v="7"/>
    <x v="1"/>
    <x v="397"/>
    <x v="6"/>
    <x v="2"/>
    <x v="11"/>
    <s v="Boston 1827 Commercial Additional Cutter, Drive Gear &amp; Gear Rack for 1606"/>
    <n v="39.659999999999997"/>
    <n v="2"/>
    <n v="11.9"/>
  </r>
  <r>
    <d v="2015-08-08T00:00:00"/>
    <x v="7"/>
    <x v="1"/>
    <x v="397"/>
    <x v="6"/>
    <x v="2"/>
    <x v="10"/>
    <s v="Conquest 14 Commercial Heavy-Duty Upright Vacuum, Collection System, Accessory Kit"/>
    <n v="113.92"/>
    <n v="2"/>
    <n v="33.04"/>
  </r>
  <r>
    <d v="2015-08-09T00:00:00"/>
    <x v="7"/>
    <x v="1"/>
    <x v="302"/>
    <x v="34"/>
    <x v="1"/>
    <x v="5"/>
    <s v="Acrylic Self-Standing Desk Frames"/>
    <n v="21.36"/>
    <n v="8"/>
    <n v="8.1199999999999992"/>
  </r>
  <r>
    <d v="2015-08-10T00:00:00"/>
    <x v="7"/>
    <x v="1"/>
    <x v="398"/>
    <x v="4"/>
    <x v="2"/>
    <x v="11"/>
    <s v="Binney &amp; Smith inkTank Desk Highlighter, Chisel Tip, Yellow, 12/Box"/>
    <n v="3.44"/>
    <n v="2"/>
    <n v="0.56000000000000005"/>
  </r>
  <r>
    <d v="2015-08-10T00:00:00"/>
    <x v="7"/>
    <x v="1"/>
    <x v="399"/>
    <x v="4"/>
    <x v="1"/>
    <x v="5"/>
    <s v="Tenex Traditional Chairmats for Medium Pile Carpet, Standard Lip, 36&quot; x 48&quot;"/>
    <n v="72.78"/>
    <n v="3"/>
    <n v="-70.959999999999994"/>
  </r>
  <r>
    <d v="2015-08-11T00:00:00"/>
    <x v="7"/>
    <x v="1"/>
    <x v="400"/>
    <x v="6"/>
    <x v="2"/>
    <x v="11"/>
    <s v="American Pencil"/>
    <n v="11.65"/>
    <n v="5"/>
    <n v="3.38"/>
  </r>
  <r>
    <d v="2015-08-11T00:00:00"/>
    <x v="7"/>
    <x v="1"/>
    <x v="53"/>
    <x v="21"/>
    <x v="2"/>
    <x v="4"/>
    <s v="Alliance Rubber Bands"/>
    <n v="5.04"/>
    <n v="3"/>
    <n v="0.2"/>
  </r>
  <r>
    <d v="2015-08-11T00:00:00"/>
    <x v="7"/>
    <x v="1"/>
    <x v="53"/>
    <x v="21"/>
    <x v="2"/>
    <x v="3"/>
    <s v="Xerox 1988"/>
    <n v="92.94"/>
    <n v="3"/>
    <n v="41.82"/>
  </r>
  <r>
    <d v="2015-08-11T00:00:00"/>
    <x v="7"/>
    <x v="1"/>
    <x v="401"/>
    <x v="5"/>
    <x v="0"/>
    <x v="0"/>
    <s v="Microsoft Arc Touch Mouse"/>
    <n v="119.9"/>
    <n v="2"/>
    <n v="43.16"/>
  </r>
  <r>
    <d v="2015-08-11T00:00:00"/>
    <x v="7"/>
    <x v="1"/>
    <x v="308"/>
    <x v="20"/>
    <x v="2"/>
    <x v="11"/>
    <s v="Newell 314"/>
    <n v="27.9"/>
    <n v="5"/>
    <n v="6.98"/>
  </r>
  <r>
    <d v="2015-08-11T00:00:00"/>
    <x v="7"/>
    <x v="1"/>
    <x v="300"/>
    <x v="2"/>
    <x v="2"/>
    <x v="6"/>
    <s v="Fellowes Desktop Hanging File Manager"/>
    <n v="67.150000000000006"/>
    <n v="5"/>
    <n v="16.79"/>
  </r>
  <r>
    <d v="2015-08-11T00:00:00"/>
    <x v="7"/>
    <x v="1"/>
    <x v="300"/>
    <x v="2"/>
    <x v="1"/>
    <x v="5"/>
    <s v="Nu-Dell EZ-Mount Plastic Wall Frames"/>
    <n v="11.82"/>
    <n v="3"/>
    <n v="4.7300000000000004"/>
  </r>
  <r>
    <d v="2015-08-11T00:00:00"/>
    <x v="7"/>
    <x v="1"/>
    <x v="300"/>
    <x v="2"/>
    <x v="0"/>
    <x v="14"/>
    <s v="Zebra ZM400 Thermal Label Printer"/>
    <n v="4643.8"/>
    <n v="4"/>
    <n v="2229.02"/>
  </r>
  <r>
    <d v="2015-08-11T00:00:00"/>
    <x v="7"/>
    <x v="1"/>
    <x v="381"/>
    <x v="12"/>
    <x v="2"/>
    <x v="4"/>
    <s v="OIC Binder Clips"/>
    <n v="31.5"/>
    <n v="11"/>
    <n v="11.81"/>
  </r>
  <r>
    <d v="2015-08-11T00:00:00"/>
    <x v="7"/>
    <x v="1"/>
    <x v="381"/>
    <x v="12"/>
    <x v="2"/>
    <x v="8"/>
    <s v="Permanent Self-Adhesive File Folder Labels for Typewriters, 1 1/8 x 3 1/2, White"/>
    <n v="5.04"/>
    <n v="1"/>
    <n v="1.64"/>
  </r>
  <r>
    <d v="2015-08-11T00:00:00"/>
    <x v="7"/>
    <x v="1"/>
    <x v="11"/>
    <x v="42"/>
    <x v="1"/>
    <x v="16"/>
    <s v="Riverside Palais Royal Lawyers Bookcase, Royale Cherry Finish"/>
    <n v="4404.8999999999996"/>
    <n v="5"/>
    <n v="1013.13"/>
  </r>
  <r>
    <d v="2015-08-12T00:00:00"/>
    <x v="7"/>
    <x v="1"/>
    <x v="402"/>
    <x v="4"/>
    <x v="0"/>
    <x v="2"/>
    <s v="Nokia Lumia 521 (T-Mobile)"/>
    <n v="119.96"/>
    <n v="5"/>
    <n v="12"/>
  </r>
  <r>
    <d v="2015-08-12T00:00:00"/>
    <x v="7"/>
    <x v="1"/>
    <x v="403"/>
    <x v="5"/>
    <x v="0"/>
    <x v="0"/>
    <s v="WD My Passport Ultra 500GB Portable External Hard Drive"/>
    <n v="236"/>
    <n v="4"/>
    <n v="40.119999999999997"/>
  </r>
  <r>
    <d v="2015-09-01T00:00:00"/>
    <x v="8"/>
    <x v="1"/>
    <x v="404"/>
    <x v="17"/>
    <x v="2"/>
    <x v="10"/>
    <s v="Belkin 5 Outlet SurgeMaster Power Centers"/>
    <n v="163.44"/>
    <n v="3"/>
    <n v="45.76"/>
  </r>
  <r>
    <d v="2015-09-01T00:00:00"/>
    <x v="8"/>
    <x v="1"/>
    <x v="404"/>
    <x v="17"/>
    <x v="2"/>
    <x v="11"/>
    <s v="Boston 1730 StandUp Electric Pencil Sharpener"/>
    <n v="42.76"/>
    <n v="2"/>
    <n v="11.12"/>
  </r>
  <r>
    <d v="2015-09-01T00:00:00"/>
    <x v="8"/>
    <x v="1"/>
    <x v="404"/>
    <x v="17"/>
    <x v="2"/>
    <x v="3"/>
    <s v="Speediset Carbonless Redi-Letter 7&quot; x 8 1/2&quot;"/>
    <n v="51.55"/>
    <n v="5"/>
    <n v="24.23"/>
  </r>
  <r>
    <d v="2015-09-04T00:00:00"/>
    <x v="8"/>
    <x v="1"/>
    <x v="248"/>
    <x v="5"/>
    <x v="1"/>
    <x v="7"/>
    <s v="Laminate Occasional Tables"/>
    <n v="369.91"/>
    <n v="3"/>
    <n v="-13.87"/>
  </r>
  <r>
    <d v="2015-09-04T00:00:00"/>
    <x v="8"/>
    <x v="1"/>
    <x v="405"/>
    <x v="25"/>
    <x v="2"/>
    <x v="10"/>
    <s v="Honeywell Enviracaire Portable HEPA Air Cleaner for up to 10 x 16 Room"/>
    <n v="370.14"/>
    <n v="3"/>
    <n v="144.35"/>
  </r>
  <r>
    <d v="2015-09-06T00:00:00"/>
    <x v="8"/>
    <x v="1"/>
    <x v="406"/>
    <x v="36"/>
    <x v="0"/>
    <x v="2"/>
    <s v="Dexim XPower Skin Super-Thin Power Case for iPhone 5 - Black"/>
    <n v="140.38"/>
    <n v="3"/>
    <n v="8.77"/>
  </r>
  <r>
    <d v="2015-09-06T00:00:00"/>
    <x v="8"/>
    <x v="1"/>
    <x v="407"/>
    <x v="11"/>
    <x v="2"/>
    <x v="9"/>
    <s v="Wilson Jones Elliptical Ring 3 1/2&quot; Capacity Binders, 800 sheets"/>
    <n v="38.520000000000003"/>
    <n v="3"/>
    <n v="-26.96"/>
  </r>
  <r>
    <d v="2015-09-06T00:00:00"/>
    <x v="8"/>
    <x v="1"/>
    <x v="407"/>
    <x v="11"/>
    <x v="0"/>
    <x v="0"/>
    <s v="Logitech Keyboard K120"/>
    <n v="72.599999999999994"/>
    <n v="5"/>
    <n v="-8.17"/>
  </r>
  <r>
    <d v="2015-09-07T00:00:00"/>
    <x v="8"/>
    <x v="1"/>
    <x v="303"/>
    <x v="6"/>
    <x v="2"/>
    <x v="3"/>
    <s v="Tops Wirebound Message Log Books"/>
    <n v="6.58"/>
    <n v="2"/>
    <n v="3.03"/>
  </r>
  <r>
    <d v="2015-09-07T00:00:00"/>
    <x v="8"/>
    <x v="1"/>
    <x v="398"/>
    <x v="24"/>
    <x v="2"/>
    <x v="4"/>
    <s v="Advantus Map Pennant Flags and Round Head Tacks"/>
    <n v="15.8"/>
    <n v="4"/>
    <n v="5.0599999999999996"/>
  </r>
  <r>
    <d v="2015-09-07T00:00:00"/>
    <x v="8"/>
    <x v="1"/>
    <x v="398"/>
    <x v="24"/>
    <x v="0"/>
    <x v="14"/>
    <s v="Fellowes Powershred HS-440 4-Sheet High Security Shredder"/>
    <n v="464.97"/>
    <n v="3"/>
    <n v="209.24"/>
  </r>
  <r>
    <d v="2015-09-07T00:00:00"/>
    <x v="8"/>
    <x v="1"/>
    <x v="398"/>
    <x v="24"/>
    <x v="1"/>
    <x v="5"/>
    <s v="Eldon ClusterMat Chair Mat with Cordless Antistatic Protection"/>
    <n v="181.96"/>
    <n v="2"/>
    <n v="20.02"/>
  </r>
  <r>
    <d v="2015-09-07T00:00:00"/>
    <x v="8"/>
    <x v="1"/>
    <x v="398"/>
    <x v="24"/>
    <x v="2"/>
    <x v="8"/>
    <s v="Avery 05222 Permanent Self-Adhesive File Folder Labels for Typewriters, on Rolls, White, 250/Roll"/>
    <n v="12.39"/>
    <n v="3"/>
    <n v="5.7"/>
  </r>
  <r>
    <d v="2015-09-07T00:00:00"/>
    <x v="8"/>
    <x v="1"/>
    <x v="398"/>
    <x v="24"/>
    <x v="2"/>
    <x v="9"/>
    <s v="GBC Recycled VeloBinder Covers"/>
    <n v="153.36000000000001"/>
    <n v="9"/>
    <n v="70.55"/>
  </r>
  <r>
    <d v="2015-09-07T00:00:00"/>
    <x v="8"/>
    <x v="1"/>
    <x v="398"/>
    <x v="24"/>
    <x v="2"/>
    <x v="9"/>
    <s v="Wilson Jones Active Use Binders"/>
    <n v="43.68"/>
    <n v="6"/>
    <n v="21.4"/>
  </r>
  <r>
    <d v="2015-09-07T00:00:00"/>
    <x v="8"/>
    <x v="1"/>
    <x v="398"/>
    <x v="24"/>
    <x v="2"/>
    <x v="6"/>
    <s v="Project Tote Personal File"/>
    <n v="98.21"/>
    <n v="7"/>
    <n v="28.48"/>
  </r>
  <r>
    <d v="2015-09-07T00:00:00"/>
    <x v="8"/>
    <x v="1"/>
    <x v="64"/>
    <x v="13"/>
    <x v="0"/>
    <x v="2"/>
    <s v="Panasonic KX-TG9541B DECT 6.0 Digital 2-Line Expandable Cordless Phone With Digital Answering System"/>
    <n v="269.98"/>
    <n v="3"/>
    <n v="40.5"/>
  </r>
  <r>
    <d v="2015-09-07T00:00:00"/>
    <x v="8"/>
    <x v="1"/>
    <x v="269"/>
    <x v="4"/>
    <x v="2"/>
    <x v="10"/>
    <s v="Acco 7-Outlet Masterpiece Power Center, Wihtout Fax/Phone Line Protection"/>
    <n v="48.63"/>
    <n v="2"/>
    <n v="-121.58"/>
  </r>
  <r>
    <d v="2015-09-08T00:00:00"/>
    <x v="8"/>
    <x v="1"/>
    <x v="408"/>
    <x v="10"/>
    <x v="2"/>
    <x v="11"/>
    <s v="Sanford Uni-Blazer View Highlighters, Chisel Tip, Yellow"/>
    <n v="2.2000000000000002"/>
    <n v="1"/>
    <n v="0.97"/>
  </r>
  <r>
    <d v="2015-09-08T00:00:00"/>
    <x v="8"/>
    <x v="1"/>
    <x v="409"/>
    <x v="2"/>
    <x v="1"/>
    <x v="7"/>
    <s v="KI Conference Tables"/>
    <n v="382.81"/>
    <n v="9"/>
    <n v="-153.12"/>
  </r>
  <r>
    <d v="2015-09-08T00:00:00"/>
    <x v="8"/>
    <x v="1"/>
    <x v="409"/>
    <x v="2"/>
    <x v="1"/>
    <x v="5"/>
    <s v="Artistic Insta-Plaque"/>
    <n v="47.04"/>
    <n v="3"/>
    <n v="18.350000000000001"/>
  </r>
  <r>
    <d v="2015-09-08T00:00:00"/>
    <x v="8"/>
    <x v="1"/>
    <x v="409"/>
    <x v="2"/>
    <x v="0"/>
    <x v="0"/>
    <s v="Belkin QODE FastFit Bluetooth Keyboard"/>
    <n v="247.8"/>
    <n v="4"/>
    <n v="34.69"/>
  </r>
  <r>
    <d v="2015-09-08T00:00:00"/>
    <x v="8"/>
    <x v="1"/>
    <x v="188"/>
    <x v="11"/>
    <x v="2"/>
    <x v="8"/>
    <s v="Avery File Folder Labels"/>
    <n v="4.6100000000000003"/>
    <n v="2"/>
    <n v="1.67"/>
  </r>
  <r>
    <d v="2015-09-08T00:00:00"/>
    <x v="8"/>
    <x v="1"/>
    <x v="2"/>
    <x v="0"/>
    <x v="1"/>
    <x v="16"/>
    <s v="O'Sullivan Cherrywood Estates Traditional Barrister Bookcase"/>
    <n v="687.4"/>
    <n v="5"/>
    <n v="48.12"/>
  </r>
  <r>
    <d v="2015-09-08T00:00:00"/>
    <x v="8"/>
    <x v="1"/>
    <x v="410"/>
    <x v="2"/>
    <x v="2"/>
    <x v="3"/>
    <s v="Xerox 1885"/>
    <n v="144.12"/>
    <n v="3"/>
    <n v="69.180000000000007"/>
  </r>
  <r>
    <d v="2015-09-10T00:00:00"/>
    <x v="8"/>
    <x v="1"/>
    <x v="219"/>
    <x v="10"/>
    <x v="0"/>
    <x v="2"/>
    <s v="KLD Oscar II Style Snap-on Ultra Thin Side Flip Synthetic Leather Cover Case for HTC One HTC M7"/>
    <n v="29.16"/>
    <n v="3"/>
    <n v="8.4600000000000009"/>
  </r>
  <r>
    <d v="2015-09-10T00:00:00"/>
    <x v="8"/>
    <x v="1"/>
    <x v="411"/>
    <x v="11"/>
    <x v="2"/>
    <x v="9"/>
    <s v="Clear Mylar Reinforcing Strips"/>
    <n v="11.21"/>
    <n v="2"/>
    <n v="-8.6"/>
  </r>
  <r>
    <d v="2015-09-10T00:00:00"/>
    <x v="8"/>
    <x v="1"/>
    <x v="411"/>
    <x v="11"/>
    <x v="2"/>
    <x v="11"/>
    <s v="Avery Hi-Liter Smear-Safe Highlighters"/>
    <n v="37.380000000000003"/>
    <n v="8"/>
    <n v="7.48"/>
  </r>
  <r>
    <d v="2015-09-10T00:00:00"/>
    <x v="8"/>
    <x v="1"/>
    <x v="412"/>
    <x v="10"/>
    <x v="1"/>
    <x v="1"/>
    <s v="High-Back Leather Manager's Chair"/>
    <n v="389.97"/>
    <n v="3"/>
    <n v="35.1"/>
  </r>
  <r>
    <d v="2015-09-10T00:00:00"/>
    <x v="8"/>
    <x v="1"/>
    <x v="412"/>
    <x v="10"/>
    <x v="2"/>
    <x v="10"/>
    <s v="Belkin 8 Outlet SurgeMaster II Gold Surge Protector"/>
    <n v="269.91000000000003"/>
    <n v="5"/>
    <n v="53.98"/>
  </r>
  <r>
    <d v="2015-09-11T00:00:00"/>
    <x v="8"/>
    <x v="1"/>
    <x v="413"/>
    <x v="13"/>
    <x v="2"/>
    <x v="3"/>
    <s v="While You Were Out Pads, 50 per Pad, 4 x 5 1/4, Green Cycle"/>
    <n v="11.35"/>
    <n v="3"/>
    <n v="4.12"/>
  </r>
  <r>
    <d v="2015-09-11T00:00:00"/>
    <x v="8"/>
    <x v="1"/>
    <x v="414"/>
    <x v="22"/>
    <x v="2"/>
    <x v="9"/>
    <s v="Binder Posts"/>
    <n v="17.22"/>
    <n v="3"/>
    <n v="7.92"/>
  </r>
  <r>
    <d v="2015-09-11T00:00:00"/>
    <x v="8"/>
    <x v="1"/>
    <x v="414"/>
    <x v="22"/>
    <x v="1"/>
    <x v="7"/>
    <s v="Bevis Round Conference Table Top &amp; Single Column Base"/>
    <n v="1024.3800000000001"/>
    <n v="7"/>
    <n v="215.12"/>
  </r>
  <r>
    <d v="2015-09-11T00:00:00"/>
    <x v="8"/>
    <x v="1"/>
    <x v="414"/>
    <x v="22"/>
    <x v="2"/>
    <x v="3"/>
    <s v="Xerox 1978"/>
    <n v="17.34"/>
    <n v="3"/>
    <n v="8.5"/>
  </r>
  <r>
    <d v="2015-09-11T00:00:00"/>
    <x v="8"/>
    <x v="1"/>
    <x v="415"/>
    <x v="2"/>
    <x v="2"/>
    <x v="13"/>
    <s v="Poly String Tie Envelopes"/>
    <n v="12.24"/>
    <n v="6"/>
    <n v="5.75"/>
  </r>
  <r>
    <d v="2015-09-11T00:00:00"/>
    <x v="8"/>
    <x v="1"/>
    <x v="415"/>
    <x v="2"/>
    <x v="0"/>
    <x v="0"/>
    <s v="AmazonBasics 3-Button USB Wired Mouse"/>
    <n v="13.98"/>
    <n v="2"/>
    <n v="6.01"/>
  </r>
  <r>
    <d v="2015-09-11T00:00:00"/>
    <x v="8"/>
    <x v="1"/>
    <x v="416"/>
    <x v="5"/>
    <x v="2"/>
    <x v="4"/>
    <s v="OIC Binder Clips, Mini, 1/4&quot; Capacity, Black"/>
    <n v="2.48"/>
    <n v="2"/>
    <n v="1.17"/>
  </r>
  <r>
    <d v="2015-10-01T00:00:00"/>
    <x v="9"/>
    <x v="1"/>
    <x v="417"/>
    <x v="2"/>
    <x v="1"/>
    <x v="7"/>
    <s v="Bush Advantage Collection Racetrack Conference Table"/>
    <n v="1018.1"/>
    <n v="4"/>
    <n v="-373.3"/>
  </r>
  <r>
    <d v="2015-10-03T00:00:00"/>
    <x v="9"/>
    <x v="1"/>
    <x v="205"/>
    <x v="4"/>
    <x v="2"/>
    <x v="9"/>
    <s v="Acco Suede Grain Vinyl Round Ring Binder"/>
    <n v="1.1100000000000001"/>
    <n v="2"/>
    <n v="-1.89"/>
  </r>
  <r>
    <d v="2015-10-04T00:00:00"/>
    <x v="9"/>
    <x v="1"/>
    <x v="418"/>
    <x v="2"/>
    <x v="2"/>
    <x v="6"/>
    <s v="Steel Personal Filing/Posting Tote"/>
    <n v="142.04"/>
    <n v="4"/>
    <n v="38.35"/>
  </r>
  <r>
    <d v="2015-10-04T00:00:00"/>
    <x v="9"/>
    <x v="1"/>
    <x v="418"/>
    <x v="2"/>
    <x v="2"/>
    <x v="11"/>
    <s v="Faber Castell Col-Erase Pencils"/>
    <n v="14.67"/>
    <n v="3"/>
    <n v="6.01"/>
  </r>
  <r>
    <d v="2015-10-05T00:00:00"/>
    <x v="9"/>
    <x v="1"/>
    <x v="127"/>
    <x v="3"/>
    <x v="2"/>
    <x v="10"/>
    <s v="Tripp Lite Isotel 8 Ultra 8 Outlet Metal Surge"/>
    <n v="70.97"/>
    <n v="5"/>
    <n v="-191.62"/>
  </r>
  <r>
    <d v="2015-10-08T00:00:00"/>
    <x v="9"/>
    <x v="1"/>
    <x v="58"/>
    <x v="7"/>
    <x v="2"/>
    <x v="8"/>
    <s v="Avery 489"/>
    <n v="41.4"/>
    <n v="4"/>
    <n v="19.87"/>
  </r>
  <r>
    <d v="2015-10-08T00:00:00"/>
    <x v="9"/>
    <x v="1"/>
    <x v="58"/>
    <x v="7"/>
    <x v="2"/>
    <x v="11"/>
    <s v="Peel-Off China Markers"/>
    <n v="29.79"/>
    <n v="3"/>
    <n v="12.51"/>
  </r>
  <r>
    <d v="2015-10-08T00:00:00"/>
    <x v="9"/>
    <x v="1"/>
    <x v="419"/>
    <x v="10"/>
    <x v="2"/>
    <x v="9"/>
    <s v="GBC Binding covers"/>
    <n v="64.75"/>
    <n v="5"/>
    <n v="29.14"/>
  </r>
  <r>
    <d v="2015-10-09T00:00:00"/>
    <x v="9"/>
    <x v="1"/>
    <x v="117"/>
    <x v="28"/>
    <x v="2"/>
    <x v="3"/>
    <s v="Xerox 1952"/>
    <n v="14.94"/>
    <n v="3"/>
    <n v="7.02"/>
  </r>
  <r>
    <d v="2015-10-09T00:00:00"/>
    <x v="9"/>
    <x v="1"/>
    <x v="64"/>
    <x v="1"/>
    <x v="2"/>
    <x v="6"/>
    <s v="Belkin 19&quot; Center-Weighted Shelf, Gray"/>
    <n v="353.88"/>
    <n v="6"/>
    <n v="17.690000000000001"/>
  </r>
  <r>
    <d v="2015-10-09T00:00:00"/>
    <x v="9"/>
    <x v="1"/>
    <x v="420"/>
    <x v="2"/>
    <x v="2"/>
    <x v="11"/>
    <s v="Manco Dry-Lighter Erasable Highlighter"/>
    <n v="6.08"/>
    <n v="2"/>
    <n v="2.0699999999999998"/>
  </r>
  <r>
    <d v="2015-10-09T00:00:00"/>
    <x v="9"/>
    <x v="1"/>
    <x v="309"/>
    <x v="5"/>
    <x v="1"/>
    <x v="5"/>
    <s v="Seth Thomas 13 1/2&quot; Wall Clock"/>
    <n v="106.68"/>
    <n v="6"/>
    <n v="33.07"/>
  </r>
  <r>
    <d v="2015-10-09T00:00:00"/>
    <x v="9"/>
    <x v="1"/>
    <x v="421"/>
    <x v="4"/>
    <x v="1"/>
    <x v="1"/>
    <s v="Global Commerce Series Low-Back Swivel/Tilt Chairs"/>
    <n v="179.89"/>
    <n v="1"/>
    <n v="-2.57"/>
  </r>
  <r>
    <d v="2015-10-10T00:00:00"/>
    <x v="9"/>
    <x v="1"/>
    <x v="211"/>
    <x v="5"/>
    <x v="2"/>
    <x v="3"/>
    <s v="Xerox 1894"/>
    <n v="45.36"/>
    <n v="7"/>
    <n v="21.77"/>
  </r>
  <r>
    <d v="2015-10-10T00:00:00"/>
    <x v="9"/>
    <x v="1"/>
    <x v="63"/>
    <x v="5"/>
    <x v="1"/>
    <x v="1"/>
    <s v="Global Leather &amp; Oak Executive Chair, Burgundy"/>
    <n v="362.14"/>
    <n v="3"/>
    <n v="-54.32"/>
  </r>
  <r>
    <d v="2015-10-10T00:00:00"/>
    <x v="9"/>
    <x v="1"/>
    <x v="63"/>
    <x v="5"/>
    <x v="2"/>
    <x v="8"/>
    <s v="Avery 503"/>
    <n v="31.05"/>
    <n v="3"/>
    <n v="14.9"/>
  </r>
  <r>
    <d v="2015-10-11T00:00:00"/>
    <x v="9"/>
    <x v="1"/>
    <x v="422"/>
    <x v="33"/>
    <x v="2"/>
    <x v="6"/>
    <s v="Letter Size Cart"/>
    <n v="714.3"/>
    <n v="5"/>
    <n v="207.15"/>
  </r>
  <r>
    <d v="2015-10-12T00:00:00"/>
    <x v="9"/>
    <x v="1"/>
    <x v="300"/>
    <x v="10"/>
    <x v="2"/>
    <x v="8"/>
    <s v="Permanent Self-Adhesive File Folder Labels for Typewriters by Universal"/>
    <n v="2.61"/>
    <n v="1"/>
    <n v="1.2"/>
  </r>
  <r>
    <d v="2015-10-12T00:00:00"/>
    <x v="9"/>
    <x v="1"/>
    <x v="423"/>
    <x v="19"/>
    <x v="2"/>
    <x v="11"/>
    <s v="Staples in misc. colors"/>
    <n v="1.78"/>
    <n v="1"/>
    <n v="0.5"/>
  </r>
  <r>
    <d v="2015-10-12T00:00:00"/>
    <x v="9"/>
    <x v="1"/>
    <x v="423"/>
    <x v="19"/>
    <x v="2"/>
    <x v="3"/>
    <s v="Xerox 201"/>
    <n v="25.92"/>
    <n v="4"/>
    <n v="12.44"/>
  </r>
  <r>
    <d v="2015-10-12T00:00:00"/>
    <x v="9"/>
    <x v="1"/>
    <x v="423"/>
    <x v="19"/>
    <x v="0"/>
    <x v="0"/>
    <s v="Memorex 25GB 6X Branded Blu-Ray Recordable Disc, 15/Pack"/>
    <n v="101.94"/>
    <n v="6"/>
    <n v="21.41"/>
  </r>
  <r>
    <d v="2015-10-12T00:00:00"/>
    <x v="9"/>
    <x v="1"/>
    <x v="195"/>
    <x v="2"/>
    <x v="2"/>
    <x v="8"/>
    <s v="Avery 486"/>
    <n v="7.31"/>
    <n v="1"/>
    <n v="3.44"/>
  </r>
  <r>
    <d v="2015-10-12T00:00:00"/>
    <x v="9"/>
    <x v="1"/>
    <x v="195"/>
    <x v="2"/>
    <x v="2"/>
    <x v="3"/>
    <s v="Adams Phone Message Book, 200 Message Capacity, 8 1/16Â” x 11Â”"/>
    <n v="41.28"/>
    <n v="6"/>
    <n v="18.989999999999998"/>
  </r>
  <r>
    <d v="2015-10-12T00:00:00"/>
    <x v="9"/>
    <x v="1"/>
    <x v="195"/>
    <x v="2"/>
    <x v="2"/>
    <x v="3"/>
    <s v="Xerox 1883"/>
    <n v="184.66"/>
    <n v="7"/>
    <n v="84.94"/>
  </r>
  <r>
    <d v="2015-10-12T00:00:00"/>
    <x v="9"/>
    <x v="1"/>
    <x v="424"/>
    <x v="3"/>
    <x v="2"/>
    <x v="10"/>
    <s v="3M Replacement Filter for Office Air Cleaner for 20' x 33' Room"/>
    <n v="53.09"/>
    <n v="7"/>
    <n v="-108.83"/>
  </r>
  <r>
    <d v="2015-11-04T00:00:00"/>
    <x v="10"/>
    <x v="1"/>
    <x v="425"/>
    <x v="2"/>
    <x v="0"/>
    <x v="2"/>
    <s v="OtterBox Commuter Series Case - iPhone 5 &amp; 5s"/>
    <n v="21.99"/>
    <n v="1"/>
    <n v="10.56"/>
  </r>
  <r>
    <d v="2015-11-04T00:00:00"/>
    <x v="10"/>
    <x v="1"/>
    <x v="425"/>
    <x v="2"/>
    <x v="2"/>
    <x v="10"/>
    <s v="Kensington 4 Outlet MasterPiece Compact Power Control Center"/>
    <n v="406.6"/>
    <n v="5"/>
    <n v="113.85"/>
  </r>
  <r>
    <d v="2015-11-04T00:00:00"/>
    <x v="10"/>
    <x v="1"/>
    <x v="135"/>
    <x v="11"/>
    <x v="1"/>
    <x v="5"/>
    <s v="Executive Impressions Supervisor Wall Clock"/>
    <n v="67.36"/>
    <n v="2"/>
    <n v="10.1"/>
  </r>
  <r>
    <d v="2015-11-04T00:00:00"/>
    <x v="10"/>
    <x v="1"/>
    <x v="135"/>
    <x v="11"/>
    <x v="1"/>
    <x v="5"/>
    <s v="Executive Impressions 14&quot; Two-Color Numerals Wall Clock"/>
    <n v="54.53"/>
    <n v="3"/>
    <n v="14.31"/>
  </r>
  <r>
    <d v="2015-11-04T00:00:00"/>
    <x v="10"/>
    <x v="1"/>
    <x v="426"/>
    <x v="5"/>
    <x v="0"/>
    <x v="12"/>
    <s v="Canon PC-428 Personal Copier"/>
    <n v="639.97"/>
    <n v="4"/>
    <n v="215.99"/>
  </r>
  <r>
    <d v="2015-11-05T00:00:00"/>
    <x v="10"/>
    <x v="1"/>
    <x v="427"/>
    <x v="23"/>
    <x v="1"/>
    <x v="1"/>
    <s v="Global Chrome Stack Chair"/>
    <n v="191.97"/>
    <n v="7"/>
    <n v="16.8"/>
  </r>
  <r>
    <d v="2015-11-06T00:00:00"/>
    <x v="10"/>
    <x v="1"/>
    <x v="428"/>
    <x v="30"/>
    <x v="2"/>
    <x v="3"/>
    <s v="Xerox 222"/>
    <n v="32.4"/>
    <n v="5"/>
    <n v="15.55"/>
  </r>
  <r>
    <d v="2015-11-06T00:00:00"/>
    <x v="10"/>
    <x v="1"/>
    <x v="428"/>
    <x v="30"/>
    <x v="1"/>
    <x v="5"/>
    <s v="DAX Clear Channel Poster Frame"/>
    <n v="29.16"/>
    <n v="2"/>
    <n v="10.79"/>
  </r>
  <r>
    <d v="2015-11-06T00:00:00"/>
    <x v="10"/>
    <x v="1"/>
    <x v="429"/>
    <x v="11"/>
    <x v="1"/>
    <x v="1"/>
    <s v="Hon 2090 Â“Pillow SoftÂ” Series Mid Back Swivel/Tilt Chairs"/>
    <n v="1123.92"/>
    <n v="5"/>
    <n v="-182.64"/>
  </r>
  <r>
    <d v="2015-11-06T00:00:00"/>
    <x v="10"/>
    <x v="1"/>
    <x v="429"/>
    <x v="11"/>
    <x v="2"/>
    <x v="9"/>
    <s v="GBC Standard Plastic Binding Systems' Combs"/>
    <n v="3.77"/>
    <n v="2"/>
    <n v="-3.14"/>
  </r>
  <r>
    <d v="2015-11-06T00:00:00"/>
    <x v="10"/>
    <x v="1"/>
    <x v="429"/>
    <x v="11"/>
    <x v="2"/>
    <x v="6"/>
    <s v="Tennsco 16-Compartment Lockers with Coat Rack"/>
    <n v="1036.6199999999999"/>
    <n v="2"/>
    <n v="51.83"/>
  </r>
  <r>
    <d v="2015-11-07T00:00:00"/>
    <x v="10"/>
    <x v="1"/>
    <x v="430"/>
    <x v="13"/>
    <x v="1"/>
    <x v="5"/>
    <s v="Howard Miller 13-3/4&quot; Diameter Brushed Chrome Round Wall Clock"/>
    <n v="289.8"/>
    <n v="7"/>
    <n v="36.229999999999997"/>
  </r>
  <r>
    <d v="2015-11-07T00:00:00"/>
    <x v="10"/>
    <x v="1"/>
    <x v="430"/>
    <x v="13"/>
    <x v="2"/>
    <x v="9"/>
    <s v="3M Organizer Strips"/>
    <n v="6.48"/>
    <n v="4"/>
    <n v="-4.75"/>
  </r>
  <r>
    <d v="2015-11-07T00:00:00"/>
    <x v="10"/>
    <x v="1"/>
    <x v="430"/>
    <x v="13"/>
    <x v="1"/>
    <x v="1"/>
    <s v="Novimex Fabric Task Chair"/>
    <n v="341.49"/>
    <n v="8"/>
    <n v="-73.180000000000007"/>
  </r>
  <r>
    <d v="2015-11-07T00:00:00"/>
    <x v="10"/>
    <x v="1"/>
    <x v="4"/>
    <x v="1"/>
    <x v="2"/>
    <x v="3"/>
    <s v="Xerox 1896"/>
    <n v="29.97"/>
    <n v="3"/>
    <n v="13.49"/>
  </r>
  <r>
    <d v="2015-11-07T00:00:00"/>
    <x v="10"/>
    <x v="1"/>
    <x v="431"/>
    <x v="37"/>
    <x v="1"/>
    <x v="7"/>
    <s v="Lesro Sheffield Collection Coffee Table, End Table, Center Table, Corner Table"/>
    <n v="199.84"/>
    <n v="4"/>
    <n v="-37.11"/>
  </r>
  <r>
    <d v="2015-11-07T00:00:00"/>
    <x v="10"/>
    <x v="1"/>
    <x v="431"/>
    <x v="37"/>
    <x v="2"/>
    <x v="9"/>
    <s v="Tuf-Vin Binders"/>
    <n v="221.06"/>
    <n v="7"/>
    <n v="103.9"/>
  </r>
  <r>
    <d v="2015-11-08T00:00:00"/>
    <x v="10"/>
    <x v="1"/>
    <x v="432"/>
    <x v="2"/>
    <x v="0"/>
    <x v="2"/>
    <s v="AT&amp;T 841000 Phone"/>
    <n v="138"/>
    <n v="2"/>
    <n v="34.5"/>
  </r>
  <r>
    <d v="2015-11-09T00:00:00"/>
    <x v="10"/>
    <x v="1"/>
    <x v="76"/>
    <x v="5"/>
    <x v="2"/>
    <x v="11"/>
    <s v="Boston 19500 Mighty Mite Electric Pencil Sharpener"/>
    <n v="181.35"/>
    <n v="9"/>
    <n v="48.96"/>
  </r>
  <r>
    <d v="2015-11-09T00:00:00"/>
    <x v="10"/>
    <x v="1"/>
    <x v="76"/>
    <x v="5"/>
    <x v="2"/>
    <x v="8"/>
    <s v="Avery 474"/>
    <n v="8.64"/>
    <n v="3"/>
    <n v="4.2300000000000004"/>
  </r>
  <r>
    <d v="2015-11-09T00:00:00"/>
    <x v="10"/>
    <x v="1"/>
    <x v="129"/>
    <x v="2"/>
    <x v="1"/>
    <x v="5"/>
    <s v="Deflect-o DuraMat Antistatic Studded Beveled Mat for Medium Pile Carpeting"/>
    <n v="210.68"/>
    <n v="2"/>
    <n v="50.56"/>
  </r>
  <r>
    <d v="2015-11-09T00:00:00"/>
    <x v="10"/>
    <x v="1"/>
    <x v="129"/>
    <x v="2"/>
    <x v="2"/>
    <x v="6"/>
    <s v="Space Solutions Industrial Galvanized Steel Shelving."/>
    <n v="78.8"/>
    <n v="1"/>
    <n v="1.58"/>
  </r>
  <r>
    <d v="2015-11-09T00:00:00"/>
    <x v="10"/>
    <x v="1"/>
    <x v="129"/>
    <x v="2"/>
    <x v="0"/>
    <x v="0"/>
    <s v="LogitechÂ LS21 Speaker System - PC Multimedia - 2.1-CH - Wired"/>
    <n v="19.989999999999998"/>
    <n v="1"/>
    <n v="6.8"/>
  </r>
  <r>
    <d v="2015-11-09T00:00:00"/>
    <x v="10"/>
    <x v="1"/>
    <x v="362"/>
    <x v="15"/>
    <x v="1"/>
    <x v="5"/>
    <s v="Deflect-O Glasstique Clear Desk Accessories"/>
    <n v="24.64"/>
    <n v="4"/>
    <n v="4"/>
  </r>
  <r>
    <d v="2015-11-09T00:00:00"/>
    <x v="10"/>
    <x v="1"/>
    <x v="433"/>
    <x v="8"/>
    <x v="2"/>
    <x v="10"/>
    <s v="Fellowes Advanced 8 Outlet Surge Suppressor with Phone/Fax Protection"/>
    <n v="111.04"/>
    <n v="4"/>
    <n v="29.98"/>
  </r>
  <r>
    <d v="2015-11-09T00:00:00"/>
    <x v="10"/>
    <x v="1"/>
    <x v="433"/>
    <x v="8"/>
    <x v="2"/>
    <x v="3"/>
    <s v="Xerox 208"/>
    <n v="38.880000000000003"/>
    <n v="6"/>
    <n v="18.66"/>
  </r>
  <r>
    <d v="2015-11-10T00:00:00"/>
    <x v="10"/>
    <x v="1"/>
    <x v="348"/>
    <x v="11"/>
    <x v="1"/>
    <x v="7"/>
    <s v="Bretford CR4500 Series Slim Rectangular Table"/>
    <n v="957.58"/>
    <n v="5"/>
    <n v="-383.03"/>
  </r>
  <r>
    <d v="2015-11-10T00:00:00"/>
    <x v="10"/>
    <x v="1"/>
    <x v="348"/>
    <x v="11"/>
    <x v="2"/>
    <x v="6"/>
    <s v="Eldon Fold 'N Roll Cart System"/>
    <n v="22.37"/>
    <n v="2"/>
    <n v="2.52"/>
  </r>
  <r>
    <d v="2015-11-10T00:00:00"/>
    <x v="10"/>
    <x v="1"/>
    <x v="59"/>
    <x v="2"/>
    <x v="0"/>
    <x v="0"/>
    <s v="Memorex 25GB 6X Branded Blu-Ray Recordable Disc, 30/Pack"/>
    <n v="31.95"/>
    <n v="1"/>
    <n v="2.2400000000000002"/>
  </r>
  <r>
    <d v="2015-11-11T00:00:00"/>
    <x v="10"/>
    <x v="1"/>
    <x v="395"/>
    <x v="10"/>
    <x v="2"/>
    <x v="6"/>
    <s v="Advantus 10-Drawer Portable Organizer, Chrome Metal Frame, Smoke Drawers"/>
    <n v="418.32"/>
    <n v="7"/>
    <n v="117.13"/>
  </r>
  <r>
    <d v="2015-11-12T00:00:00"/>
    <x v="10"/>
    <x v="1"/>
    <x v="342"/>
    <x v="15"/>
    <x v="1"/>
    <x v="16"/>
    <s v="Bush Westfield Collection Bookcases, Dark Cherry Finish"/>
    <n v="69.58"/>
    <n v="4"/>
    <n v="-143.79"/>
  </r>
  <r>
    <d v="2015-11-12T00:00:00"/>
    <x v="10"/>
    <x v="1"/>
    <x v="342"/>
    <x v="15"/>
    <x v="2"/>
    <x v="11"/>
    <s v="Newell 326"/>
    <n v="4.22"/>
    <n v="3"/>
    <n v="0.48"/>
  </r>
  <r>
    <d v="2015-11-12T00:00:00"/>
    <x v="10"/>
    <x v="1"/>
    <x v="342"/>
    <x v="15"/>
    <x v="1"/>
    <x v="7"/>
    <s v="Bevis Rectangular Conference Tables"/>
    <n v="364.95"/>
    <n v="5"/>
    <n v="-248.17"/>
  </r>
  <r>
    <d v="2015-11-12T00:00:00"/>
    <x v="10"/>
    <x v="1"/>
    <x v="342"/>
    <x v="15"/>
    <x v="2"/>
    <x v="3"/>
    <s v="Xerox 1932"/>
    <n v="85.06"/>
    <n v="3"/>
    <n v="28.71"/>
  </r>
  <r>
    <d v="2015-11-12T00:00:00"/>
    <x v="10"/>
    <x v="1"/>
    <x v="342"/>
    <x v="15"/>
    <x v="2"/>
    <x v="3"/>
    <s v="Avery Personal Creations Heavyweight Cards"/>
    <n v="27.7"/>
    <n v="3"/>
    <n v="9.69"/>
  </r>
  <r>
    <d v="2015-11-12T00:00:00"/>
    <x v="10"/>
    <x v="1"/>
    <x v="434"/>
    <x v="10"/>
    <x v="0"/>
    <x v="0"/>
    <s v="Maxell 4.7GB DVD+RW 3/Pack"/>
    <n v="175.23"/>
    <n v="11"/>
    <n v="61.33"/>
  </r>
  <r>
    <d v="2015-12-01T00:00:00"/>
    <x v="11"/>
    <x v="1"/>
    <x v="403"/>
    <x v="37"/>
    <x v="2"/>
    <x v="6"/>
    <s v="Dual Level, Single-Width Filing Carts"/>
    <n v="465.18"/>
    <n v="3"/>
    <n v="120.95"/>
  </r>
  <r>
    <d v="2015-12-01T00:00:00"/>
    <x v="11"/>
    <x v="1"/>
    <x v="435"/>
    <x v="18"/>
    <x v="0"/>
    <x v="2"/>
    <s v="Anker 24W Portable Micro USB Car Charger"/>
    <n v="26.38"/>
    <n v="4"/>
    <n v="2.64"/>
  </r>
  <r>
    <d v="2015-12-01T00:00:00"/>
    <x v="11"/>
    <x v="1"/>
    <x v="435"/>
    <x v="18"/>
    <x v="0"/>
    <x v="0"/>
    <s v="SanDisk Cruzer 4 GB USB Flash Drive"/>
    <n v="10.38"/>
    <n v="2"/>
    <n v="2.21"/>
  </r>
  <r>
    <d v="2015-12-01T00:00:00"/>
    <x v="11"/>
    <x v="1"/>
    <x v="435"/>
    <x v="18"/>
    <x v="0"/>
    <x v="2"/>
    <s v="LG Electronics Tone+ HBS-730 Bluetooth Headset"/>
    <n v="107.12"/>
    <n v="3"/>
    <n v="-21.42"/>
  </r>
  <r>
    <d v="2015-12-03T00:00:00"/>
    <x v="11"/>
    <x v="1"/>
    <x v="436"/>
    <x v="11"/>
    <x v="1"/>
    <x v="5"/>
    <s v="Eldon Expressions Desk Accessory, Wood Pencil Holder, Oak"/>
    <n v="30.88"/>
    <n v="4"/>
    <n v="3.86"/>
  </r>
  <r>
    <d v="2015-12-04T00:00:00"/>
    <x v="11"/>
    <x v="1"/>
    <x v="437"/>
    <x v="1"/>
    <x v="2"/>
    <x v="6"/>
    <s v="Rogers Jumbo File, Granite"/>
    <n v="40.74"/>
    <n v="3"/>
    <n v="0.41"/>
  </r>
  <r>
    <d v="2015-12-05T00:00:00"/>
    <x v="11"/>
    <x v="1"/>
    <x v="438"/>
    <x v="5"/>
    <x v="2"/>
    <x v="3"/>
    <s v="Xerox 1962"/>
    <n v="12.84"/>
    <n v="3"/>
    <n v="5.78"/>
  </r>
  <r>
    <d v="2015-12-05T00:00:00"/>
    <x v="11"/>
    <x v="1"/>
    <x v="438"/>
    <x v="5"/>
    <x v="2"/>
    <x v="3"/>
    <s v="Xerox 1953"/>
    <n v="25.68"/>
    <n v="6"/>
    <n v="11.56"/>
  </r>
  <r>
    <d v="2015-12-07T00:00:00"/>
    <x v="11"/>
    <x v="1"/>
    <x v="145"/>
    <x v="3"/>
    <x v="0"/>
    <x v="2"/>
    <s v="Vtech CS6719"/>
    <n v="537.54"/>
    <n v="7"/>
    <n v="53.75"/>
  </r>
  <r>
    <d v="2015-12-07T00:00:00"/>
    <x v="11"/>
    <x v="1"/>
    <x v="145"/>
    <x v="3"/>
    <x v="0"/>
    <x v="2"/>
    <s v="GE 2-Jack Phone Line Splitter"/>
    <n v="659.17"/>
    <n v="4"/>
    <n v="49.44"/>
  </r>
  <r>
    <d v="2015-12-09T00:00:00"/>
    <x v="11"/>
    <x v="1"/>
    <x v="251"/>
    <x v="2"/>
    <x v="0"/>
    <x v="12"/>
    <s v="Hewlett Packard 310 Color Digital Copier"/>
    <n v="479.98"/>
    <n v="2"/>
    <n v="60"/>
  </r>
  <r>
    <d v="2015-12-09T00:00:00"/>
    <x v="11"/>
    <x v="1"/>
    <x v="251"/>
    <x v="2"/>
    <x v="2"/>
    <x v="8"/>
    <s v="Avery 520"/>
    <n v="12.6"/>
    <n v="4"/>
    <n v="6.05"/>
  </r>
  <r>
    <d v="2015-12-09T00:00:00"/>
    <x v="11"/>
    <x v="1"/>
    <x v="439"/>
    <x v="2"/>
    <x v="2"/>
    <x v="3"/>
    <s v="HP Office Recycled Paper (20Lb. and 87 Bright)"/>
    <n v="28.9"/>
    <n v="5"/>
    <n v="14.16"/>
  </r>
  <r>
    <d v="2015-12-09T00:00:00"/>
    <x v="11"/>
    <x v="1"/>
    <x v="439"/>
    <x v="2"/>
    <x v="2"/>
    <x v="13"/>
    <s v="Tyvek  Top-Opening Peel &amp; Seel Envelopes, Plain White"/>
    <n v="27.18"/>
    <n v="1"/>
    <n v="12.77"/>
  </r>
  <r>
    <d v="2015-12-10T00:00:00"/>
    <x v="11"/>
    <x v="1"/>
    <x v="335"/>
    <x v="2"/>
    <x v="1"/>
    <x v="16"/>
    <s v="Atlantic Metals Mobile 4-Shelf Bookcases, Custom Colors"/>
    <n v="899.14"/>
    <n v="4"/>
    <n v="112.39"/>
  </r>
  <r>
    <d v="2015-12-10T00:00:00"/>
    <x v="11"/>
    <x v="1"/>
    <x v="335"/>
    <x v="2"/>
    <x v="2"/>
    <x v="11"/>
    <s v="4009 Highlighters by Sanford"/>
    <n v="19.899999999999999"/>
    <n v="5"/>
    <n v="6.57"/>
  </r>
  <r>
    <d v="2015-12-11T00:00:00"/>
    <x v="11"/>
    <x v="1"/>
    <x v="410"/>
    <x v="4"/>
    <x v="2"/>
    <x v="13"/>
    <s v="Blue String-Tie &amp; Button Interoffice Envelopes, 10 x 13"/>
    <n v="223.89"/>
    <n v="7"/>
    <n v="69.97"/>
  </r>
  <r>
    <d v="2015-12-12T00:00:00"/>
    <x v="11"/>
    <x v="1"/>
    <x v="177"/>
    <x v="5"/>
    <x v="2"/>
    <x v="9"/>
    <s v="Recycled Premium Regency Composition Covers"/>
    <n v="24.45"/>
    <n v="2"/>
    <n v="8.86"/>
  </r>
  <r>
    <d v="2015-12-12T00:00:00"/>
    <x v="11"/>
    <x v="1"/>
    <x v="163"/>
    <x v="5"/>
    <x v="2"/>
    <x v="11"/>
    <s v="Newell 311"/>
    <n v="2.21"/>
    <n v="1"/>
    <n v="0.6"/>
  </r>
  <r>
    <d v="2015-12-12T00:00:00"/>
    <x v="11"/>
    <x v="1"/>
    <x v="163"/>
    <x v="5"/>
    <x v="2"/>
    <x v="3"/>
    <s v="Black Print Carbonless Snap-Off Rapid Letter, 8 1/2&quot; x 7&quot;"/>
    <n v="36.44"/>
    <n v="4"/>
    <n v="16.399999999999999"/>
  </r>
  <r>
    <d v="2015-12-12T00:00:00"/>
    <x v="11"/>
    <x v="1"/>
    <x v="400"/>
    <x v="5"/>
    <x v="1"/>
    <x v="5"/>
    <s v="Eldon Cleatmat Chair Mats for Medium Pile Carpets"/>
    <n v="166.5"/>
    <n v="3"/>
    <n v="21.65"/>
  </r>
  <r>
    <d v="2015-12-12T00:00:00"/>
    <x v="11"/>
    <x v="1"/>
    <x v="440"/>
    <x v="14"/>
    <x v="2"/>
    <x v="3"/>
    <s v="Xerox 1930"/>
    <n v="32.4"/>
    <n v="5"/>
    <n v="15.88"/>
  </r>
  <r>
    <d v="2016-01-03T00:00:00"/>
    <x v="0"/>
    <x v="2"/>
    <x v="266"/>
    <x v="2"/>
    <x v="0"/>
    <x v="14"/>
    <s v="Ativa V4110MDD Micro-Cut Shredder"/>
    <n v="4899.93"/>
    <n v="7"/>
    <n v="2400.9699999999998"/>
  </r>
  <r>
    <d v="2016-01-03T00:00:00"/>
    <x v="0"/>
    <x v="2"/>
    <x v="65"/>
    <x v="15"/>
    <x v="0"/>
    <x v="2"/>
    <s v="RCA ViSYS 25423RE1 Corded phone"/>
    <n v="159.97999999999999"/>
    <n v="2"/>
    <n v="14"/>
  </r>
  <r>
    <d v="2016-01-04T00:00:00"/>
    <x v="0"/>
    <x v="2"/>
    <x v="441"/>
    <x v="2"/>
    <x v="2"/>
    <x v="11"/>
    <s v="Newell 342"/>
    <n v="9.84"/>
    <n v="3"/>
    <n v="2.85"/>
  </r>
  <r>
    <d v="2016-01-04T00:00:00"/>
    <x v="0"/>
    <x v="2"/>
    <x v="441"/>
    <x v="2"/>
    <x v="0"/>
    <x v="2"/>
    <s v="Belkin Grip Candy Sheer Case / Cover for iPhone 5 and 5S"/>
    <n v="35.119999999999997"/>
    <n v="4"/>
    <n v="9.1300000000000008"/>
  </r>
  <r>
    <d v="2016-01-04T00:00:00"/>
    <x v="0"/>
    <x v="2"/>
    <x v="319"/>
    <x v="23"/>
    <x v="2"/>
    <x v="10"/>
    <s v="Belkin F9H710-06 7 Outlet SurgeMaster Surge Protector"/>
    <n v="30.14"/>
    <n v="2"/>
    <n v="3.01"/>
  </r>
  <r>
    <d v="2016-01-04T00:00:00"/>
    <x v="0"/>
    <x v="2"/>
    <x v="442"/>
    <x v="2"/>
    <x v="2"/>
    <x v="11"/>
    <s v="Boston 16801 Nautilus Battery Pencil Sharpener"/>
    <n v="88.04"/>
    <n v="4"/>
    <n v="22.89"/>
  </r>
  <r>
    <d v="2016-01-04T00:00:00"/>
    <x v="0"/>
    <x v="2"/>
    <x v="208"/>
    <x v="2"/>
    <x v="2"/>
    <x v="8"/>
    <s v="Avery 473"/>
    <n v="20.7"/>
    <n v="2"/>
    <n v="9.94"/>
  </r>
  <r>
    <d v="2016-01-04T00:00:00"/>
    <x v="0"/>
    <x v="2"/>
    <x v="443"/>
    <x v="19"/>
    <x v="1"/>
    <x v="5"/>
    <s v="Regeneration Desk Collection"/>
    <n v="7.04"/>
    <n v="4"/>
    <n v="3.1"/>
  </r>
  <r>
    <d v="2016-01-04T00:00:00"/>
    <x v="0"/>
    <x v="2"/>
    <x v="444"/>
    <x v="0"/>
    <x v="0"/>
    <x v="2"/>
    <s v="Cyber Acoustics AC-202b Speech Recognition Stereo Headset"/>
    <n v="12.99"/>
    <n v="1"/>
    <n v="0.26"/>
  </r>
  <r>
    <d v="2016-01-05T00:00:00"/>
    <x v="0"/>
    <x v="2"/>
    <x v="445"/>
    <x v="9"/>
    <x v="2"/>
    <x v="3"/>
    <s v="Xerox 1914"/>
    <n v="109.92"/>
    <n v="2"/>
    <n v="53.86"/>
  </r>
  <r>
    <d v="2016-01-05T00:00:00"/>
    <x v="0"/>
    <x v="2"/>
    <x v="445"/>
    <x v="9"/>
    <x v="2"/>
    <x v="3"/>
    <s v="Xerox 1994"/>
    <n v="19.440000000000001"/>
    <n v="3"/>
    <n v="9.33"/>
  </r>
  <r>
    <d v="2016-01-07T00:00:00"/>
    <x v="0"/>
    <x v="2"/>
    <x v="446"/>
    <x v="29"/>
    <x v="2"/>
    <x v="9"/>
    <s v="Binding Machine Supplies"/>
    <n v="58.34"/>
    <n v="2"/>
    <n v="28"/>
  </r>
  <r>
    <d v="2016-01-07T00:00:00"/>
    <x v="0"/>
    <x v="2"/>
    <x v="447"/>
    <x v="2"/>
    <x v="2"/>
    <x v="8"/>
    <s v="Avery 477"/>
    <n v="30.53"/>
    <n v="1"/>
    <n v="14.04"/>
  </r>
  <r>
    <d v="2016-01-07T00:00:00"/>
    <x v="0"/>
    <x v="2"/>
    <x v="447"/>
    <x v="2"/>
    <x v="0"/>
    <x v="0"/>
    <s v="KeyTronicÂ KT400U2 -Â KeyboardÂ - Black"/>
    <n v="30.84"/>
    <n v="3"/>
    <n v="6.17"/>
  </r>
  <r>
    <d v="2016-01-07T00:00:00"/>
    <x v="0"/>
    <x v="2"/>
    <x v="447"/>
    <x v="2"/>
    <x v="2"/>
    <x v="3"/>
    <s v="Southworth 25% Cotton Antique Laid Paper &amp; Envelopes"/>
    <n v="75.06"/>
    <n v="9"/>
    <n v="33.78"/>
  </r>
  <r>
    <d v="2016-01-08T00:00:00"/>
    <x v="0"/>
    <x v="2"/>
    <x v="218"/>
    <x v="5"/>
    <x v="0"/>
    <x v="2"/>
    <s v="Apple iPhone 5"/>
    <n v="1039.73"/>
    <n v="2"/>
    <n v="90.98"/>
  </r>
  <r>
    <d v="2016-01-08T00:00:00"/>
    <x v="0"/>
    <x v="2"/>
    <x v="423"/>
    <x v="13"/>
    <x v="1"/>
    <x v="5"/>
    <s v="Eldon 500 Class Desk Accessories"/>
    <n v="19.309999999999999"/>
    <n v="2"/>
    <n v="3.14"/>
  </r>
  <r>
    <d v="2016-01-09T00:00:00"/>
    <x v="0"/>
    <x v="2"/>
    <x v="448"/>
    <x v="2"/>
    <x v="0"/>
    <x v="0"/>
    <s v="Sabrent 4-Port USB 2.0 Hub"/>
    <n v="6.79"/>
    <n v="1"/>
    <n v="2.31"/>
  </r>
  <r>
    <d v="2016-01-09T00:00:00"/>
    <x v="0"/>
    <x v="2"/>
    <x v="448"/>
    <x v="2"/>
    <x v="2"/>
    <x v="9"/>
    <s v="GBC DocuBind P400 Electric Binding System"/>
    <n v="4355.17"/>
    <n v="4"/>
    <n v="1415.43"/>
  </r>
  <r>
    <d v="2016-01-09T00:00:00"/>
    <x v="0"/>
    <x v="2"/>
    <x v="334"/>
    <x v="13"/>
    <x v="2"/>
    <x v="3"/>
    <s v="Telephone Message Books with Fax/Mobile Section, 5 1/2&quot; x 3 3/16&quot;"/>
    <n v="30.48"/>
    <n v="6"/>
    <n v="9.91"/>
  </r>
  <r>
    <d v="2016-01-09T00:00:00"/>
    <x v="0"/>
    <x v="2"/>
    <x v="334"/>
    <x v="13"/>
    <x v="0"/>
    <x v="2"/>
    <s v="Anker 36W 4-Port USB Wall Charger Travel Power Adapter for iPhone 5s 5c 5"/>
    <n v="23.99"/>
    <n v="2"/>
    <n v="-4.8"/>
  </r>
  <r>
    <d v="2016-01-09T00:00:00"/>
    <x v="0"/>
    <x v="2"/>
    <x v="285"/>
    <x v="10"/>
    <x v="2"/>
    <x v="10"/>
    <s v="Eureka The Boss Plus 12-Amp Hard Box Upright Vacuum, Red"/>
    <n v="376.74"/>
    <n v="4"/>
    <n v="71.16"/>
  </r>
  <r>
    <d v="2016-01-09T00:00:00"/>
    <x v="0"/>
    <x v="2"/>
    <x v="285"/>
    <x v="10"/>
    <x v="2"/>
    <x v="11"/>
    <s v="Newell 315"/>
    <n v="11.96"/>
    <n v="2"/>
    <n v="2.99"/>
  </r>
  <r>
    <d v="2016-01-11T00:00:00"/>
    <x v="0"/>
    <x v="2"/>
    <x v="435"/>
    <x v="4"/>
    <x v="2"/>
    <x v="6"/>
    <s v="Tenex Personal Filing Tote With Secure Closure Lid, Black/Frost"/>
    <n v="111.67"/>
    <n v="9"/>
    <n v="6.98"/>
  </r>
  <r>
    <d v="2016-01-12T00:00:00"/>
    <x v="0"/>
    <x v="2"/>
    <x v="133"/>
    <x v="7"/>
    <x v="2"/>
    <x v="3"/>
    <s v="Universal Premium White Copier/Laser Paper (20Lb. and 87 Bright)"/>
    <n v="23.92"/>
    <n v="4"/>
    <n v="11.72"/>
  </r>
  <r>
    <d v="2016-01-12T00:00:00"/>
    <x v="0"/>
    <x v="2"/>
    <x v="72"/>
    <x v="6"/>
    <x v="1"/>
    <x v="5"/>
    <s v="Executive Impressions 14&quot;"/>
    <n v="111.15"/>
    <n v="5"/>
    <n v="48.91"/>
  </r>
  <r>
    <d v="2016-01-12T00:00:00"/>
    <x v="0"/>
    <x v="2"/>
    <x v="440"/>
    <x v="20"/>
    <x v="2"/>
    <x v="15"/>
    <s v="Acme Softgrip Scissors"/>
    <n v="40.700000000000003"/>
    <n v="5"/>
    <n v="11.8"/>
  </r>
  <r>
    <d v="2016-01-12T00:00:00"/>
    <x v="0"/>
    <x v="2"/>
    <x v="449"/>
    <x v="5"/>
    <x v="1"/>
    <x v="5"/>
    <s v="Tenex Chairmats For Use With Carpeted Floors"/>
    <n v="31.96"/>
    <n v="2"/>
    <n v="1.6"/>
  </r>
  <r>
    <d v="2016-01-12T00:00:00"/>
    <x v="0"/>
    <x v="2"/>
    <x v="449"/>
    <x v="5"/>
    <x v="2"/>
    <x v="6"/>
    <s v="Sauder Facets Collection Locker/File Cabinet, Sky Alder Finish"/>
    <n v="1112.94"/>
    <n v="3"/>
    <n v="222.59"/>
  </r>
  <r>
    <d v="2016-02-01T00:00:00"/>
    <x v="1"/>
    <x v="2"/>
    <x v="450"/>
    <x v="24"/>
    <x v="1"/>
    <x v="16"/>
    <s v="Bush Westfield Collection Bookcases, Medium Cherry Finish"/>
    <n v="173.94"/>
    <n v="3"/>
    <n v="38.270000000000003"/>
  </r>
  <r>
    <d v="2016-02-01T00:00:00"/>
    <x v="1"/>
    <x v="2"/>
    <x v="450"/>
    <x v="24"/>
    <x v="0"/>
    <x v="2"/>
    <s v="GE 30522EE2"/>
    <n v="231.98"/>
    <n v="2"/>
    <n v="67.27"/>
  </r>
  <r>
    <d v="2016-02-02T00:00:00"/>
    <x v="1"/>
    <x v="2"/>
    <x v="425"/>
    <x v="20"/>
    <x v="0"/>
    <x v="14"/>
    <s v="HP Designjet T520 Inkjet Large Format Printer - 24&quot; Color"/>
    <n v="8749.9500000000007"/>
    <n v="5"/>
    <n v="2799.98"/>
  </r>
  <r>
    <d v="2016-02-02T00:00:00"/>
    <x v="1"/>
    <x v="2"/>
    <x v="381"/>
    <x v="4"/>
    <x v="1"/>
    <x v="5"/>
    <s v="Deflect-o RollaMat Studded, Beveled Mat for Medium Pile Carpeting"/>
    <n v="73.78"/>
    <n v="2"/>
    <n v="-77.47"/>
  </r>
  <r>
    <d v="2016-02-04T00:00:00"/>
    <x v="1"/>
    <x v="2"/>
    <x v="211"/>
    <x v="0"/>
    <x v="1"/>
    <x v="1"/>
    <s v="Global Executive Mid-Back Manager's Chair"/>
    <n v="1454.9"/>
    <n v="5"/>
    <n v="378.27"/>
  </r>
  <r>
    <d v="2016-02-05T00:00:00"/>
    <x v="1"/>
    <x v="2"/>
    <x v="451"/>
    <x v="2"/>
    <x v="2"/>
    <x v="6"/>
    <s v="Super Decoflex Portable Personal File"/>
    <n v="44.94"/>
    <n v="3"/>
    <n v="12.58"/>
  </r>
  <r>
    <d v="2016-02-05T00:00:00"/>
    <x v="1"/>
    <x v="2"/>
    <x v="452"/>
    <x v="12"/>
    <x v="1"/>
    <x v="1"/>
    <s v="Global Stack Chair without Arms, Black"/>
    <n v="187.06"/>
    <n v="9"/>
    <n v="11.69"/>
  </r>
  <r>
    <d v="2016-02-05T00:00:00"/>
    <x v="1"/>
    <x v="2"/>
    <x v="414"/>
    <x v="4"/>
    <x v="2"/>
    <x v="6"/>
    <s v="Sterilite Show Offs Storage Containers"/>
    <n v="12.67"/>
    <n v="3"/>
    <n v="-3.17"/>
  </r>
  <r>
    <d v="2016-02-05T00:00:00"/>
    <x v="1"/>
    <x v="2"/>
    <x v="414"/>
    <x v="4"/>
    <x v="2"/>
    <x v="8"/>
    <s v="Avery 502"/>
    <n v="5.04"/>
    <n v="2"/>
    <n v="1.76"/>
  </r>
  <r>
    <d v="2016-02-05T00:00:00"/>
    <x v="1"/>
    <x v="2"/>
    <x v="270"/>
    <x v="2"/>
    <x v="1"/>
    <x v="5"/>
    <s v="Eldon 200 Class Desk Accessories"/>
    <n v="12.56"/>
    <n v="2"/>
    <n v="4.0199999999999996"/>
  </r>
  <r>
    <d v="2016-02-07T00:00:00"/>
    <x v="1"/>
    <x v="2"/>
    <x v="453"/>
    <x v="20"/>
    <x v="2"/>
    <x v="11"/>
    <s v="Avery Hi-Liter Pen Style Six-Color Fluorescent Set"/>
    <n v="7.7"/>
    <n v="2"/>
    <n v="3.16"/>
  </r>
  <r>
    <d v="2016-02-08T00:00:00"/>
    <x v="1"/>
    <x v="2"/>
    <x v="454"/>
    <x v="5"/>
    <x v="1"/>
    <x v="7"/>
    <s v="Barricks Non-Folding Utility Table with Steel Legs, Laminate Tops"/>
    <n v="136.46"/>
    <n v="2"/>
    <n v="15.35"/>
  </r>
  <r>
    <d v="2016-02-08T00:00:00"/>
    <x v="1"/>
    <x v="2"/>
    <x v="454"/>
    <x v="5"/>
    <x v="0"/>
    <x v="2"/>
    <s v="Nortel Business Series Terminal T7208 Digital phone"/>
    <n v="333.58"/>
    <n v="3"/>
    <n v="33.36"/>
  </r>
  <r>
    <d v="2016-02-08T00:00:00"/>
    <x v="1"/>
    <x v="2"/>
    <x v="454"/>
    <x v="5"/>
    <x v="2"/>
    <x v="9"/>
    <s v="XtraLife ClearVue Slant-D Ring Binders by Cardinal"/>
    <n v="12.54"/>
    <n v="2"/>
    <n v="4.7"/>
  </r>
  <r>
    <d v="2016-02-09T00:00:00"/>
    <x v="1"/>
    <x v="2"/>
    <x v="145"/>
    <x v="3"/>
    <x v="0"/>
    <x v="14"/>
    <s v="Okidata C610n Printer"/>
    <n v="1362.9"/>
    <n v="3"/>
    <n v="-19.47"/>
  </r>
  <r>
    <d v="2016-02-09T00:00:00"/>
    <x v="1"/>
    <x v="2"/>
    <x v="455"/>
    <x v="12"/>
    <x v="2"/>
    <x v="9"/>
    <s v="Heavy-Duty E-Z-D Binders"/>
    <n v="22.91"/>
    <n v="7"/>
    <n v="-17.57"/>
  </r>
  <r>
    <d v="2016-02-09T00:00:00"/>
    <x v="1"/>
    <x v="2"/>
    <x v="455"/>
    <x v="12"/>
    <x v="2"/>
    <x v="10"/>
    <s v="Belkin F9M820V08 8 Outlet Surge"/>
    <n v="309.45999999999998"/>
    <n v="9"/>
    <n v="34.81"/>
  </r>
  <r>
    <d v="2016-02-09T00:00:00"/>
    <x v="1"/>
    <x v="2"/>
    <x v="455"/>
    <x v="12"/>
    <x v="0"/>
    <x v="0"/>
    <s v="Plantronics Savi W720 Multi-Device Wireless Headset System"/>
    <n v="1012.68"/>
    <n v="3"/>
    <n v="303.8"/>
  </r>
  <r>
    <d v="2016-02-09T00:00:00"/>
    <x v="1"/>
    <x v="2"/>
    <x v="456"/>
    <x v="4"/>
    <x v="0"/>
    <x v="0"/>
    <s v="LogitechÂ MX Performance Wireless Mouse"/>
    <n v="159.56"/>
    <n v="5"/>
    <n v="33.909999999999997"/>
  </r>
  <r>
    <d v="2016-02-09T00:00:00"/>
    <x v="1"/>
    <x v="2"/>
    <x v="197"/>
    <x v="1"/>
    <x v="1"/>
    <x v="1"/>
    <s v="Global Leather Task Chair, Black"/>
    <n v="215.98"/>
    <n v="3"/>
    <n v="-2.7"/>
  </r>
  <r>
    <d v="2016-02-09T00:00:00"/>
    <x v="1"/>
    <x v="2"/>
    <x v="197"/>
    <x v="1"/>
    <x v="2"/>
    <x v="13"/>
    <s v="Inter-Office Recycled Envelopes, Brown Kraft, Button-String,10&quot; x 13&quot; , 100/Box"/>
    <n v="65.94"/>
    <n v="3"/>
    <n v="30.99"/>
  </r>
  <r>
    <d v="2016-02-09T00:00:00"/>
    <x v="1"/>
    <x v="2"/>
    <x v="193"/>
    <x v="5"/>
    <x v="1"/>
    <x v="5"/>
    <s v="Ultra Door Pull Handle"/>
    <n v="94.68"/>
    <n v="9"/>
    <n v="31.24"/>
  </r>
  <r>
    <d v="2016-02-09T00:00:00"/>
    <x v="1"/>
    <x v="2"/>
    <x v="193"/>
    <x v="5"/>
    <x v="2"/>
    <x v="11"/>
    <s v="Blackstonian Pencils"/>
    <n v="18.690000000000001"/>
    <n v="7"/>
    <n v="5.23"/>
  </r>
  <r>
    <d v="2016-02-10T00:00:00"/>
    <x v="1"/>
    <x v="2"/>
    <x v="181"/>
    <x v="33"/>
    <x v="0"/>
    <x v="12"/>
    <s v="Canon imageCLASS 2200 Advanced Copier"/>
    <n v="17499.95"/>
    <n v="5"/>
    <n v="8399.98"/>
  </r>
  <r>
    <d v="2016-02-10T00:00:00"/>
    <x v="1"/>
    <x v="2"/>
    <x v="181"/>
    <x v="33"/>
    <x v="2"/>
    <x v="11"/>
    <s v="Stanley Bostitch Contemporary Electric Pencil Sharpeners"/>
    <n v="33.96"/>
    <n v="2"/>
    <n v="9.51"/>
  </r>
  <r>
    <d v="2016-02-12T00:00:00"/>
    <x v="1"/>
    <x v="2"/>
    <x v="300"/>
    <x v="5"/>
    <x v="2"/>
    <x v="9"/>
    <s v="GBC VeloBind Cover Sets"/>
    <n v="24.7"/>
    <n v="2"/>
    <n v="9.26"/>
  </r>
  <r>
    <d v="2016-02-12T00:00:00"/>
    <x v="1"/>
    <x v="2"/>
    <x v="300"/>
    <x v="5"/>
    <x v="1"/>
    <x v="5"/>
    <s v="Eldon Regeneration Recycled Desk Accessories, Black"/>
    <n v="14.52"/>
    <n v="3"/>
    <n v="5.66"/>
  </r>
  <r>
    <d v="2016-02-12T00:00:00"/>
    <x v="1"/>
    <x v="2"/>
    <x v="96"/>
    <x v="40"/>
    <x v="2"/>
    <x v="6"/>
    <s v="Deluxe Rollaway Locking File with Drawer"/>
    <n v="2079.4"/>
    <n v="5"/>
    <n v="582.23"/>
  </r>
  <r>
    <d v="2016-02-12T00:00:00"/>
    <x v="1"/>
    <x v="2"/>
    <x v="457"/>
    <x v="2"/>
    <x v="2"/>
    <x v="9"/>
    <s v="Ibico EB-19 Dual Function Manual Binding System"/>
    <n v="415.18"/>
    <n v="3"/>
    <n v="134.93"/>
  </r>
  <r>
    <d v="2016-02-12T00:00:00"/>
    <x v="1"/>
    <x v="2"/>
    <x v="444"/>
    <x v="4"/>
    <x v="1"/>
    <x v="16"/>
    <s v="Sauder Camden County Collection Library"/>
    <n v="781.86"/>
    <n v="10"/>
    <n v="-137.97999999999999"/>
  </r>
  <r>
    <d v="2016-03-01T00:00:00"/>
    <x v="2"/>
    <x v="2"/>
    <x v="458"/>
    <x v="4"/>
    <x v="0"/>
    <x v="0"/>
    <s v="ImationÂ Clip USBÂ flash driveÂ - 8 GB"/>
    <n v="30.08"/>
    <n v="2"/>
    <n v="-5.26"/>
  </r>
  <r>
    <d v="2016-03-01T00:00:00"/>
    <x v="2"/>
    <x v="2"/>
    <x v="459"/>
    <x v="28"/>
    <x v="1"/>
    <x v="7"/>
    <s v="Hon Practical Foundations 30 x 60 Training Table, Light Gray/Charcoal"/>
    <n v="1592.85"/>
    <n v="7"/>
    <n v="350.43"/>
  </r>
  <r>
    <d v="2016-03-03T00:00:00"/>
    <x v="2"/>
    <x v="2"/>
    <x v="460"/>
    <x v="4"/>
    <x v="2"/>
    <x v="3"/>
    <s v="Rediform Wirebound &quot;Phone Memo&quot; Message Book, 11 x 5-3/4"/>
    <n v="42.78"/>
    <n v="7"/>
    <n v="15.51"/>
  </r>
  <r>
    <d v="2016-03-03T00:00:00"/>
    <x v="2"/>
    <x v="2"/>
    <x v="461"/>
    <x v="33"/>
    <x v="0"/>
    <x v="2"/>
    <s v="Plantronics Encore H101 Dual EarpiecesÂ Headset"/>
    <n v="134.85"/>
    <n v="3"/>
    <n v="37.76"/>
  </r>
  <r>
    <d v="2016-03-03T00:00:00"/>
    <x v="2"/>
    <x v="2"/>
    <x v="111"/>
    <x v="4"/>
    <x v="1"/>
    <x v="7"/>
    <s v="Office Impressions End Table, 20-1/2&quot;H x 24&quot;W x 20&quot;D"/>
    <n v="637.9"/>
    <n v="3"/>
    <n v="-127.58"/>
  </r>
  <r>
    <d v="2016-03-03T00:00:00"/>
    <x v="2"/>
    <x v="2"/>
    <x v="462"/>
    <x v="5"/>
    <x v="2"/>
    <x v="15"/>
    <s v="Elite 5&quot; Scissors"/>
    <n v="25.35"/>
    <n v="3"/>
    <n v="7.61"/>
  </r>
  <r>
    <d v="2016-03-03T00:00:00"/>
    <x v="2"/>
    <x v="2"/>
    <x v="346"/>
    <x v="4"/>
    <x v="2"/>
    <x v="15"/>
    <s v="High Speed Automatic Electric Letter Opener"/>
    <n v="3930.07"/>
    <n v="3"/>
    <n v="-786.01"/>
  </r>
  <r>
    <d v="2016-03-04T00:00:00"/>
    <x v="2"/>
    <x v="2"/>
    <x v="463"/>
    <x v="13"/>
    <x v="2"/>
    <x v="9"/>
    <s v="GBC Velobind Prepunched Cover Sets, Regency Series"/>
    <n v="99.85"/>
    <n v="9"/>
    <n v="-83.21"/>
  </r>
  <r>
    <d v="2016-03-05T00:00:00"/>
    <x v="2"/>
    <x v="2"/>
    <x v="360"/>
    <x v="3"/>
    <x v="2"/>
    <x v="11"/>
    <s v="Newell 316"/>
    <n v="27.38"/>
    <n v="7"/>
    <n v="2.74"/>
  </r>
  <r>
    <d v="2016-03-05T00:00:00"/>
    <x v="2"/>
    <x v="2"/>
    <x v="464"/>
    <x v="18"/>
    <x v="1"/>
    <x v="5"/>
    <s v="Computer Room Manger, 14&quot;"/>
    <n v="51.97"/>
    <n v="2"/>
    <n v="10.39"/>
  </r>
  <r>
    <d v="2016-03-05T00:00:00"/>
    <x v="2"/>
    <x v="2"/>
    <x v="464"/>
    <x v="18"/>
    <x v="0"/>
    <x v="14"/>
    <s v="Cisco 8961 IP Phone Charcoal"/>
    <n v="224.94"/>
    <n v="3"/>
    <n v="-164.95"/>
  </r>
  <r>
    <d v="2016-03-05T00:00:00"/>
    <x v="2"/>
    <x v="2"/>
    <x v="464"/>
    <x v="18"/>
    <x v="2"/>
    <x v="8"/>
    <s v="Avery 496"/>
    <n v="6"/>
    <n v="2"/>
    <n v="2.1"/>
  </r>
  <r>
    <d v="2016-03-06T00:00:00"/>
    <x v="2"/>
    <x v="2"/>
    <x v="386"/>
    <x v="5"/>
    <x v="1"/>
    <x v="7"/>
    <s v="Hon 61000 Series Interactive Training Tables"/>
    <n v="71.09"/>
    <n v="2"/>
    <n v="-1.78"/>
  </r>
  <r>
    <d v="2016-03-07T00:00:00"/>
    <x v="2"/>
    <x v="2"/>
    <x v="334"/>
    <x v="2"/>
    <x v="2"/>
    <x v="10"/>
    <s v="Avanti 1.7 Cu. Ft. Refrigerator"/>
    <n v="706.86"/>
    <n v="7"/>
    <n v="197.92"/>
  </r>
  <r>
    <d v="2016-03-07T00:00:00"/>
    <x v="2"/>
    <x v="2"/>
    <x v="247"/>
    <x v="13"/>
    <x v="2"/>
    <x v="3"/>
    <s v="Xerox 1925"/>
    <n v="123.92"/>
    <n v="5"/>
    <n v="38.729999999999997"/>
  </r>
  <r>
    <d v="2016-03-08T00:00:00"/>
    <x v="2"/>
    <x v="2"/>
    <x v="465"/>
    <x v="28"/>
    <x v="0"/>
    <x v="0"/>
    <s v="Sony Micro Vault Click 4 GB USB 2.0 Flash Drive"/>
    <n v="167.28"/>
    <n v="12"/>
    <n v="23.42"/>
  </r>
  <r>
    <d v="2016-03-09T00:00:00"/>
    <x v="2"/>
    <x v="2"/>
    <x v="58"/>
    <x v="3"/>
    <x v="1"/>
    <x v="5"/>
    <s v="Tenex &quot;The Solids&quot; Textured Chair Mats"/>
    <n v="83.95"/>
    <n v="3"/>
    <n v="-90.25"/>
  </r>
  <r>
    <d v="2016-03-09T00:00:00"/>
    <x v="2"/>
    <x v="2"/>
    <x v="466"/>
    <x v="0"/>
    <x v="2"/>
    <x v="6"/>
    <s v="Crate-A-Files"/>
    <n v="54.5"/>
    <n v="5"/>
    <n v="14.17"/>
  </r>
  <r>
    <d v="2016-03-09T00:00:00"/>
    <x v="2"/>
    <x v="2"/>
    <x v="467"/>
    <x v="3"/>
    <x v="1"/>
    <x v="16"/>
    <s v="Safco Value Mate Steel Bookcase, Baked Enamel Finish on Steel, Black"/>
    <n v="198.74"/>
    <n v="4"/>
    <n v="0"/>
  </r>
  <r>
    <d v="2016-03-09T00:00:00"/>
    <x v="2"/>
    <x v="2"/>
    <x v="361"/>
    <x v="18"/>
    <x v="2"/>
    <x v="3"/>
    <s v="Wirebound Four 2-3/4 x 5 Forms per Page, 400 Sets per Book"/>
    <n v="30.96"/>
    <n v="6"/>
    <n v="11.22"/>
  </r>
  <r>
    <d v="2016-03-10T00:00:00"/>
    <x v="2"/>
    <x v="2"/>
    <x v="123"/>
    <x v="2"/>
    <x v="1"/>
    <x v="1"/>
    <s v="Office Star - Contemporary Task Swivel Chair"/>
    <n v="599.29"/>
    <n v="6"/>
    <n v="93.22"/>
  </r>
  <r>
    <d v="2016-03-10T00:00:00"/>
    <x v="2"/>
    <x v="2"/>
    <x v="291"/>
    <x v="4"/>
    <x v="1"/>
    <x v="5"/>
    <s v="Eldon Expressions Desk Accessory, Wood Photo Frame, Mahogany"/>
    <n v="38.08"/>
    <n v="5"/>
    <n v="-29.51"/>
  </r>
  <r>
    <d v="2016-03-10T00:00:00"/>
    <x v="2"/>
    <x v="2"/>
    <x v="443"/>
    <x v="5"/>
    <x v="2"/>
    <x v="3"/>
    <s v="Xerox 1900"/>
    <n v="8.56"/>
    <n v="2"/>
    <n v="3.85"/>
  </r>
  <r>
    <d v="2016-03-11T00:00:00"/>
    <x v="2"/>
    <x v="2"/>
    <x v="468"/>
    <x v="1"/>
    <x v="2"/>
    <x v="11"/>
    <s v="Newell 332"/>
    <n v="8.82"/>
    <n v="3"/>
    <n v="2.38"/>
  </r>
  <r>
    <d v="2016-03-11T00:00:00"/>
    <x v="2"/>
    <x v="2"/>
    <x v="469"/>
    <x v="5"/>
    <x v="1"/>
    <x v="1"/>
    <s v="Global Deluxe High-Back Office Chair in Storm"/>
    <n v="217.58"/>
    <n v="2"/>
    <n v="-29.92"/>
  </r>
  <r>
    <d v="2016-03-11T00:00:00"/>
    <x v="2"/>
    <x v="2"/>
    <x v="469"/>
    <x v="5"/>
    <x v="0"/>
    <x v="0"/>
    <s v="Kensington K72356US Mouse-in-a-Box USB Desktop Mouse"/>
    <n v="82.95"/>
    <n v="5"/>
    <n v="29.03"/>
  </r>
  <r>
    <d v="2016-03-11T00:00:00"/>
    <x v="2"/>
    <x v="2"/>
    <x v="469"/>
    <x v="5"/>
    <x v="2"/>
    <x v="10"/>
    <s v="Honeywell Enviracaire Portable HEPA Air Cleaner for 16' x 20' Room"/>
    <n v="1101.48"/>
    <n v="4"/>
    <n v="429.58"/>
  </r>
  <r>
    <d v="2016-03-11T00:00:00"/>
    <x v="2"/>
    <x v="2"/>
    <x v="267"/>
    <x v="17"/>
    <x v="1"/>
    <x v="5"/>
    <s v="Magna Visual Magnetic Picture Hangers"/>
    <n v="24.1"/>
    <n v="5"/>
    <n v="9.16"/>
  </r>
  <r>
    <d v="2016-03-11T00:00:00"/>
    <x v="2"/>
    <x v="2"/>
    <x v="267"/>
    <x v="17"/>
    <x v="2"/>
    <x v="11"/>
    <s v="Boston 16750 Black Compact Battery Pencil Sharpener"/>
    <n v="8.75"/>
    <n v="1"/>
    <n v="2.63"/>
  </r>
  <r>
    <d v="2016-03-11T00:00:00"/>
    <x v="2"/>
    <x v="2"/>
    <x v="267"/>
    <x v="17"/>
    <x v="1"/>
    <x v="7"/>
    <s v="Global Adaptabilities Conference Tables"/>
    <n v="842.94"/>
    <n v="3"/>
    <n v="160.16"/>
  </r>
  <r>
    <d v="2016-03-11T00:00:00"/>
    <x v="2"/>
    <x v="2"/>
    <x v="163"/>
    <x v="5"/>
    <x v="2"/>
    <x v="10"/>
    <s v="Holmes 99% HEPA Air Purifier"/>
    <n v="43.32"/>
    <n v="2"/>
    <n v="14.3"/>
  </r>
  <r>
    <d v="2016-03-11T00:00:00"/>
    <x v="2"/>
    <x v="2"/>
    <x v="163"/>
    <x v="5"/>
    <x v="2"/>
    <x v="3"/>
    <s v="Xerox 1892"/>
    <n v="116.28"/>
    <n v="3"/>
    <n v="56.98"/>
  </r>
  <r>
    <d v="2016-03-11T00:00:00"/>
    <x v="2"/>
    <x v="2"/>
    <x v="163"/>
    <x v="5"/>
    <x v="2"/>
    <x v="9"/>
    <s v="Fellowes Black Plastic Comb Bindings"/>
    <n v="9.3000000000000007"/>
    <n v="2"/>
    <n v="3.02"/>
  </r>
  <r>
    <d v="2016-03-11T00:00:00"/>
    <x v="2"/>
    <x v="2"/>
    <x v="163"/>
    <x v="5"/>
    <x v="2"/>
    <x v="3"/>
    <s v="Xerox 22"/>
    <n v="19.440000000000001"/>
    <n v="3"/>
    <n v="9.33"/>
  </r>
  <r>
    <d v="2016-03-11T00:00:00"/>
    <x v="2"/>
    <x v="2"/>
    <x v="163"/>
    <x v="5"/>
    <x v="2"/>
    <x v="3"/>
    <s v="Multicolor Computer Printout Paper"/>
    <n v="314.55"/>
    <n v="3"/>
    <n v="150.97999999999999"/>
  </r>
  <r>
    <d v="2016-03-11T00:00:00"/>
    <x v="2"/>
    <x v="2"/>
    <x v="393"/>
    <x v="16"/>
    <x v="0"/>
    <x v="14"/>
    <s v="Okidata B401 Printer"/>
    <n v="179.99"/>
    <n v="3"/>
    <n v="-251.99"/>
  </r>
  <r>
    <d v="2016-03-11T00:00:00"/>
    <x v="2"/>
    <x v="2"/>
    <x v="344"/>
    <x v="13"/>
    <x v="1"/>
    <x v="1"/>
    <s v="Bevis Steel Folding Chairs"/>
    <n v="470.16"/>
    <n v="7"/>
    <n v="-13.43"/>
  </r>
  <r>
    <d v="2016-03-12T00:00:00"/>
    <x v="2"/>
    <x v="2"/>
    <x v="320"/>
    <x v="2"/>
    <x v="2"/>
    <x v="6"/>
    <s v="Personal Folder Holder, Ebony"/>
    <n v="33.630000000000003"/>
    <n v="3"/>
    <n v="10.09"/>
  </r>
  <r>
    <d v="2016-03-12T00:00:00"/>
    <x v="2"/>
    <x v="2"/>
    <x v="470"/>
    <x v="5"/>
    <x v="1"/>
    <x v="5"/>
    <s v="3M Polarizing Light Filter Sleeves"/>
    <n v="111.9"/>
    <n v="6"/>
    <n v="51.47"/>
  </r>
  <r>
    <d v="2016-03-12T00:00:00"/>
    <x v="2"/>
    <x v="2"/>
    <x v="56"/>
    <x v="5"/>
    <x v="1"/>
    <x v="7"/>
    <s v="Hon 4060 Series Tables"/>
    <n v="268.7"/>
    <n v="3"/>
    <n v="6.72"/>
  </r>
  <r>
    <d v="2016-04-03T00:00:00"/>
    <x v="3"/>
    <x v="2"/>
    <x v="471"/>
    <x v="5"/>
    <x v="2"/>
    <x v="11"/>
    <s v="Berol Giant Pencil Sharpener"/>
    <n v="16.989999999999998"/>
    <n v="1"/>
    <n v="4.93"/>
  </r>
  <r>
    <d v="2016-04-04T00:00:00"/>
    <x v="3"/>
    <x v="2"/>
    <x v="148"/>
    <x v="20"/>
    <x v="0"/>
    <x v="2"/>
    <s v="Anker Astro 15000mAh USB Portable Charger"/>
    <n v="149.97"/>
    <n v="3"/>
    <n v="6"/>
  </r>
  <r>
    <d v="2016-04-06T00:00:00"/>
    <x v="3"/>
    <x v="2"/>
    <x v="258"/>
    <x v="3"/>
    <x v="1"/>
    <x v="5"/>
    <s v="Luxo Professional Fluorescent Magnifier Lamp with Clamp-Mount Base"/>
    <n v="419.68"/>
    <n v="5"/>
    <n v="-356.73"/>
  </r>
  <r>
    <d v="2016-04-06T00:00:00"/>
    <x v="3"/>
    <x v="2"/>
    <x v="258"/>
    <x v="3"/>
    <x v="0"/>
    <x v="2"/>
    <s v="PureGear Roll-On Screen Protector"/>
    <n v="31.98"/>
    <n v="2"/>
    <n v="11.19"/>
  </r>
  <r>
    <d v="2016-04-06T00:00:00"/>
    <x v="3"/>
    <x v="2"/>
    <x v="258"/>
    <x v="3"/>
    <x v="1"/>
    <x v="5"/>
    <s v="Eldon 100 Class Desk Accessories"/>
    <n v="4.04"/>
    <n v="3"/>
    <n v="-2.83"/>
  </r>
  <r>
    <d v="2016-04-06T00:00:00"/>
    <x v="3"/>
    <x v="2"/>
    <x v="472"/>
    <x v="2"/>
    <x v="0"/>
    <x v="14"/>
    <s v="Panasonic KX MC6040 Color Laser Multifunction Printer"/>
    <n v="1349.85"/>
    <n v="3"/>
    <n v="364.46"/>
  </r>
  <r>
    <d v="2016-04-06T00:00:00"/>
    <x v="3"/>
    <x v="2"/>
    <x v="472"/>
    <x v="2"/>
    <x v="1"/>
    <x v="16"/>
    <s v="Sauder Inglewood Library Bookcases"/>
    <n v="136.78"/>
    <n v="1"/>
    <n v="5.13"/>
  </r>
  <r>
    <d v="2016-04-07T00:00:00"/>
    <x v="3"/>
    <x v="2"/>
    <x v="178"/>
    <x v="1"/>
    <x v="0"/>
    <x v="2"/>
    <s v="Avaya 4621SW VoIP phone"/>
    <n v="177.48"/>
    <n v="3"/>
    <n v="19.97"/>
  </r>
  <r>
    <d v="2016-04-07T00:00:00"/>
    <x v="3"/>
    <x v="2"/>
    <x v="178"/>
    <x v="1"/>
    <x v="0"/>
    <x v="2"/>
    <s v="OtterBox Defender Series Case - Samsung Galaxy S4"/>
    <n v="71.98"/>
    <n v="3"/>
    <n v="9"/>
  </r>
  <r>
    <d v="2016-04-08T00:00:00"/>
    <x v="3"/>
    <x v="2"/>
    <x v="473"/>
    <x v="20"/>
    <x v="2"/>
    <x v="8"/>
    <s v="Avery 478"/>
    <n v="9.82"/>
    <n v="2"/>
    <n v="4.8099999999999996"/>
  </r>
  <r>
    <d v="2016-04-08T00:00:00"/>
    <x v="3"/>
    <x v="2"/>
    <x v="474"/>
    <x v="5"/>
    <x v="2"/>
    <x v="9"/>
    <s v="Pressboard Covers with Storage Hooks, 9 1/2&quot; x 11&quot;, Light Blue"/>
    <n v="11.78"/>
    <n v="3"/>
    <n v="3.98"/>
  </r>
  <r>
    <d v="2016-04-09T00:00:00"/>
    <x v="3"/>
    <x v="2"/>
    <x v="51"/>
    <x v="2"/>
    <x v="2"/>
    <x v="9"/>
    <s v="Plastic Binding Combs"/>
    <n v="60.6"/>
    <n v="5"/>
    <n v="20.45"/>
  </r>
  <r>
    <d v="2016-04-09T00:00:00"/>
    <x v="3"/>
    <x v="2"/>
    <x v="51"/>
    <x v="2"/>
    <x v="2"/>
    <x v="15"/>
    <s v="Acme Preferred Stainless Steel Scissors"/>
    <n v="22.72"/>
    <n v="4"/>
    <n v="6.59"/>
  </r>
  <r>
    <d v="2016-04-09T00:00:00"/>
    <x v="3"/>
    <x v="2"/>
    <x v="475"/>
    <x v="5"/>
    <x v="1"/>
    <x v="5"/>
    <s v="6&quot; Cubicle Wall Clock, Black"/>
    <n v="24.27"/>
    <n v="3"/>
    <n v="8.74"/>
  </r>
  <r>
    <d v="2016-04-10T00:00:00"/>
    <x v="3"/>
    <x v="2"/>
    <x v="476"/>
    <x v="4"/>
    <x v="2"/>
    <x v="13"/>
    <s v="Laser &amp; Ink Jet Business Envelopes"/>
    <n v="59.75"/>
    <n v="7"/>
    <n v="19.420000000000002"/>
  </r>
  <r>
    <d v="2016-04-10T00:00:00"/>
    <x v="3"/>
    <x v="2"/>
    <x v="295"/>
    <x v="40"/>
    <x v="2"/>
    <x v="9"/>
    <s v="Ibico Plastic Spiral Binding Combs"/>
    <n v="30.4"/>
    <n v="1"/>
    <n v="13.98"/>
  </r>
  <r>
    <d v="2016-04-10T00:00:00"/>
    <x v="3"/>
    <x v="2"/>
    <x v="295"/>
    <x v="40"/>
    <x v="2"/>
    <x v="6"/>
    <s v="Letter Size File"/>
    <n v="119.1"/>
    <n v="3"/>
    <n v="34.54"/>
  </r>
  <r>
    <d v="2016-04-10T00:00:00"/>
    <x v="3"/>
    <x v="2"/>
    <x v="212"/>
    <x v="24"/>
    <x v="1"/>
    <x v="7"/>
    <s v="Bush Andora Conference Table, Maple/Graphite Gray Finish"/>
    <n v="239.37"/>
    <n v="2"/>
    <n v="-23.94"/>
  </r>
  <r>
    <d v="2016-04-11T00:00:00"/>
    <x v="3"/>
    <x v="2"/>
    <x v="143"/>
    <x v="17"/>
    <x v="2"/>
    <x v="4"/>
    <s v="OIC Colored Binder Clips, Assorted Sizes"/>
    <n v="10.74"/>
    <n v="3"/>
    <n v="5.26"/>
  </r>
  <r>
    <d v="2016-04-11T00:00:00"/>
    <x v="3"/>
    <x v="2"/>
    <x v="291"/>
    <x v="16"/>
    <x v="2"/>
    <x v="15"/>
    <s v="Serrated Blade or Curved Handle Hand Letter Openers"/>
    <n v="17.579999999999998"/>
    <n v="7"/>
    <n v="-4.18"/>
  </r>
  <r>
    <d v="2016-04-11T00:00:00"/>
    <x v="3"/>
    <x v="2"/>
    <x v="291"/>
    <x v="16"/>
    <x v="2"/>
    <x v="3"/>
    <s v="Xerox 1887"/>
    <n v="15.18"/>
    <n v="1"/>
    <n v="5.31"/>
  </r>
  <r>
    <d v="2016-04-11T00:00:00"/>
    <x v="3"/>
    <x v="2"/>
    <x v="477"/>
    <x v="12"/>
    <x v="1"/>
    <x v="7"/>
    <s v="BPI Conference Tables"/>
    <n v="876.3"/>
    <n v="10"/>
    <n v="-292.10000000000002"/>
  </r>
  <r>
    <d v="2016-04-11T00:00:00"/>
    <x v="3"/>
    <x v="2"/>
    <x v="477"/>
    <x v="12"/>
    <x v="2"/>
    <x v="15"/>
    <s v="Premier Electric Letter Opener"/>
    <n v="185.38"/>
    <n v="2"/>
    <n v="-34.76"/>
  </r>
  <r>
    <d v="2016-04-11T00:00:00"/>
    <x v="3"/>
    <x v="2"/>
    <x v="451"/>
    <x v="5"/>
    <x v="0"/>
    <x v="14"/>
    <s v="Okidata B400 Printer"/>
    <n v="686.4"/>
    <n v="2"/>
    <n v="77.22"/>
  </r>
  <r>
    <d v="2016-04-12T00:00:00"/>
    <x v="3"/>
    <x v="2"/>
    <x v="197"/>
    <x v="2"/>
    <x v="2"/>
    <x v="9"/>
    <s v="Peel &amp; Stick Add-On Corner Pockets"/>
    <n v="1.73"/>
    <n v="1"/>
    <n v="0.6"/>
  </r>
  <r>
    <d v="2016-04-12T00:00:00"/>
    <x v="3"/>
    <x v="2"/>
    <x v="197"/>
    <x v="2"/>
    <x v="2"/>
    <x v="6"/>
    <s v="Carina Media Storage Towers in Natural &amp; Black"/>
    <n v="182.94"/>
    <n v="3"/>
    <n v="3.66"/>
  </r>
  <r>
    <d v="2016-04-12T00:00:00"/>
    <x v="3"/>
    <x v="2"/>
    <x v="197"/>
    <x v="2"/>
    <x v="2"/>
    <x v="6"/>
    <s v="Fellowes Econo/Stor Drawers"/>
    <n v="193.86"/>
    <n v="2"/>
    <n v="11.63"/>
  </r>
  <r>
    <d v="2016-04-12T00:00:00"/>
    <x v="3"/>
    <x v="2"/>
    <x v="478"/>
    <x v="2"/>
    <x v="2"/>
    <x v="6"/>
    <s v="Belkin OmniView SE Rackmount Kit"/>
    <n v="212.88"/>
    <n v="6"/>
    <n v="0"/>
  </r>
  <r>
    <d v="2016-04-12T00:00:00"/>
    <x v="3"/>
    <x v="2"/>
    <x v="479"/>
    <x v="2"/>
    <x v="2"/>
    <x v="9"/>
    <s v="GBC Instant Report Kit"/>
    <n v="15.53"/>
    <n v="3"/>
    <n v="5.82"/>
  </r>
  <r>
    <d v="2016-04-12T00:00:00"/>
    <x v="3"/>
    <x v="2"/>
    <x v="203"/>
    <x v="5"/>
    <x v="2"/>
    <x v="3"/>
    <s v="Xerox 1915"/>
    <n v="104.85"/>
    <n v="1"/>
    <n v="50.33"/>
  </r>
  <r>
    <d v="2016-05-01T00:00:00"/>
    <x v="4"/>
    <x v="2"/>
    <x v="480"/>
    <x v="11"/>
    <x v="2"/>
    <x v="11"/>
    <s v="Newell 337"/>
    <n v="5.25"/>
    <n v="2"/>
    <n v="0.59"/>
  </r>
  <r>
    <d v="2016-05-02T00:00:00"/>
    <x v="4"/>
    <x v="2"/>
    <x v="204"/>
    <x v="19"/>
    <x v="2"/>
    <x v="4"/>
    <s v="Revere Boxed Rubber Bands by Revere"/>
    <n v="9.4499999999999993"/>
    <n v="5"/>
    <n v="0.19"/>
  </r>
  <r>
    <d v="2016-05-02T00:00:00"/>
    <x v="4"/>
    <x v="2"/>
    <x v="204"/>
    <x v="19"/>
    <x v="1"/>
    <x v="16"/>
    <s v="Bush Andora Bookcase, Maple/Graphite Gray Finish"/>
    <n v="239.98"/>
    <n v="2"/>
    <n v="52.8"/>
  </r>
  <r>
    <d v="2016-05-02T00:00:00"/>
    <x v="4"/>
    <x v="2"/>
    <x v="204"/>
    <x v="19"/>
    <x v="2"/>
    <x v="13"/>
    <s v="Ames Color-File Green Diamond Border X-ray Mailers"/>
    <n v="167.96"/>
    <n v="2"/>
    <n v="78.94"/>
  </r>
  <r>
    <d v="2016-05-02T00:00:00"/>
    <x v="4"/>
    <x v="2"/>
    <x v="204"/>
    <x v="19"/>
    <x v="2"/>
    <x v="3"/>
    <s v="White Dual Perf Computer Printout Paper, 2700 Sheets, 1 Part, Heavyweight, 20 lbs., 14 7/8 x 11"/>
    <n v="122.97"/>
    <n v="3"/>
    <n v="60.26"/>
  </r>
  <r>
    <d v="2016-05-02T00:00:00"/>
    <x v="4"/>
    <x v="2"/>
    <x v="204"/>
    <x v="19"/>
    <x v="2"/>
    <x v="3"/>
    <s v="Xerox 1943"/>
    <n v="342.37"/>
    <n v="7"/>
    <n v="160.91"/>
  </r>
  <r>
    <d v="2016-05-02T00:00:00"/>
    <x v="4"/>
    <x v="2"/>
    <x v="481"/>
    <x v="5"/>
    <x v="2"/>
    <x v="6"/>
    <s v="Fellowes Mobile File Cart, Black"/>
    <n v="186.54"/>
    <n v="3"/>
    <n v="50.37"/>
  </r>
  <r>
    <d v="2016-05-04T00:00:00"/>
    <x v="4"/>
    <x v="2"/>
    <x v="298"/>
    <x v="13"/>
    <x v="0"/>
    <x v="2"/>
    <s v="Clearsounds A400"/>
    <n v="118.78"/>
    <n v="3"/>
    <n v="-27.72"/>
  </r>
  <r>
    <d v="2016-05-04T00:00:00"/>
    <x v="4"/>
    <x v="2"/>
    <x v="298"/>
    <x v="13"/>
    <x v="2"/>
    <x v="15"/>
    <s v="Premier Automatic Letter Opener"/>
    <n v="769.18"/>
    <n v="4"/>
    <n v="-163.44999999999999"/>
  </r>
  <r>
    <d v="2016-05-05T00:00:00"/>
    <x v="4"/>
    <x v="2"/>
    <x v="482"/>
    <x v="26"/>
    <x v="2"/>
    <x v="3"/>
    <s v="Xerox 1965"/>
    <n v="14.35"/>
    <n v="3"/>
    <n v="5.2"/>
  </r>
  <r>
    <d v="2016-05-05T00:00:00"/>
    <x v="4"/>
    <x v="2"/>
    <x v="483"/>
    <x v="5"/>
    <x v="0"/>
    <x v="2"/>
    <s v="Cisco Small Business SPA 502G VoIP phone"/>
    <n v="246.17"/>
    <n v="3"/>
    <n v="21.54"/>
  </r>
  <r>
    <d v="2016-05-05T00:00:00"/>
    <x v="4"/>
    <x v="2"/>
    <x v="484"/>
    <x v="5"/>
    <x v="2"/>
    <x v="9"/>
    <s v="Computer Printout Index Tabs"/>
    <n v="6.72"/>
    <n v="5"/>
    <n v="2.35"/>
  </r>
  <r>
    <d v="2016-05-05T00:00:00"/>
    <x v="4"/>
    <x v="2"/>
    <x v="178"/>
    <x v="11"/>
    <x v="2"/>
    <x v="3"/>
    <s v="Snap-A-Way Black Print Carbonless Speed Message, No Reply Area, Duplicate"/>
    <n v="93.25"/>
    <n v="4"/>
    <n v="31.47"/>
  </r>
  <r>
    <d v="2016-05-06T00:00:00"/>
    <x v="4"/>
    <x v="2"/>
    <x v="74"/>
    <x v="13"/>
    <x v="2"/>
    <x v="6"/>
    <s v="Eldon Base for stackable storage shelf, platinum"/>
    <n v="124.61"/>
    <n v="4"/>
    <n v="-23.36"/>
  </r>
  <r>
    <d v="2016-05-08T00:00:00"/>
    <x v="4"/>
    <x v="2"/>
    <x v="485"/>
    <x v="34"/>
    <x v="2"/>
    <x v="11"/>
    <s v="Boston Model 1800 Electric Pencil Sharpener, Gray"/>
    <n v="197.05"/>
    <n v="7"/>
    <n v="59.12"/>
  </r>
  <r>
    <d v="2016-05-09T00:00:00"/>
    <x v="4"/>
    <x v="2"/>
    <x v="264"/>
    <x v="10"/>
    <x v="2"/>
    <x v="6"/>
    <s v="Fellowes Bankers Box Staxonsteel Drawer File/Stacking System"/>
    <n v="194.94"/>
    <n v="3"/>
    <n v="23.39"/>
  </r>
  <r>
    <d v="2016-05-09T00:00:00"/>
    <x v="4"/>
    <x v="2"/>
    <x v="264"/>
    <x v="10"/>
    <x v="2"/>
    <x v="6"/>
    <s v="Eldon Mobile Mega Data Cart  Mega Stackable  Add-On Trays"/>
    <n v="70.95"/>
    <n v="3"/>
    <n v="20.58"/>
  </r>
  <r>
    <d v="2016-05-09T00:00:00"/>
    <x v="4"/>
    <x v="2"/>
    <x v="486"/>
    <x v="13"/>
    <x v="2"/>
    <x v="9"/>
    <s v="C-Line Peel &amp; Stick Add-On Filing Pockets, 8-3/4 x 5-1/8, 10/Pack"/>
    <n v="9.56"/>
    <n v="5"/>
    <n v="-7.33"/>
  </r>
  <r>
    <d v="2016-05-09T00:00:00"/>
    <x v="4"/>
    <x v="2"/>
    <x v="484"/>
    <x v="26"/>
    <x v="0"/>
    <x v="2"/>
    <s v="Nortel Networks T7316 E Nt8 B27"/>
    <n v="108.78"/>
    <n v="2"/>
    <n v="6.8"/>
  </r>
  <r>
    <d v="2016-05-09T00:00:00"/>
    <x v="4"/>
    <x v="2"/>
    <x v="223"/>
    <x v="5"/>
    <x v="2"/>
    <x v="3"/>
    <s v="14-7/8 x 11 Blue Bar Computer Printout Paper"/>
    <n v="96.08"/>
    <n v="2"/>
    <n v="46.12"/>
  </r>
  <r>
    <d v="2016-05-09T00:00:00"/>
    <x v="4"/>
    <x v="2"/>
    <x v="223"/>
    <x v="5"/>
    <x v="2"/>
    <x v="4"/>
    <s v="Advantus Push Pins"/>
    <n v="4.3600000000000003"/>
    <n v="2"/>
    <n v="1.79"/>
  </r>
  <r>
    <d v="2016-05-09T00:00:00"/>
    <x v="4"/>
    <x v="2"/>
    <x v="447"/>
    <x v="3"/>
    <x v="2"/>
    <x v="3"/>
    <s v="Xerox 196"/>
    <n v="9.25"/>
    <n v="2"/>
    <n v="3.35"/>
  </r>
  <r>
    <d v="2016-05-09T00:00:00"/>
    <x v="4"/>
    <x v="2"/>
    <x v="140"/>
    <x v="18"/>
    <x v="2"/>
    <x v="9"/>
    <s v="Recycled Easel Ring Binders"/>
    <n v="8.9499999999999993"/>
    <n v="2"/>
    <n v="-7.46"/>
  </r>
  <r>
    <d v="2016-05-09T00:00:00"/>
    <x v="4"/>
    <x v="2"/>
    <x v="487"/>
    <x v="13"/>
    <x v="1"/>
    <x v="1"/>
    <s v="Global Task Chair, Black"/>
    <n v="71.25"/>
    <n v="2"/>
    <n v="-19.34"/>
  </r>
  <r>
    <d v="2016-05-09T00:00:00"/>
    <x v="4"/>
    <x v="2"/>
    <x v="487"/>
    <x v="13"/>
    <x v="1"/>
    <x v="1"/>
    <s v="Global Comet Stacking Arm Chair"/>
    <n v="887.27"/>
    <n v="3"/>
    <n v="-63.38"/>
  </r>
  <r>
    <d v="2016-05-11T00:00:00"/>
    <x v="4"/>
    <x v="2"/>
    <x v="313"/>
    <x v="5"/>
    <x v="2"/>
    <x v="9"/>
    <s v="Cardinal Holdit Data Disk Pockets"/>
    <n v="29.12"/>
    <n v="5"/>
    <n v="9.83"/>
  </r>
  <r>
    <d v="2016-05-11T00:00:00"/>
    <x v="4"/>
    <x v="2"/>
    <x v="488"/>
    <x v="13"/>
    <x v="0"/>
    <x v="2"/>
    <s v="Anker Astro Mini 3000mAh Ultra-Compact Portable Charger"/>
    <n v="23.99"/>
    <n v="2"/>
    <n v="-15.99"/>
  </r>
  <r>
    <d v="2016-05-11T00:00:00"/>
    <x v="4"/>
    <x v="2"/>
    <x v="159"/>
    <x v="4"/>
    <x v="1"/>
    <x v="16"/>
    <s v="O'Sullivan Plantations 2-Door Library in Landvery Oak"/>
    <n v="956.66"/>
    <n v="7"/>
    <n v="-225.1"/>
  </r>
  <r>
    <d v="2016-05-11T00:00:00"/>
    <x v="4"/>
    <x v="2"/>
    <x v="159"/>
    <x v="4"/>
    <x v="2"/>
    <x v="9"/>
    <s v="Premium Transparent Presentation Covers by GBC"/>
    <n v="12.59"/>
    <n v="3"/>
    <n v="-20.14"/>
  </r>
  <r>
    <d v="2016-05-11T00:00:00"/>
    <x v="4"/>
    <x v="2"/>
    <x v="159"/>
    <x v="4"/>
    <x v="0"/>
    <x v="0"/>
    <s v="Logitech Wireless Headset H600 Over-The-Head Design"/>
    <n v="171.96"/>
    <n v="5"/>
    <n v="45.14"/>
  </r>
  <r>
    <d v="2016-05-11T00:00:00"/>
    <x v="4"/>
    <x v="2"/>
    <x v="223"/>
    <x v="5"/>
    <x v="2"/>
    <x v="9"/>
    <s v="GBC Twin Loop Wire Binding Elements"/>
    <n v="53.25"/>
    <n v="2"/>
    <n v="19.97"/>
  </r>
  <r>
    <d v="2016-05-11T00:00:00"/>
    <x v="4"/>
    <x v="2"/>
    <x v="134"/>
    <x v="1"/>
    <x v="0"/>
    <x v="0"/>
    <s v="Cherry 142-key Programmable Keyboard"/>
    <n v="479.72"/>
    <n v="4"/>
    <n v="52.77"/>
  </r>
  <r>
    <d v="2016-05-11T00:00:00"/>
    <x v="4"/>
    <x v="2"/>
    <x v="288"/>
    <x v="5"/>
    <x v="1"/>
    <x v="1"/>
    <s v="Harbour Creations 67200 Series Stacking Chairs"/>
    <n v="113.89"/>
    <n v="2"/>
    <n v="9.9700000000000006"/>
  </r>
  <r>
    <d v="2016-05-11T00:00:00"/>
    <x v="4"/>
    <x v="2"/>
    <x v="259"/>
    <x v="20"/>
    <x v="1"/>
    <x v="5"/>
    <s v="Tenex Chairmat w/ Average Lip, 45&quot; x 53&quot;"/>
    <n v="756.8"/>
    <n v="5"/>
    <n v="75.680000000000007"/>
  </r>
  <r>
    <d v="2016-05-12T00:00:00"/>
    <x v="4"/>
    <x v="2"/>
    <x v="342"/>
    <x v="1"/>
    <x v="2"/>
    <x v="9"/>
    <s v="Fellowes PB200 Plastic Comb Binding Machine"/>
    <n v="407.98"/>
    <n v="3"/>
    <n v="132.59"/>
  </r>
  <r>
    <d v="2016-05-12T00:00:00"/>
    <x v="4"/>
    <x v="2"/>
    <x v="489"/>
    <x v="6"/>
    <x v="1"/>
    <x v="16"/>
    <s v="O'Sullivan 5-Shelf Heavy-Duty Bookcases"/>
    <n v="81.94"/>
    <n v="1"/>
    <n v="20.49"/>
  </r>
  <r>
    <d v="2016-05-12T00:00:00"/>
    <x v="4"/>
    <x v="2"/>
    <x v="490"/>
    <x v="37"/>
    <x v="2"/>
    <x v="13"/>
    <s v="#10 White Business Envelopes,4 1/8 x 9 1/2"/>
    <n v="109.69"/>
    <n v="7"/>
    <n v="51.55"/>
  </r>
  <r>
    <d v="2016-06-03T00:00:00"/>
    <x v="5"/>
    <x v="2"/>
    <x v="491"/>
    <x v="13"/>
    <x v="0"/>
    <x v="2"/>
    <s v="Grandstream GXP1160 VoIP phone"/>
    <n v="68.239999999999995"/>
    <n v="3"/>
    <n v="-12.51"/>
  </r>
  <r>
    <d v="2016-06-03T00:00:00"/>
    <x v="5"/>
    <x v="2"/>
    <x v="325"/>
    <x v="3"/>
    <x v="1"/>
    <x v="5"/>
    <s v="Eldon Cleatmat Plus Chair Mats for High Pile Carpets"/>
    <n v="159.04"/>
    <n v="5"/>
    <n v="-194.82"/>
  </r>
  <r>
    <d v="2016-06-04T00:00:00"/>
    <x v="5"/>
    <x v="2"/>
    <x v="173"/>
    <x v="42"/>
    <x v="0"/>
    <x v="2"/>
    <s v="Nortel Meridian M5316 Digital phone"/>
    <n v="1294.75"/>
    <n v="5"/>
    <n v="336.64"/>
  </r>
  <r>
    <d v="2016-06-05T00:00:00"/>
    <x v="5"/>
    <x v="2"/>
    <x v="311"/>
    <x v="18"/>
    <x v="2"/>
    <x v="4"/>
    <s v="Advantus T-Pin Paper Clips"/>
    <n v="7.22"/>
    <n v="2"/>
    <n v="1.71"/>
  </r>
  <r>
    <d v="2016-06-05T00:00:00"/>
    <x v="5"/>
    <x v="2"/>
    <x v="311"/>
    <x v="18"/>
    <x v="1"/>
    <x v="5"/>
    <s v="DAX Solid Wood Frames"/>
    <n v="54.71"/>
    <n v="7"/>
    <n v="11.63"/>
  </r>
  <r>
    <d v="2016-06-05T00:00:00"/>
    <x v="5"/>
    <x v="2"/>
    <x v="224"/>
    <x v="5"/>
    <x v="1"/>
    <x v="5"/>
    <s v="Executive Impressions 8-1/2&quot; Career Panel/Partition Cubicle Clock"/>
    <n v="41.6"/>
    <n v="4"/>
    <n v="14.14"/>
  </r>
  <r>
    <d v="2016-06-06T00:00:00"/>
    <x v="5"/>
    <x v="2"/>
    <x v="430"/>
    <x v="9"/>
    <x v="0"/>
    <x v="0"/>
    <s v="Plantronics S12 Corded Telephone Headset System"/>
    <n v="323.37"/>
    <n v="3"/>
    <n v="129.35"/>
  </r>
  <r>
    <d v="2016-06-06T00:00:00"/>
    <x v="5"/>
    <x v="2"/>
    <x v="430"/>
    <x v="9"/>
    <x v="2"/>
    <x v="3"/>
    <s v="Xerox 191"/>
    <n v="59.94"/>
    <n v="3"/>
    <n v="28.17"/>
  </r>
  <r>
    <d v="2016-06-06T00:00:00"/>
    <x v="5"/>
    <x v="2"/>
    <x v="430"/>
    <x v="9"/>
    <x v="2"/>
    <x v="9"/>
    <s v="Trimflex Flexible Post Binders"/>
    <n v="64.14"/>
    <n v="3"/>
    <n v="30.79"/>
  </r>
  <r>
    <d v="2016-06-06T00:00:00"/>
    <x v="5"/>
    <x v="2"/>
    <x v="430"/>
    <x v="9"/>
    <x v="2"/>
    <x v="9"/>
    <s v="Avery Binder Labels"/>
    <n v="11.67"/>
    <n v="3"/>
    <n v="5.6"/>
  </r>
  <r>
    <d v="2016-06-06T00:00:00"/>
    <x v="5"/>
    <x v="2"/>
    <x v="430"/>
    <x v="9"/>
    <x v="2"/>
    <x v="3"/>
    <s v="Xerox 230"/>
    <n v="12.96"/>
    <n v="2"/>
    <n v="6.22"/>
  </r>
  <r>
    <d v="2016-06-06T00:00:00"/>
    <x v="5"/>
    <x v="2"/>
    <x v="77"/>
    <x v="5"/>
    <x v="2"/>
    <x v="3"/>
    <s v="Xerox Blank Computer Paper"/>
    <n v="99.9"/>
    <n v="5"/>
    <n v="46.95"/>
  </r>
  <r>
    <d v="2016-06-06T00:00:00"/>
    <x v="5"/>
    <x v="2"/>
    <x v="148"/>
    <x v="5"/>
    <x v="0"/>
    <x v="2"/>
    <s v="Samsung Galaxy Mega 6.3"/>
    <n v="3023.93"/>
    <n v="9"/>
    <n v="226.79"/>
  </r>
  <r>
    <d v="2016-06-06T00:00:00"/>
    <x v="5"/>
    <x v="2"/>
    <x v="492"/>
    <x v="18"/>
    <x v="1"/>
    <x v="5"/>
    <s v="Electrix Halogen Magnifier Lamp"/>
    <n v="466.32"/>
    <n v="3"/>
    <n v="34.97"/>
  </r>
  <r>
    <d v="2016-06-06T00:00:00"/>
    <x v="5"/>
    <x v="2"/>
    <x v="492"/>
    <x v="18"/>
    <x v="1"/>
    <x v="5"/>
    <s v="Deflect-o EconoMat Nonstudded, No Bevel Mat"/>
    <n v="82.64"/>
    <n v="2"/>
    <n v="0"/>
  </r>
  <r>
    <d v="2016-06-09T00:00:00"/>
    <x v="5"/>
    <x v="2"/>
    <x v="477"/>
    <x v="7"/>
    <x v="2"/>
    <x v="10"/>
    <s v="Fellowes Basic Home/Office Series Surge Protectors"/>
    <n v="77.88"/>
    <n v="6"/>
    <n v="22.59"/>
  </r>
  <r>
    <d v="2016-06-09T00:00:00"/>
    <x v="5"/>
    <x v="2"/>
    <x v="493"/>
    <x v="4"/>
    <x v="0"/>
    <x v="2"/>
    <s v="AT&amp;T CL83451 4-Handset Telephone"/>
    <n v="329.58"/>
    <n v="2"/>
    <n v="37.08"/>
  </r>
  <r>
    <d v="2016-06-10T00:00:00"/>
    <x v="5"/>
    <x v="2"/>
    <x v="449"/>
    <x v="15"/>
    <x v="0"/>
    <x v="14"/>
    <s v="Zebra GK420t Direct Thermal/Thermal Transfer Printer"/>
    <n v="703.71"/>
    <n v="6"/>
    <n v="-938.28"/>
  </r>
  <r>
    <d v="2016-06-10T00:00:00"/>
    <x v="5"/>
    <x v="2"/>
    <x v="449"/>
    <x v="15"/>
    <x v="2"/>
    <x v="9"/>
    <s v="Avery Framed View Binder, EZD Ring (Locking), Navy, 1 1/2&quot;"/>
    <n v="11.98"/>
    <n v="4"/>
    <n v="-9.18"/>
  </r>
  <r>
    <d v="2016-06-11T00:00:00"/>
    <x v="5"/>
    <x v="2"/>
    <x v="494"/>
    <x v="11"/>
    <x v="2"/>
    <x v="3"/>
    <s v="Embossed Ink Jet Note Cards"/>
    <n v="36.11"/>
    <n v="2"/>
    <n v="12.64"/>
  </r>
  <r>
    <d v="2016-06-12T00:00:00"/>
    <x v="5"/>
    <x v="2"/>
    <x v="495"/>
    <x v="1"/>
    <x v="0"/>
    <x v="2"/>
    <s v="Plantronics Calisto P620-M USB Wireless Speakerphone System"/>
    <n v="156.79"/>
    <n v="1"/>
    <n v="13.72"/>
  </r>
  <r>
    <d v="2016-06-12T00:00:00"/>
    <x v="5"/>
    <x v="2"/>
    <x v="495"/>
    <x v="1"/>
    <x v="0"/>
    <x v="2"/>
    <s v="Google Nexus 5"/>
    <n v="431.98"/>
    <n v="3"/>
    <n v="27"/>
  </r>
  <r>
    <d v="2016-06-12T00:00:00"/>
    <x v="5"/>
    <x v="2"/>
    <x v="495"/>
    <x v="1"/>
    <x v="2"/>
    <x v="9"/>
    <s v="Ibico Plastic and Wire Spiral Binding Combs"/>
    <n v="47.21"/>
    <n v="7"/>
    <n v="15.34"/>
  </r>
  <r>
    <d v="2016-06-12T00:00:00"/>
    <x v="5"/>
    <x v="2"/>
    <x v="495"/>
    <x v="1"/>
    <x v="2"/>
    <x v="3"/>
    <s v="Xerox 1880"/>
    <n v="248.08"/>
    <n v="7"/>
    <n v="116.6"/>
  </r>
  <r>
    <d v="2016-06-12T00:00:00"/>
    <x v="5"/>
    <x v="2"/>
    <x v="70"/>
    <x v="5"/>
    <x v="0"/>
    <x v="2"/>
    <s v="Avaya 5410 Digital phone"/>
    <n v="271.95999999999998"/>
    <n v="5"/>
    <n v="27.2"/>
  </r>
  <r>
    <d v="2016-06-12T00:00:00"/>
    <x v="5"/>
    <x v="2"/>
    <x v="70"/>
    <x v="5"/>
    <x v="2"/>
    <x v="3"/>
    <s v="Xerox 1977"/>
    <n v="13.36"/>
    <n v="2"/>
    <n v="6.41"/>
  </r>
  <r>
    <d v="2016-07-01T00:00:00"/>
    <x v="6"/>
    <x v="2"/>
    <x v="470"/>
    <x v="4"/>
    <x v="2"/>
    <x v="3"/>
    <s v="Xerox 212"/>
    <n v="25.92"/>
    <n v="5"/>
    <n v="9.07"/>
  </r>
  <r>
    <d v="2016-07-02T00:00:00"/>
    <x v="6"/>
    <x v="2"/>
    <x v="496"/>
    <x v="20"/>
    <x v="0"/>
    <x v="0"/>
    <s v="Micro Innovations USB RF Wireless Keyboard with Mouse"/>
    <n v="100"/>
    <n v="4"/>
    <n v="21"/>
  </r>
  <r>
    <d v="2016-07-02T00:00:00"/>
    <x v="6"/>
    <x v="2"/>
    <x v="497"/>
    <x v="5"/>
    <x v="0"/>
    <x v="2"/>
    <s v="Motorola L703CM"/>
    <n v="623.96"/>
    <n v="5"/>
    <n v="39"/>
  </r>
  <r>
    <d v="2016-07-04T00:00:00"/>
    <x v="6"/>
    <x v="2"/>
    <x v="55"/>
    <x v="8"/>
    <x v="2"/>
    <x v="3"/>
    <s v="Xerox 1939"/>
    <n v="37.94"/>
    <n v="2"/>
    <n v="18.21"/>
  </r>
  <r>
    <d v="2016-07-04T00:00:00"/>
    <x v="6"/>
    <x v="2"/>
    <x v="498"/>
    <x v="13"/>
    <x v="2"/>
    <x v="10"/>
    <s v="Belkin 7-Outlet SurgeMaster Home Series"/>
    <n v="33.53"/>
    <n v="3"/>
    <n v="2.5099999999999998"/>
  </r>
  <r>
    <d v="2016-07-04T00:00:00"/>
    <x v="6"/>
    <x v="2"/>
    <x v="498"/>
    <x v="13"/>
    <x v="2"/>
    <x v="6"/>
    <s v="Eldon Jumbo ProFile Portable File Boxes Graphite/Black"/>
    <n v="36.74"/>
    <n v="3"/>
    <n v="3.67"/>
  </r>
  <r>
    <d v="2016-07-05T00:00:00"/>
    <x v="6"/>
    <x v="2"/>
    <x v="499"/>
    <x v="2"/>
    <x v="0"/>
    <x v="14"/>
    <s v="Bady BDG101FRU Card Printer"/>
    <n v="3999.95"/>
    <n v="5"/>
    <n v="1159.99"/>
  </r>
  <r>
    <d v="2016-07-07T00:00:00"/>
    <x v="6"/>
    <x v="2"/>
    <x v="454"/>
    <x v="3"/>
    <x v="1"/>
    <x v="5"/>
    <s v="Flat Face Poster Frame"/>
    <n v="60.29"/>
    <n v="8"/>
    <n v="-27.13"/>
  </r>
  <r>
    <d v="2016-07-07T00:00:00"/>
    <x v="6"/>
    <x v="2"/>
    <x v="500"/>
    <x v="13"/>
    <x v="2"/>
    <x v="9"/>
    <s v="Acco Pressboard Covers with Storage Hooks, 14 7/8&quot; x 11&quot;, Executive Red"/>
    <n v="5.72"/>
    <n v="5"/>
    <n v="-4.76"/>
  </r>
  <r>
    <d v="2016-07-08T00:00:00"/>
    <x v="6"/>
    <x v="2"/>
    <x v="501"/>
    <x v="1"/>
    <x v="0"/>
    <x v="0"/>
    <s v="LogitechÂ Illuminated - Keyboard"/>
    <n v="179.97"/>
    <n v="3"/>
    <n v="86.39"/>
  </r>
  <r>
    <d v="2016-07-10T00:00:00"/>
    <x v="6"/>
    <x v="2"/>
    <x v="502"/>
    <x v="13"/>
    <x v="2"/>
    <x v="8"/>
    <s v="Avery 511"/>
    <n v="4.93"/>
    <n v="2"/>
    <n v="1.72"/>
  </r>
  <r>
    <d v="2016-07-11T00:00:00"/>
    <x v="6"/>
    <x v="2"/>
    <x v="407"/>
    <x v="1"/>
    <x v="2"/>
    <x v="9"/>
    <s v="Wilson Jones International Size A4 Ring Binders"/>
    <n v="27.68"/>
    <n v="2"/>
    <n v="9.69"/>
  </r>
  <r>
    <d v="2016-07-11T00:00:00"/>
    <x v="6"/>
    <x v="2"/>
    <x v="303"/>
    <x v="5"/>
    <x v="1"/>
    <x v="5"/>
    <s v="C-Line Magnetic Cubicle Keepers, Clear Polypropylene"/>
    <n v="14.82"/>
    <n v="3"/>
    <n v="6.22"/>
  </r>
  <r>
    <d v="2016-07-11T00:00:00"/>
    <x v="6"/>
    <x v="2"/>
    <x v="282"/>
    <x v="2"/>
    <x v="2"/>
    <x v="3"/>
    <s v="Xerox 23"/>
    <n v="12.96"/>
    <n v="2"/>
    <n v="6.22"/>
  </r>
  <r>
    <d v="2016-07-11T00:00:00"/>
    <x v="6"/>
    <x v="2"/>
    <x v="125"/>
    <x v="4"/>
    <x v="1"/>
    <x v="5"/>
    <s v="Executive Impressions 14&quot; Contract Wall Clock with Quartz Movement"/>
    <n v="44.46"/>
    <n v="5"/>
    <n v="-17.78"/>
  </r>
  <r>
    <d v="2016-07-11T00:00:00"/>
    <x v="6"/>
    <x v="2"/>
    <x v="125"/>
    <x v="4"/>
    <x v="2"/>
    <x v="6"/>
    <s v="Mini 13-1/2 Capacity Data Binder Rack, Pearl"/>
    <n v="314.08999999999997"/>
    <n v="3"/>
    <n v="19.63"/>
  </r>
  <r>
    <d v="2016-07-11T00:00:00"/>
    <x v="6"/>
    <x v="2"/>
    <x v="503"/>
    <x v="5"/>
    <x v="2"/>
    <x v="9"/>
    <s v="GBC VeloBinder Manual Binding System"/>
    <n v="57.58"/>
    <n v="2"/>
    <n v="20.149999999999999"/>
  </r>
  <r>
    <d v="2016-08-02T00:00:00"/>
    <x v="7"/>
    <x v="2"/>
    <x v="504"/>
    <x v="12"/>
    <x v="0"/>
    <x v="2"/>
    <s v="Samsung Galaxy S4 Mini"/>
    <n v="1127.98"/>
    <n v="3"/>
    <n v="126.9"/>
  </r>
  <r>
    <d v="2016-08-03T00:00:00"/>
    <x v="7"/>
    <x v="2"/>
    <x v="505"/>
    <x v="2"/>
    <x v="2"/>
    <x v="3"/>
    <s v="Xerox 1993"/>
    <n v="12.96"/>
    <n v="2"/>
    <n v="6.35"/>
  </r>
  <r>
    <d v="2016-08-03T00:00:00"/>
    <x v="7"/>
    <x v="2"/>
    <x v="506"/>
    <x v="4"/>
    <x v="0"/>
    <x v="0"/>
    <s v="Verbatim 25 GB 6x Blu-ray Single Layer Recordable Disc, 3/Pack"/>
    <n v="27.96"/>
    <n v="5"/>
    <n v="8.39"/>
  </r>
  <r>
    <d v="2016-08-03T00:00:00"/>
    <x v="7"/>
    <x v="2"/>
    <x v="506"/>
    <x v="4"/>
    <x v="2"/>
    <x v="13"/>
    <s v="Tyvek Interoffice Envelopes, 9 1/2&quot; x 12 1/2&quot;, 100/Box"/>
    <n v="146.35"/>
    <n v="3"/>
    <n v="49.39"/>
  </r>
  <r>
    <d v="2016-08-03T00:00:00"/>
    <x v="7"/>
    <x v="2"/>
    <x v="92"/>
    <x v="10"/>
    <x v="2"/>
    <x v="10"/>
    <s v="Honeywell Enviracaire Portable Air Cleaner for up to 8 x 10 Room"/>
    <n v="207.14"/>
    <n v="3"/>
    <n v="48.33"/>
  </r>
  <r>
    <d v="2016-08-04T00:00:00"/>
    <x v="7"/>
    <x v="2"/>
    <x v="507"/>
    <x v="2"/>
    <x v="1"/>
    <x v="16"/>
    <s v="Sauder Barrister Bookcases"/>
    <n v="388.7"/>
    <n v="6"/>
    <n v="-4.8600000000000003"/>
  </r>
  <r>
    <d v="2016-08-04T00:00:00"/>
    <x v="7"/>
    <x v="2"/>
    <x v="226"/>
    <x v="5"/>
    <x v="2"/>
    <x v="3"/>
    <s v="Xerox 1923"/>
    <n v="20.04"/>
    <n v="3"/>
    <n v="9.6199999999999992"/>
  </r>
  <r>
    <d v="2016-08-04T00:00:00"/>
    <x v="7"/>
    <x v="2"/>
    <x v="508"/>
    <x v="4"/>
    <x v="0"/>
    <x v="0"/>
    <s v="Kensington Orbit Wireless Mobile Trackball for PC and Mac"/>
    <n v="431.93"/>
    <n v="9"/>
    <n v="64.790000000000006"/>
  </r>
  <r>
    <d v="2016-08-04T00:00:00"/>
    <x v="7"/>
    <x v="2"/>
    <x v="418"/>
    <x v="18"/>
    <x v="2"/>
    <x v="13"/>
    <s v="#10 Self-Seal White Envelopes"/>
    <n v="8.8699999999999992"/>
    <n v="1"/>
    <n v="3.22"/>
  </r>
  <r>
    <d v="2016-08-04T00:00:00"/>
    <x v="7"/>
    <x v="2"/>
    <x v="213"/>
    <x v="19"/>
    <x v="2"/>
    <x v="13"/>
    <s v="Ampad #10 Peel &amp; Seel Holiday Envelopes"/>
    <n v="17.920000000000002"/>
    <n v="4"/>
    <n v="8.6"/>
  </r>
  <r>
    <d v="2016-08-04T00:00:00"/>
    <x v="7"/>
    <x v="2"/>
    <x v="252"/>
    <x v="19"/>
    <x v="1"/>
    <x v="16"/>
    <s v="Hon Metal Bookcases, Black"/>
    <n v="354.9"/>
    <n v="5"/>
    <n v="88.73"/>
  </r>
  <r>
    <d v="2016-08-04T00:00:00"/>
    <x v="7"/>
    <x v="2"/>
    <x v="44"/>
    <x v="9"/>
    <x v="1"/>
    <x v="5"/>
    <s v="Eldon Radial Chair Mat for Low to Medium Pile Carpets"/>
    <n v="159.91999999999999"/>
    <n v="4"/>
    <n v="31.98"/>
  </r>
  <r>
    <d v="2016-08-05T00:00:00"/>
    <x v="7"/>
    <x v="2"/>
    <x v="362"/>
    <x v="37"/>
    <x v="1"/>
    <x v="5"/>
    <s v="Tenex 46&quot; x 60&quot; Computer Anti-Static Chairmat, Rectangular Shaped"/>
    <n v="211.96"/>
    <n v="2"/>
    <n v="42.39"/>
  </r>
  <r>
    <d v="2016-08-07T00:00:00"/>
    <x v="7"/>
    <x v="2"/>
    <x v="509"/>
    <x v="4"/>
    <x v="0"/>
    <x v="2"/>
    <s v="Cisco SPA 502G IP Phone"/>
    <n v="863.64"/>
    <n v="9"/>
    <n v="107.96"/>
  </r>
  <r>
    <d v="2016-08-07T00:00:00"/>
    <x v="7"/>
    <x v="2"/>
    <x v="111"/>
    <x v="1"/>
    <x v="0"/>
    <x v="2"/>
    <s v="Logitech Mobile Speakerphone P710e -Â speaker phone"/>
    <n v="107.98"/>
    <n v="1"/>
    <n v="9.4499999999999993"/>
  </r>
  <r>
    <d v="2016-08-07T00:00:00"/>
    <x v="7"/>
    <x v="2"/>
    <x v="510"/>
    <x v="11"/>
    <x v="0"/>
    <x v="2"/>
    <s v="Jabra SPEAK 410 Multidevice Speakerphone"/>
    <n v="823.96"/>
    <n v="5"/>
    <n v="51.5"/>
  </r>
  <r>
    <d v="2016-08-07T00:00:00"/>
    <x v="7"/>
    <x v="2"/>
    <x v="510"/>
    <x v="11"/>
    <x v="2"/>
    <x v="3"/>
    <s v="Xerox 1921"/>
    <n v="15.98"/>
    <n v="2"/>
    <n v="5"/>
  </r>
  <r>
    <d v="2016-08-08T00:00:00"/>
    <x v="7"/>
    <x v="2"/>
    <x v="260"/>
    <x v="4"/>
    <x v="2"/>
    <x v="3"/>
    <s v="Ink Jet Note and Greeting Cards, 8-1/2&quot; x 5-1/2&quot; Card Size"/>
    <n v="53.95"/>
    <n v="3"/>
    <n v="17.53"/>
  </r>
  <r>
    <d v="2016-08-08T00:00:00"/>
    <x v="7"/>
    <x v="2"/>
    <x v="511"/>
    <x v="5"/>
    <x v="1"/>
    <x v="7"/>
    <s v="Chromcraft 48&quot; x 96&quot; Racetrack Double Pedestal Table"/>
    <n v="513.02"/>
    <n v="2"/>
    <n v="12.83"/>
  </r>
  <r>
    <d v="2016-08-08T00:00:00"/>
    <x v="7"/>
    <x v="2"/>
    <x v="383"/>
    <x v="28"/>
    <x v="2"/>
    <x v="3"/>
    <s v="Xerox 1954"/>
    <n v="10.56"/>
    <n v="2"/>
    <n v="4.75"/>
  </r>
  <r>
    <d v="2016-08-09T00:00:00"/>
    <x v="7"/>
    <x v="2"/>
    <x v="377"/>
    <x v="4"/>
    <x v="0"/>
    <x v="0"/>
    <s v="Sony 64GB Class 10 Micro SDHC R40 Memory Card"/>
    <n v="57.58"/>
    <n v="2"/>
    <n v="0.72"/>
  </r>
  <r>
    <d v="2016-08-09T00:00:00"/>
    <x v="7"/>
    <x v="2"/>
    <x v="173"/>
    <x v="5"/>
    <x v="2"/>
    <x v="9"/>
    <s v="Square Ring Data Binders, Rigid 75 Pt. Covers, 11&quot; x 14-7/8&quot;"/>
    <n v="33.020000000000003"/>
    <n v="2"/>
    <n v="11.56"/>
  </r>
  <r>
    <d v="2016-08-09T00:00:00"/>
    <x v="7"/>
    <x v="2"/>
    <x v="70"/>
    <x v="6"/>
    <x v="2"/>
    <x v="8"/>
    <s v="Avery 52"/>
    <n v="14.76"/>
    <n v="4"/>
    <n v="6.94"/>
  </r>
  <r>
    <d v="2016-08-09T00:00:00"/>
    <x v="7"/>
    <x v="2"/>
    <x v="512"/>
    <x v="2"/>
    <x v="2"/>
    <x v="10"/>
    <s v="Kensington 7 Outlet MasterPiece Power Center with Fax/Phone Line Protection"/>
    <n v="207.48"/>
    <n v="1"/>
    <n v="62.24"/>
  </r>
  <r>
    <d v="2016-08-09T00:00:00"/>
    <x v="7"/>
    <x v="2"/>
    <x v="101"/>
    <x v="4"/>
    <x v="0"/>
    <x v="2"/>
    <s v="Belkin SportFit Armband For iPhone 5s/5c, Fuchsia"/>
    <n v="59.96"/>
    <n v="5"/>
    <n v="21.74"/>
  </r>
  <r>
    <d v="2016-08-09T00:00:00"/>
    <x v="7"/>
    <x v="2"/>
    <x v="513"/>
    <x v="12"/>
    <x v="2"/>
    <x v="3"/>
    <s v="Petty Cash Envelope"/>
    <n v="64.7"/>
    <n v="3"/>
    <n v="23.46"/>
  </r>
  <r>
    <d v="2016-08-09T00:00:00"/>
    <x v="7"/>
    <x v="2"/>
    <x v="172"/>
    <x v="5"/>
    <x v="1"/>
    <x v="7"/>
    <s v="Lesro Round Back Collection Coffee Table, End Table"/>
    <n v="146.04"/>
    <n v="1"/>
    <n v="-12.78"/>
  </r>
  <r>
    <d v="2016-08-09T00:00:00"/>
    <x v="7"/>
    <x v="2"/>
    <x v="31"/>
    <x v="1"/>
    <x v="2"/>
    <x v="3"/>
    <s v="Ampad Gold Fibre Wirebound Steno Books, 6&quot; x 9&quot;, Gregg Ruled"/>
    <n v="30.87"/>
    <n v="7"/>
    <n v="14.2"/>
  </r>
  <r>
    <d v="2016-08-09T00:00:00"/>
    <x v="7"/>
    <x v="2"/>
    <x v="492"/>
    <x v="5"/>
    <x v="2"/>
    <x v="11"/>
    <s v="Eberhard Faber 3 1/2&quot; Golf Pencils"/>
    <n v="14.88"/>
    <n v="2"/>
    <n v="3.72"/>
  </r>
  <r>
    <d v="2016-08-11T00:00:00"/>
    <x v="7"/>
    <x v="2"/>
    <x v="514"/>
    <x v="17"/>
    <x v="1"/>
    <x v="16"/>
    <s v="Bush Somerset Collection Bookcase"/>
    <n v="261.95999999999998"/>
    <n v="2"/>
    <n v="41.91"/>
  </r>
  <r>
    <d v="2016-08-12T00:00:00"/>
    <x v="7"/>
    <x v="2"/>
    <x v="399"/>
    <x v="4"/>
    <x v="1"/>
    <x v="5"/>
    <s v="Electrix Architect's Clamp-On Swing Arm Lamp, Black"/>
    <n v="190.92"/>
    <n v="5"/>
    <n v="-147.96"/>
  </r>
  <r>
    <d v="2016-08-12T00:00:00"/>
    <x v="7"/>
    <x v="2"/>
    <x v="11"/>
    <x v="7"/>
    <x v="0"/>
    <x v="2"/>
    <s v="Motorola HK250 Universal Bluetooth Headset"/>
    <n v="114.95"/>
    <n v="5"/>
    <n v="2.2999999999999998"/>
  </r>
  <r>
    <d v="2016-08-12T00:00:00"/>
    <x v="7"/>
    <x v="2"/>
    <x v="201"/>
    <x v="5"/>
    <x v="2"/>
    <x v="11"/>
    <s v="Newell 341"/>
    <n v="8.56"/>
    <n v="2"/>
    <n v="2.48"/>
  </r>
  <r>
    <d v="2016-08-12T00:00:00"/>
    <x v="7"/>
    <x v="2"/>
    <x v="201"/>
    <x v="5"/>
    <x v="1"/>
    <x v="7"/>
    <s v="Hon 94000 Series Round Tables"/>
    <n v="1421.66"/>
    <n v="6"/>
    <n v="-195.48"/>
  </r>
  <r>
    <d v="2016-08-12T00:00:00"/>
    <x v="7"/>
    <x v="2"/>
    <x v="515"/>
    <x v="5"/>
    <x v="2"/>
    <x v="6"/>
    <s v="SimpliFile Personal File, Black Granite, 15w x 6-15/16d x 11-1/4h"/>
    <n v="34.049999999999997"/>
    <n v="3"/>
    <n v="9.5299999999999994"/>
  </r>
  <r>
    <d v="2016-08-12T00:00:00"/>
    <x v="7"/>
    <x v="2"/>
    <x v="19"/>
    <x v="12"/>
    <x v="0"/>
    <x v="0"/>
    <s v="ImationÂ 30456 USBÂ Flash DriveÂ 8GB"/>
    <n v="16.559999999999999"/>
    <n v="3"/>
    <n v="-2.48"/>
  </r>
  <r>
    <d v="2016-09-01T00:00:00"/>
    <x v="8"/>
    <x v="2"/>
    <x v="254"/>
    <x v="5"/>
    <x v="0"/>
    <x v="0"/>
    <s v="Logitech G500s Laser Gaming Mouse with Adjustable Weight Tuning"/>
    <n v="349.95"/>
    <n v="5"/>
    <n v="118.98"/>
  </r>
  <r>
    <d v="2016-09-03T00:00:00"/>
    <x v="8"/>
    <x v="2"/>
    <x v="516"/>
    <x v="6"/>
    <x v="2"/>
    <x v="3"/>
    <s v="Xerox 193"/>
    <n v="17.940000000000001"/>
    <n v="3"/>
    <n v="8.7899999999999991"/>
  </r>
  <r>
    <d v="2016-09-04T00:00:00"/>
    <x v="8"/>
    <x v="2"/>
    <x v="517"/>
    <x v="10"/>
    <x v="2"/>
    <x v="9"/>
    <s v="Storex Flexible Poly Binders with Double Pockets"/>
    <n v="5.28"/>
    <n v="2"/>
    <n v="2.4300000000000002"/>
  </r>
  <r>
    <d v="2016-09-05T00:00:00"/>
    <x v="8"/>
    <x v="2"/>
    <x v="131"/>
    <x v="1"/>
    <x v="0"/>
    <x v="0"/>
    <s v="Sony Micro Vault Click 8 GB USB 2.0 Flash Drive"/>
    <n v="93.98"/>
    <n v="2"/>
    <n v="13.16"/>
  </r>
  <r>
    <d v="2016-09-05T00:00:00"/>
    <x v="8"/>
    <x v="2"/>
    <x v="427"/>
    <x v="2"/>
    <x v="2"/>
    <x v="11"/>
    <s v="Sanford Pocket Accent Highlighters"/>
    <n v="8"/>
    <n v="5"/>
    <n v="3.44"/>
  </r>
  <r>
    <d v="2016-09-05T00:00:00"/>
    <x v="8"/>
    <x v="2"/>
    <x v="132"/>
    <x v="5"/>
    <x v="2"/>
    <x v="3"/>
    <s v="TOPS Money Receipt Book, Consecutively Numbered in Red,"/>
    <n v="32.04"/>
    <n v="4"/>
    <n v="14.42"/>
  </r>
  <r>
    <d v="2016-09-05T00:00:00"/>
    <x v="8"/>
    <x v="2"/>
    <x v="518"/>
    <x v="4"/>
    <x v="2"/>
    <x v="10"/>
    <s v="Euro Pro Shark Stick Mini Vacuum"/>
    <n v="48.78"/>
    <n v="4"/>
    <n v="-131.72"/>
  </r>
  <r>
    <d v="2016-09-05T00:00:00"/>
    <x v="8"/>
    <x v="2"/>
    <x v="518"/>
    <x v="4"/>
    <x v="2"/>
    <x v="3"/>
    <s v="Xerox 1911"/>
    <n v="76.64"/>
    <n v="2"/>
    <n v="26.82"/>
  </r>
  <r>
    <d v="2016-09-06T00:00:00"/>
    <x v="8"/>
    <x v="2"/>
    <x v="519"/>
    <x v="11"/>
    <x v="0"/>
    <x v="14"/>
    <s v="Cisco CP-7937G Unified IP Conference Station Phone"/>
    <n v="695.7"/>
    <n v="2"/>
    <n v="-27.83"/>
  </r>
  <r>
    <d v="2016-09-06T00:00:00"/>
    <x v="8"/>
    <x v="2"/>
    <x v="230"/>
    <x v="7"/>
    <x v="1"/>
    <x v="7"/>
    <s v="Bush Cubix Conference Tables, Fully Assembled"/>
    <n v="692.94"/>
    <n v="3"/>
    <n v="173.24"/>
  </r>
  <r>
    <d v="2016-09-08T00:00:00"/>
    <x v="8"/>
    <x v="2"/>
    <x v="262"/>
    <x v="12"/>
    <x v="0"/>
    <x v="2"/>
    <s v="Apple EarPods with Remote and Mic"/>
    <n v="44.78"/>
    <n v="2"/>
    <n v="4.4800000000000004"/>
  </r>
  <r>
    <d v="2016-09-08T00:00:00"/>
    <x v="8"/>
    <x v="2"/>
    <x v="81"/>
    <x v="26"/>
    <x v="2"/>
    <x v="9"/>
    <s v="Avery Durable Slant Ring Binders"/>
    <n v="11.88"/>
    <n v="5"/>
    <n v="-7.92"/>
  </r>
  <r>
    <d v="2016-09-09T00:00:00"/>
    <x v="8"/>
    <x v="2"/>
    <x v="443"/>
    <x v="4"/>
    <x v="1"/>
    <x v="5"/>
    <s v="Eldon Expressions Punched Metal &amp; Wood Desk Accessories, Black &amp; Cherry"/>
    <n v="15.01"/>
    <n v="4"/>
    <n v="-12.01"/>
  </r>
  <r>
    <d v="2016-09-10T00:00:00"/>
    <x v="8"/>
    <x v="2"/>
    <x v="520"/>
    <x v="18"/>
    <x v="0"/>
    <x v="2"/>
    <s v="Mediabridge Sport Armband iPhone 5s"/>
    <n v="23.98"/>
    <n v="4"/>
    <n v="-15.58"/>
  </r>
  <r>
    <d v="2016-09-10T00:00:00"/>
    <x v="8"/>
    <x v="2"/>
    <x v="521"/>
    <x v="13"/>
    <x v="1"/>
    <x v="5"/>
    <s v="Luxo Professional Magnifying Clamp-On Fluorescent Lamps"/>
    <n v="332.83"/>
    <n v="4"/>
    <n v="-24.96"/>
  </r>
  <r>
    <d v="2016-09-12T00:00:00"/>
    <x v="8"/>
    <x v="2"/>
    <x v="101"/>
    <x v="27"/>
    <x v="2"/>
    <x v="11"/>
    <s v="Newell 318"/>
    <n v="19.46"/>
    <n v="7"/>
    <n v="5.0599999999999996"/>
  </r>
  <r>
    <d v="2016-09-12T00:00:00"/>
    <x v="8"/>
    <x v="2"/>
    <x v="412"/>
    <x v="6"/>
    <x v="2"/>
    <x v="8"/>
    <s v="Avery 517"/>
    <n v="3.69"/>
    <n v="1"/>
    <n v="1.73"/>
  </r>
  <r>
    <d v="2016-09-12T00:00:00"/>
    <x v="8"/>
    <x v="2"/>
    <x v="123"/>
    <x v="26"/>
    <x v="0"/>
    <x v="2"/>
    <s v="ARKON Windshield Dashboard Air Vent Car Mount Holder"/>
    <n v="40.68"/>
    <n v="3"/>
    <n v="-9.15"/>
  </r>
  <r>
    <d v="2016-10-01T00:00:00"/>
    <x v="9"/>
    <x v="2"/>
    <x v="101"/>
    <x v="1"/>
    <x v="0"/>
    <x v="0"/>
    <s v="Logitech Media Keyboard K200"/>
    <n v="69.98"/>
    <n v="2"/>
    <n v="13.3"/>
  </r>
  <r>
    <d v="2016-10-03T00:00:00"/>
    <x v="9"/>
    <x v="2"/>
    <x v="522"/>
    <x v="5"/>
    <x v="2"/>
    <x v="3"/>
    <s v="Rediform Voice Mail Log Books"/>
    <n v="14.9"/>
    <n v="5"/>
    <n v="7.15"/>
  </r>
  <r>
    <d v="2016-10-03T00:00:00"/>
    <x v="9"/>
    <x v="2"/>
    <x v="523"/>
    <x v="5"/>
    <x v="0"/>
    <x v="14"/>
    <s v="Okidata MB760 Printer"/>
    <n v="3357.6"/>
    <n v="3"/>
    <n v="377.73"/>
  </r>
  <r>
    <d v="2016-10-04T00:00:00"/>
    <x v="9"/>
    <x v="2"/>
    <x v="247"/>
    <x v="5"/>
    <x v="2"/>
    <x v="3"/>
    <s v="Xerox 227"/>
    <n v="12.96"/>
    <n v="2"/>
    <n v="6.22"/>
  </r>
  <r>
    <d v="2016-10-04T00:00:00"/>
    <x v="9"/>
    <x v="2"/>
    <x v="247"/>
    <x v="5"/>
    <x v="2"/>
    <x v="9"/>
    <s v="Wilson Jones Clip &amp; Carry Folder Binder Tool for Ring Binders, Clear"/>
    <n v="23.2"/>
    <n v="5"/>
    <n v="8.1199999999999992"/>
  </r>
  <r>
    <d v="2016-10-04T00:00:00"/>
    <x v="9"/>
    <x v="2"/>
    <x v="398"/>
    <x v="5"/>
    <x v="2"/>
    <x v="9"/>
    <s v="GBC Prepunched Paper, 19-Hole, for Binding Systems, 24-lb"/>
    <n v="48.03"/>
    <n v="4"/>
    <n v="15.61"/>
  </r>
  <r>
    <d v="2016-10-05T00:00:00"/>
    <x v="9"/>
    <x v="2"/>
    <x v="224"/>
    <x v="3"/>
    <x v="2"/>
    <x v="13"/>
    <s v="Grip Seal Envelopes"/>
    <n v="7.07"/>
    <n v="2"/>
    <n v="2.39"/>
  </r>
  <r>
    <d v="2016-10-06T00:00:00"/>
    <x v="9"/>
    <x v="2"/>
    <x v="524"/>
    <x v="5"/>
    <x v="1"/>
    <x v="7"/>
    <s v="Bretford Â“Just In TimeÂ” Height-Adjustable Multi-Task Work Tables"/>
    <n v="1335.68"/>
    <n v="4"/>
    <n v="-217.05"/>
  </r>
  <r>
    <d v="2016-10-06T00:00:00"/>
    <x v="9"/>
    <x v="2"/>
    <x v="525"/>
    <x v="13"/>
    <x v="2"/>
    <x v="8"/>
    <s v="Avery 487"/>
    <n v="23.62"/>
    <n v="8"/>
    <n v="7.97"/>
  </r>
  <r>
    <d v="2016-10-07T00:00:00"/>
    <x v="9"/>
    <x v="2"/>
    <x v="29"/>
    <x v="13"/>
    <x v="0"/>
    <x v="14"/>
    <s v="Brother MFC-9340CDW LED All-In-One Printer, Copier Scanner"/>
    <n v="341.99"/>
    <n v="3"/>
    <n v="-319.19"/>
  </r>
  <r>
    <d v="2016-10-09T00:00:00"/>
    <x v="9"/>
    <x v="2"/>
    <x v="379"/>
    <x v="2"/>
    <x v="2"/>
    <x v="6"/>
    <s v="Acco Perma 2700 Stacking Storage Drawers"/>
    <n v="59.48"/>
    <n v="2"/>
    <n v="8.92"/>
  </r>
  <r>
    <d v="2016-10-09T00:00:00"/>
    <x v="9"/>
    <x v="2"/>
    <x v="379"/>
    <x v="2"/>
    <x v="2"/>
    <x v="3"/>
    <s v="Wirebound Message Books, Four 2 3/4 x 5 White Forms per Page"/>
    <n v="6.69"/>
    <n v="1"/>
    <n v="3.08"/>
  </r>
  <r>
    <d v="2016-10-09T00:00:00"/>
    <x v="9"/>
    <x v="2"/>
    <x v="526"/>
    <x v="1"/>
    <x v="2"/>
    <x v="9"/>
    <s v="JM Magazine Binder"/>
    <n v="39.619999999999997"/>
    <n v="3"/>
    <n v="13.87"/>
  </r>
  <r>
    <d v="2016-10-10T00:00:00"/>
    <x v="9"/>
    <x v="2"/>
    <x v="527"/>
    <x v="15"/>
    <x v="1"/>
    <x v="16"/>
    <s v="Bush Westfield Collection Bookcases, Dark Cherry Finish, Fully Assembled"/>
    <n v="90.88"/>
    <n v="3"/>
    <n v="-190.85"/>
  </r>
  <r>
    <d v="2016-10-10T00:00:00"/>
    <x v="9"/>
    <x v="2"/>
    <x v="527"/>
    <x v="15"/>
    <x v="1"/>
    <x v="1"/>
    <s v="Global Manager's Adjustable Task Chair, Storm"/>
    <n v="120.78"/>
    <n v="1"/>
    <n v="13.59"/>
  </r>
  <r>
    <d v="2016-10-10T00:00:00"/>
    <x v="9"/>
    <x v="2"/>
    <x v="114"/>
    <x v="4"/>
    <x v="1"/>
    <x v="5"/>
    <s v="Eldon 400 Class Desk Accessories, Black Carbon"/>
    <n v="14"/>
    <n v="4"/>
    <n v="-6.3"/>
  </r>
  <r>
    <d v="2016-10-11T00:00:00"/>
    <x v="9"/>
    <x v="2"/>
    <x v="528"/>
    <x v="5"/>
    <x v="2"/>
    <x v="3"/>
    <s v="Xerox 1996"/>
    <n v="32.4"/>
    <n v="5"/>
    <n v="15.55"/>
  </r>
  <r>
    <d v="2016-10-11T00:00:00"/>
    <x v="9"/>
    <x v="2"/>
    <x v="204"/>
    <x v="18"/>
    <x v="2"/>
    <x v="3"/>
    <s v="Xerox 1924"/>
    <n v="4.62"/>
    <n v="1"/>
    <n v="1.68"/>
  </r>
  <r>
    <d v="2016-10-11T00:00:00"/>
    <x v="9"/>
    <x v="2"/>
    <x v="243"/>
    <x v="2"/>
    <x v="2"/>
    <x v="9"/>
    <s v="Canvas Sectional Post Binders"/>
    <n v="20.37"/>
    <n v="1"/>
    <n v="7.38"/>
  </r>
  <r>
    <d v="2016-10-11T00:00:00"/>
    <x v="9"/>
    <x v="2"/>
    <x v="233"/>
    <x v="5"/>
    <x v="2"/>
    <x v="10"/>
    <s v="Belkin F9S820V06 8 Outlet Surge"/>
    <n v="129.91999999999999"/>
    <n v="4"/>
    <n v="38.979999999999997"/>
  </r>
  <r>
    <d v="2016-10-11T00:00:00"/>
    <x v="9"/>
    <x v="2"/>
    <x v="233"/>
    <x v="5"/>
    <x v="2"/>
    <x v="11"/>
    <s v="Newell 338"/>
    <n v="14.7"/>
    <n v="5"/>
    <n v="3.97"/>
  </r>
  <r>
    <d v="2016-10-11T00:00:00"/>
    <x v="9"/>
    <x v="2"/>
    <x v="272"/>
    <x v="5"/>
    <x v="1"/>
    <x v="5"/>
    <s v="Eldon Expressions Wood and Plastic Desk Accessories, Oak"/>
    <n v="9.98"/>
    <n v="1"/>
    <n v="2.79"/>
  </r>
  <r>
    <d v="2016-10-11T00:00:00"/>
    <x v="9"/>
    <x v="2"/>
    <x v="169"/>
    <x v="28"/>
    <x v="1"/>
    <x v="16"/>
    <s v="Sauder Facets Collection Library, Sky Alder Finish"/>
    <n v="341.96"/>
    <n v="2"/>
    <n v="54.71"/>
  </r>
  <r>
    <d v="2016-10-12T00:00:00"/>
    <x v="9"/>
    <x v="2"/>
    <x v="267"/>
    <x v="1"/>
    <x v="2"/>
    <x v="10"/>
    <s v="Holmes HEPA Air Purifier"/>
    <n v="65.34"/>
    <n v="3"/>
    <n v="22.87"/>
  </r>
  <r>
    <d v="2016-10-12T00:00:00"/>
    <x v="9"/>
    <x v="2"/>
    <x v="267"/>
    <x v="1"/>
    <x v="2"/>
    <x v="10"/>
    <s v="Harmony HEPA Quiet Air Purifiers"/>
    <n v="35.1"/>
    <n v="3"/>
    <n v="12.29"/>
  </r>
  <r>
    <d v="2016-10-12T00:00:00"/>
    <x v="9"/>
    <x v="2"/>
    <x v="86"/>
    <x v="2"/>
    <x v="2"/>
    <x v="3"/>
    <s v="Xerox 221"/>
    <n v="6.48"/>
    <n v="1"/>
    <n v="3.11"/>
  </r>
  <r>
    <d v="2016-11-01T00:00:00"/>
    <x v="10"/>
    <x v="2"/>
    <x v="138"/>
    <x v="18"/>
    <x v="2"/>
    <x v="3"/>
    <s v="Xerox 2"/>
    <n v="15.55"/>
    <n v="3"/>
    <n v="5.44"/>
  </r>
  <r>
    <d v="2016-11-06T00:00:00"/>
    <x v="10"/>
    <x v="2"/>
    <x v="425"/>
    <x v="1"/>
    <x v="0"/>
    <x v="0"/>
    <s v="Logitech G35 7.1-Channel Surround Sound Headset"/>
    <n v="389.97"/>
    <n v="3"/>
    <n v="132.59"/>
  </r>
  <r>
    <d v="2016-11-08T00:00:00"/>
    <x v="10"/>
    <x v="2"/>
    <x v="529"/>
    <x v="28"/>
    <x v="2"/>
    <x v="9"/>
    <s v="Premium Transparent Presentation Covers, No Pattern/Clear, 8 1/2&quot; x 11&quot;"/>
    <n v="77.56"/>
    <n v="2"/>
    <n v="35.68"/>
  </r>
  <r>
    <d v="2016-11-09T00:00:00"/>
    <x v="10"/>
    <x v="2"/>
    <x v="317"/>
    <x v="5"/>
    <x v="0"/>
    <x v="0"/>
    <s v="LogitechÂ P710e Mobile Speakerphone"/>
    <n v="3347.37"/>
    <n v="13"/>
    <n v="636"/>
  </r>
  <r>
    <d v="2016-11-09T00:00:00"/>
    <x v="10"/>
    <x v="2"/>
    <x v="124"/>
    <x v="13"/>
    <x v="2"/>
    <x v="3"/>
    <s v="Xerox 1972"/>
    <n v="8.4499999999999993"/>
    <n v="2"/>
    <n v="2.64"/>
  </r>
  <r>
    <d v="2016-11-09T00:00:00"/>
    <x v="10"/>
    <x v="2"/>
    <x v="414"/>
    <x v="3"/>
    <x v="2"/>
    <x v="9"/>
    <s v="Insertable Tab Indexes For Data Binders"/>
    <n v="1.91"/>
    <n v="3"/>
    <n v="-3.24"/>
  </r>
  <r>
    <d v="2016-11-09T00:00:00"/>
    <x v="10"/>
    <x v="2"/>
    <x v="474"/>
    <x v="23"/>
    <x v="2"/>
    <x v="11"/>
    <s v="Crayola Anti Dust Chalk, 12/Pack"/>
    <n v="2.91"/>
    <n v="2"/>
    <n v="0.91"/>
  </r>
  <r>
    <d v="2016-11-09T00:00:00"/>
    <x v="10"/>
    <x v="2"/>
    <x v="474"/>
    <x v="23"/>
    <x v="2"/>
    <x v="3"/>
    <s v="Xerox 1976"/>
    <n v="20.74"/>
    <n v="4"/>
    <n v="7.26"/>
  </r>
  <r>
    <d v="2016-11-10T00:00:00"/>
    <x v="10"/>
    <x v="2"/>
    <x v="159"/>
    <x v="3"/>
    <x v="2"/>
    <x v="11"/>
    <s v="Newell 309"/>
    <n v="27.72"/>
    <n v="3"/>
    <n v="3.47"/>
  </r>
  <r>
    <d v="2016-11-11T00:00:00"/>
    <x v="10"/>
    <x v="2"/>
    <x v="526"/>
    <x v="2"/>
    <x v="0"/>
    <x v="0"/>
    <s v="Micropad Numeric Keypads"/>
    <n v="59.97"/>
    <n v="3"/>
    <n v="14.99"/>
  </r>
  <r>
    <d v="2016-11-11T00:00:00"/>
    <x v="10"/>
    <x v="2"/>
    <x v="449"/>
    <x v="11"/>
    <x v="2"/>
    <x v="10"/>
    <s v="Sanyo 2.5 Cubic Foot Mid-Size Office Refrigerators"/>
    <n v="671.54"/>
    <n v="3"/>
    <n v="50.37"/>
  </r>
  <r>
    <d v="2016-11-11T00:00:00"/>
    <x v="10"/>
    <x v="2"/>
    <x v="436"/>
    <x v="2"/>
    <x v="2"/>
    <x v="11"/>
    <s v="Boston School Pro Electric Pencil Sharpener, 1670"/>
    <n v="92.94"/>
    <n v="3"/>
    <n v="25.09"/>
  </r>
  <r>
    <d v="2016-11-11T00:00:00"/>
    <x v="10"/>
    <x v="2"/>
    <x v="530"/>
    <x v="5"/>
    <x v="1"/>
    <x v="5"/>
    <s v="Magnifier Swing Arm Lamp"/>
    <n v="41.96"/>
    <n v="2"/>
    <n v="10.91"/>
  </r>
  <r>
    <d v="2016-11-11T00:00:00"/>
    <x v="10"/>
    <x v="2"/>
    <x v="488"/>
    <x v="33"/>
    <x v="1"/>
    <x v="7"/>
    <s v="Balt Solid Wood Round Tables"/>
    <n v="2678.94"/>
    <n v="6"/>
    <n v="241.1"/>
  </r>
  <r>
    <d v="2016-11-12T00:00:00"/>
    <x v="10"/>
    <x v="2"/>
    <x v="412"/>
    <x v="15"/>
    <x v="2"/>
    <x v="6"/>
    <s v="Tennsco Regal Shelving Units"/>
    <n v="243.38"/>
    <n v="3"/>
    <n v="-51.72"/>
  </r>
  <r>
    <d v="2016-11-12T00:00:00"/>
    <x v="10"/>
    <x v="2"/>
    <x v="392"/>
    <x v="1"/>
    <x v="0"/>
    <x v="0"/>
    <s v="First Data FD10 PIN Pad"/>
    <n v="316"/>
    <n v="4"/>
    <n v="31.6"/>
  </r>
  <r>
    <d v="2016-11-12T00:00:00"/>
    <x v="10"/>
    <x v="2"/>
    <x v="114"/>
    <x v="5"/>
    <x v="2"/>
    <x v="11"/>
    <s v="Boston 16765 Mini Stand Up Battery Pencil Sharpener"/>
    <n v="23.32"/>
    <n v="2"/>
    <n v="6.06"/>
  </r>
  <r>
    <d v="2016-11-12T00:00:00"/>
    <x v="10"/>
    <x v="2"/>
    <x v="114"/>
    <x v="5"/>
    <x v="2"/>
    <x v="3"/>
    <s v="IBM Multi-Purpose Copy Paper, 8 1/2 x 11&quot;, Case"/>
    <n v="30.98"/>
    <n v="1"/>
    <n v="13.94"/>
  </r>
  <r>
    <d v="2016-11-12T00:00:00"/>
    <x v="10"/>
    <x v="2"/>
    <x v="114"/>
    <x v="5"/>
    <x v="2"/>
    <x v="9"/>
    <s v="Black Avery Memo-Size 3-Ring Binder, 5 1/2&quot; x 8 1/2&quot;"/>
    <n v="5.87"/>
    <n v="2"/>
    <n v="2.13"/>
  </r>
  <r>
    <d v="2016-12-03T00:00:00"/>
    <x v="11"/>
    <x v="2"/>
    <x v="334"/>
    <x v="5"/>
    <x v="2"/>
    <x v="6"/>
    <s v="Tennsco Stur-D-Stor Boltless Shelving, 5 Shelves, 24&quot; Deep, Sand"/>
    <n v="676.55"/>
    <n v="5"/>
    <n v="6.77"/>
  </r>
  <r>
    <d v="2016-12-03T00:00:00"/>
    <x v="11"/>
    <x v="2"/>
    <x v="318"/>
    <x v="5"/>
    <x v="2"/>
    <x v="3"/>
    <s v="Hammermill Color Copier Paper (28Lb. and 96 Bright)"/>
    <n v="19.98"/>
    <n v="2"/>
    <n v="8.99"/>
  </r>
  <r>
    <d v="2016-12-04T00:00:00"/>
    <x v="11"/>
    <x v="2"/>
    <x v="531"/>
    <x v="5"/>
    <x v="2"/>
    <x v="3"/>
    <s v="Xerox 206"/>
    <n v="19.440000000000001"/>
    <n v="3"/>
    <n v="9.33"/>
  </r>
  <r>
    <d v="2016-12-04T00:00:00"/>
    <x v="11"/>
    <x v="2"/>
    <x v="208"/>
    <x v="12"/>
    <x v="2"/>
    <x v="3"/>
    <s v="TOPS &quot;Important Message&quot; Pads, Canary, 4-1/4 x 5-1/2, 50 Sheets per Pad"/>
    <n v="10.27"/>
    <n v="3"/>
    <n v="3.47"/>
  </r>
  <r>
    <d v="2016-12-05T00:00:00"/>
    <x v="11"/>
    <x v="2"/>
    <x v="513"/>
    <x v="1"/>
    <x v="2"/>
    <x v="13"/>
    <s v="Manila Recycled Extra-Heavyweight Clasp Envelopes, 6&quot; x 9&quot;"/>
    <n v="54.9"/>
    <n v="5"/>
    <n v="26.9"/>
  </r>
  <r>
    <d v="2016-12-05T00:00:00"/>
    <x v="11"/>
    <x v="2"/>
    <x v="532"/>
    <x v="5"/>
    <x v="0"/>
    <x v="0"/>
    <s v="Memorex Mini Travel Drive 32 GB USB 2.0 Flash Drive"/>
    <n v="120"/>
    <n v="6"/>
    <n v="46.8"/>
  </r>
  <r>
    <d v="2016-12-06T00:00:00"/>
    <x v="11"/>
    <x v="2"/>
    <x v="533"/>
    <x v="34"/>
    <x v="2"/>
    <x v="10"/>
    <s v="1.7 Cubic Foot Compact &quot;Cube&quot; Office Refrigerators"/>
    <n v="208.16"/>
    <n v="1"/>
    <n v="56.2"/>
  </r>
  <r>
    <d v="2016-12-06T00:00:00"/>
    <x v="11"/>
    <x v="2"/>
    <x v="533"/>
    <x v="34"/>
    <x v="2"/>
    <x v="9"/>
    <s v="Avery Heavy-Duty EZD  Binder With Locking Rings"/>
    <n v="16.739999999999998"/>
    <n v="3"/>
    <n v="8.0399999999999991"/>
  </r>
  <r>
    <d v="2016-12-06T00:00:00"/>
    <x v="11"/>
    <x v="2"/>
    <x v="432"/>
    <x v="3"/>
    <x v="0"/>
    <x v="14"/>
    <s v="Canon Color ImageCLASS MF8580Cdw Wireless Laser All-In-One Printer, Copier, Scanner"/>
    <n v="1007.98"/>
    <n v="3"/>
    <n v="43.2"/>
  </r>
  <r>
    <d v="2016-12-06T00:00:00"/>
    <x v="11"/>
    <x v="2"/>
    <x v="29"/>
    <x v="5"/>
    <x v="2"/>
    <x v="3"/>
    <s v="Xerox 228"/>
    <n v="12.96"/>
    <n v="2"/>
    <n v="6.22"/>
  </r>
  <r>
    <d v="2016-12-06T00:00:00"/>
    <x v="11"/>
    <x v="2"/>
    <x v="502"/>
    <x v="4"/>
    <x v="1"/>
    <x v="5"/>
    <s v="Dax Clear Box Frame"/>
    <n v="6.98"/>
    <n v="2"/>
    <n v="-4.54"/>
  </r>
  <r>
    <d v="2016-12-06T00:00:00"/>
    <x v="11"/>
    <x v="2"/>
    <x v="502"/>
    <x v="4"/>
    <x v="2"/>
    <x v="3"/>
    <s v="Xerox 1975"/>
    <n v="15.55"/>
    <n v="3"/>
    <n v="5.64"/>
  </r>
  <r>
    <d v="2016-12-08T00:00:00"/>
    <x v="11"/>
    <x v="2"/>
    <x v="445"/>
    <x v="4"/>
    <x v="0"/>
    <x v="0"/>
    <s v="Logitech diNovo Edge Keyboard"/>
    <n v="1399.94"/>
    <n v="7"/>
    <n v="52.5"/>
  </r>
  <r>
    <d v="2016-12-09T00:00:00"/>
    <x v="11"/>
    <x v="2"/>
    <x v="422"/>
    <x v="10"/>
    <x v="2"/>
    <x v="3"/>
    <s v="Xerox 1991"/>
    <n v="68.52"/>
    <n v="3"/>
    <n v="31.52"/>
  </r>
  <r>
    <d v="2016-12-09T00:00:00"/>
    <x v="11"/>
    <x v="2"/>
    <x v="534"/>
    <x v="2"/>
    <x v="1"/>
    <x v="5"/>
    <s v="DAX Contemporary Wood Frame with Silver Metal Mat, Desktop, 11 x 14 Size"/>
    <n v="40.479999999999997"/>
    <n v="2"/>
    <n v="14.57"/>
  </r>
  <r>
    <d v="2016-12-11T00:00:00"/>
    <x v="11"/>
    <x v="2"/>
    <x v="99"/>
    <x v="23"/>
    <x v="2"/>
    <x v="9"/>
    <s v="Round Ring Binders"/>
    <n v="4.37"/>
    <n v="7"/>
    <n v="-3.35"/>
  </r>
  <r>
    <d v="2016-12-11T00:00:00"/>
    <x v="11"/>
    <x v="2"/>
    <x v="154"/>
    <x v="33"/>
    <x v="2"/>
    <x v="13"/>
    <s v="Tyvek  Top-Opening Peel &amp; Seel  Envelopes, Gray"/>
    <n v="287.52"/>
    <n v="8"/>
    <n v="129.38"/>
  </r>
  <r>
    <d v="2016-12-11T00:00:00"/>
    <x v="11"/>
    <x v="2"/>
    <x v="8"/>
    <x v="5"/>
    <x v="0"/>
    <x v="2"/>
    <s v="Panasonic KX TS3282W Corded phone"/>
    <n v="203.98"/>
    <n v="3"/>
    <n v="25.5"/>
  </r>
  <r>
    <d v="2016-12-12T00:00:00"/>
    <x v="11"/>
    <x v="2"/>
    <x v="535"/>
    <x v="19"/>
    <x v="0"/>
    <x v="0"/>
    <s v="Case Logic 2.4GHz Wireless Keyboard"/>
    <n v="249.95"/>
    <n v="5"/>
    <n v="20"/>
  </r>
  <r>
    <d v="2016-12-12T00:00:00"/>
    <x v="11"/>
    <x v="2"/>
    <x v="535"/>
    <x v="19"/>
    <x v="2"/>
    <x v="3"/>
    <s v="Xerox 1907"/>
    <n v="49.12"/>
    <n v="4"/>
    <n v="23.09"/>
  </r>
  <r>
    <d v="2016-12-12T00:00:00"/>
    <x v="11"/>
    <x v="2"/>
    <x v="381"/>
    <x v="2"/>
    <x v="2"/>
    <x v="15"/>
    <s v="Fiskars Home &amp; Office Scissors"/>
    <n v="35.520000000000003"/>
    <n v="4"/>
    <n v="9.9499999999999993"/>
  </r>
  <r>
    <d v="2017-01-01T00:00:00"/>
    <x v="0"/>
    <x v="3"/>
    <x v="76"/>
    <x v="5"/>
    <x v="1"/>
    <x v="5"/>
    <s v="Howard Miller 11-1/2&quot; Diameter Brentwood Wall Clock"/>
    <n v="474.43"/>
    <n v="11"/>
    <n v="199.26"/>
  </r>
  <r>
    <d v="2017-01-01T00:00:00"/>
    <x v="0"/>
    <x v="3"/>
    <x v="127"/>
    <x v="0"/>
    <x v="2"/>
    <x v="9"/>
    <s v="Wilson Jones Easy Flow II Sheet Lifters"/>
    <n v="3.6"/>
    <n v="2"/>
    <n v="1.73"/>
  </r>
  <r>
    <d v="2017-01-04T00:00:00"/>
    <x v="0"/>
    <x v="3"/>
    <x v="182"/>
    <x v="5"/>
    <x v="2"/>
    <x v="8"/>
    <s v="Avery 498"/>
    <n v="5.78"/>
    <n v="2"/>
    <n v="2.72"/>
  </r>
  <r>
    <d v="2017-01-04T00:00:00"/>
    <x v="0"/>
    <x v="3"/>
    <x v="536"/>
    <x v="5"/>
    <x v="0"/>
    <x v="14"/>
    <s v="Cubify CubeX 3D Printer Double Head Print"/>
    <n v="4799.9799999999996"/>
    <n v="2"/>
    <n v="360"/>
  </r>
  <r>
    <d v="2017-01-05T00:00:00"/>
    <x v="0"/>
    <x v="3"/>
    <x v="499"/>
    <x v="11"/>
    <x v="2"/>
    <x v="15"/>
    <s v="Kleencut Forged Office Shears by Acme United Corporation"/>
    <n v="3.33"/>
    <n v="2"/>
    <n v="0.42"/>
  </r>
  <r>
    <d v="2017-01-06T00:00:00"/>
    <x v="0"/>
    <x v="3"/>
    <x v="319"/>
    <x v="18"/>
    <x v="2"/>
    <x v="10"/>
    <s v="Eureka Sanitaire  Multi-Pro Heavy-Duty Upright, Disposable Bags"/>
    <n v="17.48"/>
    <n v="5"/>
    <n v="1.31"/>
  </r>
  <r>
    <d v="2017-01-06T00:00:00"/>
    <x v="0"/>
    <x v="3"/>
    <x v="537"/>
    <x v="33"/>
    <x v="0"/>
    <x v="0"/>
    <s v="MaxellÂ LTO Ultrium - 800 GB"/>
    <n v="83.97"/>
    <n v="3"/>
    <n v="15.95"/>
  </r>
  <r>
    <d v="2017-01-08T00:00:00"/>
    <x v="0"/>
    <x v="3"/>
    <x v="538"/>
    <x v="4"/>
    <x v="2"/>
    <x v="3"/>
    <s v="Xerox 1998"/>
    <n v="36.29"/>
    <n v="7"/>
    <n v="12.7"/>
  </r>
  <r>
    <d v="2017-01-09T00:00:00"/>
    <x v="0"/>
    <x v="3"/>
    <x v="539"/>
    <x v="2"/>
    <x v="1"/>
    <x v="5"/>
    <s v="Seth Thomas 12&quot; Clock w/ Goldtone Case"/>
    <n v="114.9"/>
    <n v="5"/>
    <n v="39.07"/>
  </r>
  <r>
    <d v="2017-01-09T00:00:00"/>
    <x v="0"/>
    <x v="3"/>
    <x v="540"/>
    <x v="1"/>
    <x v="2"/>
    <x v="9"/>
    <s v="Avery Metallic Poly Binders"/>
    <n v="22.92"/>
    <n v="5"/>
    <n v="8.02"/>
  </r>
  <r>
    <d v="2017-01-10T00:00:00"/>
    <x v="0"/>
    <x v="3"/>
    <x v="23"/>
    <x v="4"/>
    <x v="2"/>
    <x v="11"/>
    <s v="Design Ebony Sketching Pencil"/>
    <n v="6.67"/>
    <n v="6"/>
    <n v="0.5"/>
  </r>
  <r>
    <d v="2017-01-10T00:00:00"/>
    <x v="0"/>
    <x v="3"/>
    <x v="478"/>
    <x v="1"/>
    <x v="2"/>
    <x v="3"/>
    <s v="Personal Creations Ink Jet Cards and Labels"/>
    <n v="91.84"/>
    <n v="8"/>
    <n v="45"/>
  </r>
  <r>
    <d v="2017-01-10T00:00:00"/>
    <x v="0"/>
    <x v="3"/>
    <x v="239"/>
    <x v="5"/>
    <x v="0"/>
    <x v="0"/>
    <s v="Sony 32GB Class 10 Micro SDHC R40 Memory Card"/>
    <n v="104.75"/>
    <n v="5"/>
    <n v="22"/>
  </r>
  <r>
    <d v="2017-01-12T00:00:00"/>
    <x v="0"/>
    <x v="3"/>
    <x v="461"/>
    <x v="2"/>
    <x v="2"/>
    <x v="6"/>
    <s v="Safco Industrial Shelving"/>
    <n v="221.55"/>
    <n v="3"/>
    <n v="6.65"/>
  </r>
  <r>
    <d v="2017-01-12T00:00:00"/>
    <x v="0"/>
    <x v="3"/>
    <x v="461"/>
    <x v="2"/>
    <x v="2"/>
    <x v="9"/>
    <s v="Acco 3-Hole Punch"/>
    <n v="17.52"/>
    <n v="5"/>
    <n v="6.13"/>
  </r>
  <r>
    <d v="2017-01-12T00:00:00"/>
    <x v="0"/>
    <x v="3"/>
    <x v="415"/>
    <x v="15"/>
    <x v="0"/>
    <x v="2"/>
    <s v="Jabra BIZ 2300 Duo QD Duo CordedÂ Headset"/>
    <n v="406.37"/>
    <n v="4"/>
    <n v="30.48"/>
  </r>
  <r>
    <d v="2017-01-12T00:00:00"/>
    <x v="0"/>
    <x v="3"/>
    <x v="186"/>
    <x v="13"/>
    <x v="2"/>
    <x v="13"/>
    <s v="Quality Park Security Envelopes"/>
    <n v="104.68"/>
    <n v="5"/>
    <n v="35.33"/>
  </r>
  <r>
    <d v="2017-01-12T00:00:00"/>
    <x v="0"/>
    <x v="3"/>
    <x v="541"/>
    <x v="5"/>
    <x v="2"/>
    <x v="3"/>
    <s v="Xerox 1905"/>
    <n v="45.36"/>
    <n v="7"/>
    <n v="21.77"/>
  </r>
  <r>
    <d v="2017-01-12T00:00:00"/>
    <x v="0"/>
    <x v="3"/>
    <x v="542"/>
    <x v="13"/>
    <x v="2"/>
    <x v="6"/>
    <s v="Personal File Boxes with Fold-Down Carry Handle"/>
    <n v="37.39"/>
    <n v="3"/>
    <n v="2.34"/>
  </r>
  <r>
    <d v="2017-01-12T00:00:00"/>
    <x v="0"/>
    <x v="3"/>
    <x v="542"/>
    <x v="13"/>
    <x v="1"/>
    <x v="5"/>
    <s v="Ultra Door Kickplate, 8&quot;H x 34&quot;W"/>
    <n v="79.12"/>
    <n v="5"/>
    <n v="13.85"/>
  </r>
  <r>
    <d v="2017-01-12T00:00:00"/>
    <x v="0"/>
    <x v="3"/>
    <x v="543"/>
    <x v="13"/>
    <x v="2"/>
    <x v="9"/>
    <s v="Acco Pressboard Covers with Storage Hooks, 14 7/8&quot; x 11&quot;, Dark Blue"/>
    <n v="8"/>
    <n v="7"/>
    <n v="-5.6"/>
  </r>
  <r>
    <d v="2017-02-01T00:00:00"/>
    <x v="1"/>
    <x v="3"/>
    <x v="538"/>
    <x v="12"/>
    <x v="2"/>
    <x v="9"/>
    <s v="Avery 3 1/2&quot; Diskette Storage Pages, 10/Pack"/>
    <n v="15.66"/>
    <n v="5"/>
    <n v="-12.53"/>
  </r>
  <r>
    <d v="2017-02-01T00:00:00"/>
    <x v="1"/>
    <x v="3"/>
    <x v="363"/>
    <x v="4"/>
    <x v="2"/>
    <x v="10"/>
    <s v="Hoover Commercial SteamVac"/>
    <n v="5.43"/>
    <n v="2"/>
    <n v="-13.58"/>
  </r>
  <r>
    <d v="2017-02-02T00:00:00"/>
    <x v="1"/>
    <x v="3"/>
    <x v="459"/>
    <x v="5"/>
    <x v="2"/>
    <x v="9"/>
    <s v="GBC Durable Plastic Covers"/>
    <n v="30.96"/>
    <n v="2"/>
    <n v="10.06"/>
  </r>
  <r>
    <d v="2017-02-02T00:00:00"/>
    <x v="1"/>
    <x v="3"/>
    <x v="459"/>
    <x v="5"/>
    <x v="0"/>
    <x v="14"/>
    <s v="HP Officejet Pro 8600 e-All-In-One Printer, Copier, Scanner, Fax"/>
    <n v="239.98"/>
    <n v="2"/>
    <n v="39"/>
  </r>
  <r>
    <d v="2017-02-03T00:00:00"/>
    <x v="1"/>
    <x v="3"/>
    <x v="544"/>
    <x v="5"/>
    <x v="0"/>
    <x v="0"/>
    <s v="Logitech G13 Programmable Gameboard with LCD Display"/>
    <n v="479.94"/>
    <n v="6"/>
    <n v="52.79"/>
  </r>
  <r>
    <d v="2017-02-09T00:00:00"/>
    <x v="1"/>
    <x v="3"/>
    <x v="12"/>
    <x v="18"/>
    <x v="1"/>
    <x v="5"/>
    <s v="Eldon 200 Class Desk Accessories, Burgundy"/>
    <n v="15.07"/>
    <n v="3"/>
    <n v="4.1399999999999997"/>
  </r>
  <r>
    <d v="2017-02-09T00:00:00"/>
    <x v="1"/>
    <x v="3"/>
    <x v="545"/>
    <x v="10"/>
    <x v="0"/>
    <x v="2"/>
    <s v="Polycom CX600 IP Phone VoIP phone"/>
    <n v="1199.8"/>
    <n v="4"/>
    <n v="323.95"/>
  </r>
  <r>
    <d v="2017-02-09T00:00:00"/>
    <x v="1"/>
    <x v="3"/>
    <x v="545"/>
    <x v="10"/>
    <x v="0"/>
    <x v="0"/>
    <s v="MaxellÂ iVDR EX 500GB Cartridge"/>
    <n v="1928.78"/>
    <n v="7"/>
    <n v="829.38"/>
  </r>
  <r>
    <d v="2017-02-09T00:00:00"/>
    <x v="1"/>
    <x v="3"/>
    <x v="469"/>
    <x v="5"/>
    <x v="2"/>
    <x v="11"/>
    <s v="Pencil and Crayon Sharpener"/>
    <n v="6.57"/>
    <n v="3"/>
    <n v="1.77"/>
  </r>
  <r>
    <d v="2017-02-09T00:00:00"/>
    <x v="1"/>
    <x v="3"/>
    <x v="546"/>
    <x v="2"/>
    <x v="2"/>
    <x v="11"/>
    <s v="BIC Brite Liner Grip Highlighters"/>
    <n v="4.92"/>
    <n v="3"/>
    <n v="2.21"/>
  </r>
  <r>
    <d v="2017-02-09T00:00:00"/>
    <x v="1"/>
    <x v="3"/>
    <x v="547"/>
    <x v="5"/>
    <x v="0"/>
    <x v="2"/>
    <s v="Ooma Telo VoIP Home Phone System"/>
    <n v="201.58"/>
    <n v="2"/>
    <n v="12.6"/>
  </r>
  <r>
    <d v="2017-02-09T00:00:00"/>
    <x v="1"/>
    <x v="3"/>
    <x v="548"/>
    <x v="25"/>
    <x v="2"/>
    <x v="3"/>
    <s v="Xerox 1890"/>
    <n v="146.82"/>
    <n v="3"/>
    <n v="73.41"/>
  </r>
  <r>
    <d v="2017-02-09T00:00:00"/>
    <x v="1"/>
    <x v="3"/>
    <x v="549"/>
    <x v="5"/>
    <x v="1"/>
    <x v="7"/>
    <s v="Hon 2111 Invitation Series Straight Table"/>
    <n v="236.53"/>
    <n v="2"/>
    <n v="-2.96"/>
  </r>
  <r>
    <d v="2017-02-09T00:00:00"/>
    <x v="1"/>
    <x v="3"/>
    <x v="550"/>
    <x v="5"/>
    <x v="1"/>
    <x v="5"/>
    <s v="Luxo Professional Combination Clamp-On Lamps"/>
    <n v="511.5"/>
    <n v="5"/>
    <n v="132.99"/>
  </r>
  <r>
    <d v="2017-02-10T00:00:00"/>
    <x v="1"/>
    <x v="3"/>
    <x v="551"/>
    <x v="10"/>
    <x v="1"/>
    <x v="5"/>
    <s v="Nu-Dell Leatherette Frames"/>
    <n v="157.74"/>
    <n v="11"/>
    <n v="56.79"/>
  </r>
  <r>
    <d v="2017-02-10T00:00:00"/>
    <x v="1"/>
    <x v="3"/>
    <x v="552"/>
    <x v="2"/>
    <x v="0"/>
    <x v="2"/>
    <s v="Plantronics 81402"/>
    <n v="65.989999999999995"/>
    <n v="1"/>
    <n v="17.16"/>
  </r>
  <r>
    <d v="2017-02-10T00:00:00"/>
    <x v="1"/>
    <x v="3"/>
    <x v="553"/>
    <x v="1"/>
    <x v="0"/>
    <x v="2"/>
    <s v="i.Sound Portable Power - 8000 mAh"/>
    <n v="84.78"/>
    <n v="2"/>
    <n v="-20.14"/>
  </r>
  <r>
    <d v="2017-02-10T00:00:00"/>
    <x v="1"/>
    <x v="3"/>
    <x v="261"/>
    <x v="26"/>
    <x v="1"/>
    <x v="7"/>
    <s v="Chromcraft Bull-Nose Wood Oval Conference Tables &amp; Bases"/>
    <n v="2314.12"/>
    <n v="7"/>
    <n v="-1002.78"/>
  </r>
  <r>
    <d v="2017-02-10T00:00:00"/>
    <x v="1"/>
    <x v="3"/>
    <x v="261"/>
    <x v="26"/>
    <x v="2"/>
    <x v="9"/>
    <s v="Lock-Up Easel 'Spel-Binder'"/>
    <n v="34.24"/>
    <n v="4"/>
    <n v="-26.25"/>
  </r>
  <r>
    <d v="2017-02-10T00:00:00"/>
    <x v="1"/>
    <x v="3"/>
    <x v="554"/>
    <x v="34"/>
    <x v="1"/>
    <x v="5"/>
    <s v="Master Caster Door Stop, Gray"/>
    <n v="10.16"/>
    <n v="2"/>
    <n v="3.45"/>
  </r>
  <r>
    <d v="2017-02-10T00:00:00"/>
    <x v="1"/>
    <x v="3"/>
    <x v="555"/>
    <x v="5"/>
    <x v="0"/>
    <x v="14"/>
    <s v="Ricoh - Ink Collector Unit for GX3000 Series Printers"/>
    <n v="369.16"/>
    <n v="11"/>
    <n v="32.299999999999997"/>
  </r>
  <r>
    <d v="2017-02-10T00:00:00"/>
    <x v="1"/>
    <x v="3"/>
    <x v="422"/>
    <x v="4"/>
    <x v="2"/>
    <x v="10"/>
    <s v="Acco 6 Outlet Guardian Premium Plus Surge Suppressor"/>
    <n v="21.98"/>
    <n v="6"/>
    <n v="-56.06"/>
  </r>
  <r>
    <d v="2017-02-11T00:00:00"/>
    <x v="1"/>
    <x v="3"/>
    <x v="556"/>
    <x v="5"/>
    <x v="1"/>
    <x v="5"/>
    <s v="Document Clip Frames"/>
    <n v="25.02"/>
    <n v="3"/>
    <n v="10.51"/>
  </r>
  <r>
    <d v="2017-02-11T00:00:00"/>
    <x v="1"/>
    <x v="3"/>
    <x v="556"/>
    <x v="5"/>
    <x v="2"/>
    <x v="6"/>
    <s v="Space Solutions Commercial Steel Shelving"/>
    <n v="452.55"/>
    <n v="7"/>
    <n v="22.63"/>
  </r>
  <r>
    <d v="2017-02-11T00:00:00"/>
    <x v="1"/>
    <x v="3"/>
    <x v="557"/>
    <x v="13"/>
    <x v="1"/>
    <x v="5"/>
    <s v="Eldon Image Series Black Desk Accessories"/>
    <n v="3.31"/>
    <n v="1"/>
    <n v="0.66"/>
  </r>
  <r>
    <d v="2017-02-11T00:00:00"/>
    <x v="1"/>
    <x v="3"/>
    <x v="557"/>
    <x v="13"/>
    <x v="2"/>
    <x v="13"/>
    <s v="Colored Envelopes"/>
    <n v="8.86"/>
    <n v="3"/>
    <n v="2.88"/>
  </r>
  <r>
    <d v="2017-02-11T00:00:00"/>
    <x v="1"/>
    <x v="3"/>
    <x v="438"/>
    <x v="5"/>
    <x v="2"/>
    <x v="10"/>
    <s v="Fellowes 8 Outlet Superior Workstation Surge Protector w/o Phone/Fax/Modem Protection"/>
    <n v="168.1"/>
    <n v="5"/>
    <n v="43.71"/>
  </r>
  <r>
    <d v="2017-02-12T00:00:00"/>
    <x v="1"/>
    <x v="3"/>
    <x v="302"/>
    <x v="5"/>
    <x v="2"/>
    <x v="3"/>
    <s v="Xerox 1940"/>
    <n v="109.92"/>
    <n v="2"/>
    <n v="53.86"/>
  </r>
  <r>
    <d v="2017-02-12T00:00:00"/>
    <x v="1"/>
    <x v="3"/>
    <x v="337"/>
    <x v="15"/>
    <x v="1"/>
    <x v="16"/>
    <s v="Hon 4-Shelf Metal Bookcases"/>
    <n v="242.35"/>
    <n v="8"/>
    <n v="-363.53"/>
  </r>
  <r>
    <d v="2017-02-12T00:00:00"/>
    <x v="1"/>
    <x v="3"/>
    <x v="337"/>
    <x v="15"/>
    <x v="0"/>
    <x v="2"/>
    <s v="Seidio BD2-HK3IPH5-BK DILEX Case and Holster Combo for Apple iPhone 5/5s - Black"/>
    <n v="49.62"/>
    <n v="2"/>
    <n v="4.96"/>
  </r>
  <r>
    <d v="2017-02-12T00:00:00"/>
    <x v="1"/>
    <x v="3"/>
    <x v="337"/>
    <x v="15"/>
    <x v="0"/>
    <x v="2"/>
    <s v="Macally Suction Cup Mount"/>
    <n v="57.36"/>
    <n v="6"/>
    <n v="-14.34"/>
  </r>
  <r>
    <d v="2017-02-12T00:00:00"/>
    <x v="1"/>
    <x v="3"/>
    <x v="55"/>
    <x v="18"/>
    <x v="0"/>
    <x v="2"/>
    <s v="AT&amp;T CL2909"/>
    <n v="151.19"/>
    <n v="2"/>
    <n v="-25.2"/>
  </r>
  <r>
    <d v="2017-03-01T00:00:00"/>
    <x v="2"/>
    <x v="3"/>
    <x v="558"/>
    <x v="5"/>
    <x v="2"/>
    <x v="9"/>
    <s v="GBC ProClick 150 Presentation Binding System"/>
    <n v="2022.27"/>
    <n v="8"/>
    <n v="682.52"/>
  </r>
  <r>
    <d v="2017-03-02T00:00:00"/>
    <x v="2"/>
    <x v="3"/>
    <x v="456"/>
    <x v="3"/>
    <x v="2"/>
    <x v="3"/>
    <s v="Xerox 189"/>
    <n v="419.4"/>
    <n v="5"/>
    <n v="146.79"/>
  </r>
  <r>
    <d v="2017-03-03T00:00:00"/>
    <x v="2"/>
    <x v="3"/>
    <x v="559"/>
    <x v="5"/>
    <x v="0"/>
    <x v="0"/>
    <s v="Imation Bio 2GB USBÂ Flash Drive ImationÂ Corp"/>
    <n v="1049.44"/>
    <n v="8"/>
    <n v="440.76"/>
  </r>
  <r>
    <d v="2017-03-05T00:00:00"/>
    <x v="2"/>
    <x v="3"/>
    <x v="286"/>
    <x v="5"/>
    <x v="2"/>
    <x v="6"/>
    <s v="Fellowes Stor/Drawer Steel Plus Storage Drawers"/>
    <n v="763.44"/>
    <n v="8"/>
    <n v="45.81"/>
  </r>
  <r>
    <d v="2017-03-05T00:00:00"/>
    <x v="2"/>
    <x v="3"/>
    <x v="459"/>
    <x v="13"/>
    <x v="1"/>
    <x v="5"/>
    <s v="Career Cubicle Clock, 8 1/4&quot;, Black"/>
    <n v="32.450000000000003"/>
    <n v="2"/>
    <n v="7.3"/>
  </r>
  <r>
    <d v="2017-03-06T00:00:00"/>
    <x v="2"/>
    <x v="3"/>
    <x v="124"/>
    <x v="1"/>
    <x v="0"/>
    <x v="0"/>
    <s v="Plantronics Audio 995 Wireless Stereo Headset"/>
    <n v="1099.5"/>
    <n v="10"/>
    <n v="362.84"/>
  </r>
  <r>
    <d v="2017-03-06T00:00:00"/>
    <x v="2"/>
    <x v="3"/>
    <x v="63"/>
    <x v="2"/>
    <x v="0"/>
    <x v="14"/>
    <s v="Hewlett-Packard 300S Scientific Calculator"/>
    <n v="78.66"/>
    <n v="6"/>
    <n v="36.18"/>
  </r>
  <r>
    <d v="2017-03-07T00:00:00"/>
    <x v="2"/>
    <x v="3"/>
    <x v="560"/>
    <x v="19"/>
    <x v="1"/>
    <x v="5"/>
    <s v="Westinghouse Floor Lamp with Metal Mesh Shade, Black"/>
    <n v="23.99"/>
    <n v="1"/>
    <n v="5.52"/>
  </r>
  <r>
    <d v="2017-03-07T00:00:00"/>
    <x v="2"/>
    <x v="3"/>
    <x v="154"/>
    <x v="4"/>
    <x v="0"/>
    <x v="14"/>
    <s v="Hewlett-Packard Deskjet 5550 Printer"/>
    <n v="597.13"/>
    <n v="3"/>
    <n v="49.76"/>
  </r>
  <r>
    <d v="2017-03-07T00:00:00"/>
    <x v="2"/>
    <x v="3"/>
    <x v="561"/>
    <x v="1"/>
    <x v="0"/>
    <x v="14"/>
    <s v="Okidata MB491 Multifunction Printer"/>
    <n v="2395.1999999999998"/>
    <n v="6"/>
    <n v="209.58"/>
  </r>
  <r>
    <d v="2017-03-07T00:00:00"/>
    <x v="2"/>
    <x v="3"/>
    <x v="561"/>
    <x v="1"/>
    <x v="0"/>
    <x v="2"/>
    <s v="Square Credit Card Reader, 4 1/2&quot; x 4 1/2&quot; x 1&quot;, White"/>
    <n v="7.99"/>
    <n v="1"/>
    <n v="2.7"/>
  </r>
  <r>
    <d v="2017-03-08T00:00:00"/>
    <x v="2"/>
    <x v="3"/>
    <x v="413"/>
    <x v="3"/>
    <x v="1"/>
    <x v="16"/>
    <s v="O'Sullivan Elevations Bookcase, Cherry Finish"/>
    <n v="183.37"/>
    <n v="2"/>
    <n v="-36.67"/>
  </r>
  <r>
    <d v="2017-03-08T00:00:00"/>
    <x v="2"/>
    <x v="3"/>
    <x v="562"/>
    <x v="5"/>
    <x v="2"/>
    <x v="6"/>
    <s v="Fellowes Bases and Tops For Staxonsteel/High-Stak Systems"/>
    <n v="99.87"/>
    <n v="3"/>
    <n v="23.97"/>
  </r>
  <r>
    <d v="2017-03-08T00:00:00"/>
    <x v="2"/>
    <x v="3"/>
    <x v="509"/>
    <x v="1"/>
    <x v="2"/>
    <x v="6"/>
    <s v="Letter/Legal File Tote with Clear Snap-On Lid, Black Granite"/>
    <n v="16.059999999999999"/>
    <n v="1"/>
    <n v="4.18"/>
  </r>
  <r>
    <d v="2017-03-09T00:00:00"/>
    <x v="2"/>
    <x v="3"/>
    <x v="563"/>
    <x v="5"/>
    <x v="0"/>
    <x v="0"/>
    <s v="Kensington Expert Mouse Optical USB Trackball for PC or Mac"/>
    <n v="284.97000000000003"/>
    <n v="3"/>
    <n v="85.49"/>
  </r>
  <r>
    <d v="2017-03-09T00:00:00"/>
    <x v="2"/>
    <x v="3"/>
    <x v="564"/>
    <x v="2"/>
    <x v="1"/>
    <x v="1"/>
    <s v="Office Star Flex Back Scooter Chair with Aluminum Finish Frame"/>
    <n v="90.8"/>
    <n v="1"/>
    <n v="14.12"/>
  </r>
  <r>
    <d v="2017-03-09T00:00:00"/>
    <x v="2"/>
    <x v="3"/>
    <x v="444"/>
    <x v="3"/>
    <x v="2"/>
    <x v="3"/>
    <s v="&quot;While you Were Out&quot; Message Book, One Form per Page"/>
    <n v="8.9"/>
    <n v="3"/>
    <n v="3.34"/>
  </r>
  <r>
    <d v="2017-03-10T00:00:00"/>
    <x v="2"/>
    <x v="3"/>
    <x v="294"/>
    <x v="11"/>
    <x v="2"/>
    <x v="10"/>
    <s v="Hoover Portapower Portable Vacuum"/>
    <n v="17.920000000000002"/>
    <n v="5"/>
    <n v="1.1200000000000001"/>
  </r>
  <r>
    <d v="2017-03-10T00:00:00"/>
    <x v="2"/>
    <x v="3"/>
    <x v="528"/>
    <x v="2"/>
    <x v="2"/>
    <x v="11"/>
    <s v="Quartet Alpha White Chalk, 12/Pack"/>
    <n v="6.63"/>
    <n v="3"/>
    <n v="3.12"/>
  </r>
  <r>
    <d v="2017-03-11T00:00:00"/>
    <x v="2"/>
    <x v="3"/>
    <x v="565"/>
    <x v="1"/>
    <x v="1"/>
    <x v="1"/>
    <s v="Global Deluxe Office Fabric Chairs"/>
    <n v="307.14"/>
    <n v="4"/>
    <n v="26.87"/>
  </r>
  <r>
    <d v="2017-03-11T00:00:00"/>
    <x v="2"/>
    <x v="3"/>
    <x v="484"/>
    <x v="13"/>
    <x v="2"/>
    <x v="9"/>
    <s v="Mead 1st Gear 2&quot; Zipper Binder, Asst. Colors"/>
    <n v="11.67"/>
    <n v="3"/>
    <n v="-7.78"/>
  </r>
  <r>
    <d v="2017-03-11T00:00:00"/>
    <x v="2"/>
    <x v="3"/>
    <x v="251"/>
    <x v="5"/>
    <x v="2"/>
    <x v="3"/>
    <s v="Xerox 1992"/>
    <n v="35.880000000000003"/>
    <n v="6"/>
    <n v="17.579999999999998"/>
  </r>
  <r>
    <d v="2017-03-11T00:00:00"/>
    <x v="2"/>
    <x v="3"/>
    <x v="48"/>
    <x v="12"/>
    <x v="2"/>
    <x v="3"/>
    <s v="Strathmore Photo Mount Cards"/>
    <n v="16.27"/>
    <n v="3"/>
    <n v="5.29"/>
  </r>
  <r>
    <d v="2017-03-11T00:00:00"/>
    <x v="2"/>
    <x v="3"/>
    <x v="566"/>
    <x v="11"/>
    <x v="0"/>
    <x v="12"/>
    <s v="Canon Image Class D660 Copier"/>
    <n v="959.98"/>
    <n v="2"/>
    <n v="311.99"/>
  </r>
  <r>
    <d v="2017-03-12T00:00:00"/>
    <x v="2"/>
    <x v="3"/>
    <x v="519"/>
    <x v="5"/>
    <x v="2"/>
    <x v="3"/>
    <s v="Xerox 1888"/>
    <n v="166.44"/>
    <n v="3"/>
    <n v="79.89"/>
  </r>
  <r>
    <d v="2017-03-12T00:00:00"/>
    <x v="2"/>
    <x v="3"/>
    <x v="325"/>
    <x v="15"/>
    <x v="0"/>
    <x v="0"/>
    <s v="Memorex Micro Travel Drive 16 GB"/>
    <n v="76.75"/>
    <n v="6"/>
    <n v="10.55"/>
  </r>
  <r>
    <d v="2017-03-12T00:00:00"/>
    <x v="2"/>
    <x v="3"/>
    <x v="325"/>
    <x v="15"/>
    <x v="1"/>
    <x v="5"/>
    <s v="DAX Two-Tone Silver Metal Document Frame"/>
    <n v="16.190000000000001"/>
    <n v="1"/>
    <n v="4.66"/>
  </r>
  <r>
    <d v="2017-04-03T00:00:00"/>
    <x v="3"/>
    <x v="3"/>
    <x v="567"/>
    <x v="4"/>
    <x v="2"/>
    <x v="8"/>
    <s v="Avery 497"/>
    <n v="2.46"/>
    <n v="1"/>
    <n v="0.86"/>
  </r>
  <r>
    <d v="2017-04-04T00:00:00"/>
    <x v="3"/>
    <x v="3"/>
    <x v="220"/>
    <x v="2"/>
    <x v="0"/>
    <x v="2"/>
    <s v="Panasonic KX - TS880B Telephone"/>
    <n v="41.22"/>
    <n v="1"/>
    <n v="11.13"/>
  </r>
  <r>
    <d v="2017-04-05T00:00:00"/>
    <x v="3"/>
    <x v="3"/>
    <x v="568"/>
    <x v="5"/>
    <x v="0"/>
    <x v="2"/>
    <s v="Motorola L804"/>
    <n v="183.96"/>
    <n v="5"/>
    <n v="20.7"/>
  </r>
  <r>
    <d v="2017-04-05T00:00:00"/>
    <x v="3"/>
    <x v="3"/>
    <x v="569"/>
    <x v="20"/>
    <x v="2"/>
    <x v="6"/>
    <s v="Tenex Personal Self-Stacking Standard File Box, Black/Gray"/>
    <n v="16.91"/>
    <n v="1"/>
    <n v="4.57"/>
  </r>
  <r>
    <d v="2017-04-06T00:00:00"/>
    <x v="3"/>
    <x v="3"/>
    <x v="568"/>
    <x v="12"/>
    <x v="0"/>
    <x v="2"/>
    <s v="Innergie mMini Combo Duo USB Travel Charging Kit"/>
    <n v="71.98"/>
    <n v="2"/>
    <n v="25.19"/>
  </r>
  <r>
    <d v="2017-04-06T00:00:00"/>
    <x v="3"/>
    <x v="3"/>
    <x v="126"/>
    <x v="34"/>
    <x v="2"/>
    <x v="3"/>
    <s v="Ampad Phone Message Book, Recycled, 400 Message Capacity, 5 Â¾Â” x 11Â”"/>
    <n v="12.48"/>
    <n v="2"/>
    <n v="5.62"/>
  </r>
  <r>
    <d v="2017-04-06T00:00:00"/>
    <x v="3"/>
    <x v="3"/>
    <x v="174"/>
    <x v="7"/>
    <x v="2"/>
    <x v="11"/>
    <s v="Newell 346"/>
    <n v="8.64"/>
    <n v="3"/>
    <n v="2.5099999999999998"/>
  </r>
  <r>
    <d v="2017-04-08T00:00:00"/>
    <x v="3"/>
    <x v="3"/>
    <x v="350"/>
    <x v="15"/>
    <x v="2"/>
    <x v="3"/>
    <s v="Hammermill CopyPlus Copy Paper (20Lb. and 84 Bright)"/>
    <n v="7.97"/>
    <n v="2"/>
    <n v="2.89"/>
  </r>
  <r>
    <d v="2017-04-09T00:00:00"/>
    <x v="3"/>
    <x v="3"/>
    <x v="307"/>
    <x v="4"/>
    <x v="2"/>
    <x v="11"/>
    <s v="Sanford Colorific Eraseable Coloring Pencils, 12 Count"/>
    <n v="13.12"/>
    <n v="5"/>
    <n v="3.77"/>
  </r>
  <r>
    <d v="2017-04-09T00:00:00"/>
    <x v="3"/>
    <x v="3"/>
    <x v="537"/>
    <x v="3"/>
    <x v="1"/>
    <x v="16"/>
    <s v="Bush Birmingham Collection Bookcase, Dark Cherry"/>
    <n v="825.17"/>
    <n v="9"/>
    <n v="-117.88"/>
  </r>
  <r>
    <d v="2017-04-09T00:00:00"/>
    <x v="3"/>
    <x v="3"/>
    <x v="140"/>
    <x v="18"/>
    <x v="2"/>
    <x v="3"/>
    <s v="Telephone Message Books with Fax/Mobile Section, 4 1/4&quot; x 6&quot;"/>
    <n v="11.52"/>
    <n v="4"/>
    <n v="3.74"/>
  </r>
  <r>
    <d v="2017-04-09T00:00:00"/>
    <x v="3"/>
    <x v="3"/>
    <x v="542"/>
    <x v="5"/>
    <x v="0"/>
    <x v="2"/>
    <s v="QVS USB Car Charger 2-Port 2.1Amp for iPod/iPhone/iPad/iPad 2/iPad 3"/>
    <n v="5.56"/>
    <n v="1"/>
    <n v="1.74"/>
  </r>
  <r>
    <d v="2017-04-09T00:00:00"/>
    <x v="3"/>
    <x v="3"/>
    <x v="72"/>
    <x v="5"/>
    <x v="2"/>
    <x v="6"/>
    <s v="24 Capacity Maxi Data Binder Racks, Pearl"/>
    <n v="421.1"/>
    <n v="2"/>
    <n v="105.28"/>
  </r>
  <r>
    <d v="2017-04-09T00:00:00"/>
    <x v="3"/>
    <x v="3"/>
    <x v="538"/>
    <x v="16"/>
    <x v="2"/>
    <x v="9"/>
    <s v="Avery Trapezoid Extra Heavy Duty 4&quot; Binders"/>
    <n v="88.07"/>
    <n v="7"/>
    <n v="-58.72"/>
  </r>
  <r>
    <d v="2017-04-11T00:00:00"/>
    <x v="3"/>
    <x v="3"/>
    <x v="156"/>
    <x v="12"/>
    <x v="0"/>
    <x v="14"/>
    <s v="Cubify CubeX 3D Printer Triple Head Print"/>
    <n v="7999.98"/>
    <n v="4"/>
    <n v="-3839.99"/>
  </r>
  <r>
    <d v="2017-04-11T00:00:00"/>
    <x v="3"/>
    <x v="3"/>
    <x v="570"/>
    <x v="26"/>
    <x v="2"/>
    <x v="3"/>
    <s v="Adams Telephone Message Books, 5 1/4Â” x 11Â”"/>
    <n v="9.66"/>
    <n v="2"/>
    <n v="3.26"/>
  </r>
  <r>
    <d v="2017-04-11T00:00:00"/>
    <x v="3"/>
    <x v="3"/>
    <x v="494"/>
    <x v="12"/>
    <x v="0"/>
    <x v="2"/>
    <s v="Motorola Moto X"/>
    <n v="1359.96"/>
    <n v="5"/>
    <n v="119"/>
  </r>
  <r>
    <d v="2017-04-11T00:00:00"/>
    <x v="3"/>
    <x v="3"/>
    <x v="496"/>
    <x v="26"/>
    <x v="0"/>
    <x v="2"/>
    <s v="iOttie XL Car Mount"/>
    <n v="143.93"/>
    <n v="9"/>
    <n v="-32.380000000000003"/>
  </r>
  <r>
    <d v="2017-04-12T00:00:00"/>
    <x v="3"/>
    <x v="3"/>
    <x v="571"/>
    <x v="13"/>
    <x v="2"/>
    <x v="3"/>
    <s v="Xerox 1956"/>
    <n v="23.92"/>
    <n v="5"/>
    <n v="8.67"/>
  </r>
  <r>
    <d v="2017-04-12T00:00:00"/>
    <x v="3"/>
    <x v="3"/>
    <x v="572"/>
    <x v="7"/>
    <x v="0"/>
    <x v="0"/>
    <s v="First Data TMFD35 PIN Pad"/>
    <n v="142.80000000000001"/>
    <n v="1"/>
    <n v="29.99"/>
  </r>
  <r>
    <d v="2017-04-12T00:00:00"/>
    <x v="3"/>
    <x v="3"/>
    <x v="572"/>
    <x v="7"/>
    <x v="0"/>
    <x v="0"/>
    <s v="Logitech G430 Surround Sound Gaming Headset with Dolby 7.1 Technology"/>
    <n v="399.95"/>
    <n v="5"/>
    <n v="143.97999999999999"/>
  </r>
  <r>
    <d v="2017-04-12T00:00:00"/>
    <x v="3"/>
    <x v="3"/>
    <x v="387"/>
    <x v="8"/>
    <x v="1"/>
    <x v="5"/>
    <s v="Tensor &quot;Hersey Kiss&quot; Styled Floor Lamp"/>
    <n v="12.99"/>
    <n v="1"/>
    <n v="1.56"/>
  </r>
  <r>
    <d v="2017-05-02T00:00:00"/>
    <x v="4"/>
    <x v="3"/>
    <x v="241"/>
    <x v="5"/>
    <x v="2"/>
    <x v="10"/>
    <s v="Sanyo Counter Height Refrigerator with Crisper, 3.6 Cubic Foot, Stainless Steel/Black"/>
    <n v="1640.7"/>
    <n v="5"/>
    <n v="459.4"/>
  </r>
  <r>
    <d v="2017-05-03T00:00:00"/>
    <x v="4"/>
    <x v="3"/>
    <x v="264"/>
    <x v="0"/>
    <x v="2"/>
    <x v="8"/>
    <s v="Avery 515"/>
    <n v="25.06"/>
    <n v="2"/>
    <n v="11.78"/>
  </r>
  <r>
    <d v="2017-05-03T00:00:00"/>
    <x v="4"/>
    <x v="3"/>
    <x v="303"/>
    <x v="32"/>
    <x v="2"/>
    <x v="10"/>
    <s v="Kensington 7 Outlet MasterPiece HOMEOFFICE Power Control Center"/>
    <n v="262.24"/>
    <n v="2"/>
    <n v="78.67"/>
  </r>
  <r>
    <d v="2017-05-05T00:00:00"/>
    <x v="4"/>
    <x v="3"/>
    <x v="573"/>
    <x v="5"/>
    <x v="2"/>
    <x v="13"/>
    <s v="Peel &amp; Seel Recycled Catalog Envelopes, Brown"/>
    <n v="23.16"/>
    <n v="2"/>
    <n v="11.58"/>
  </r>
  <r>
    <d v="2017-05-08T00:00:00"/>
    <x v="4"/>
    <x v="3"/>
    <x v="47"/>
    <x v="4"/>
    <x v="2"/>
    <x v="6"/>
    <s v="Tennsco Lockers, Sand"/>
    <n v="151.06"/>
    <n v="9"/>
    <n v="7.55"/>
  </r>
  <r>
    <d v="2017-05-10T00:00:00"/>
    <x v="4"/>
    <x v="3"/>
    <x v="431"/>
    <x v="2"/>
    <x v="0"/>
    <x v="14"/>
    <s v="3D Systems Cube Printer, 2nd Generation, Magenta"/>
    <n v="5199.96"/>
    <n v="4"/>
    <n v="1351.99"/>
  </r>
  <r>
    <d v="2017-05-10T00:00:00"/>
    <x v="4"/>
    <x v="3"/>
    <x v="574"/>
    <x v="5"/>
    <x v="2"/>
    <x v="10"/>
    <s v="Hoover Replacement Belts For Soft Guard &amp; Commercial Ltweight Upright Vacs, 2/Pk"/>
    <n v="15.8"/>
    <n v="4"/>
    <n v="4.1100000000000003"/>
  </r>
  <r>
    <d v="2017-05-12T00:00:00"/>
    <x v="4"/>
    <x v="3"/>
    <x v="24"/>
    <x v="2"/>
    <x v="1"/>
    <x v="5"/>
    <s v="Seth Thomas 14&quot; Putty-Colored Wall Clock"/>
    <n v="58.68"/>
    <n v="2"/>
    <n v="18.190000000000001"/>
  </r>
  <r>
    <d v="2017-05-12T00:00:00"/>
    <x v="4"/>
    <x v="3"/>
    <x v="463"/>
    <x v="2"/>
    <x v="2"/>
    <x v="8"/>
    <s v="Self-Adhesive Removable Labels"/>
    <n v="9.4499999999999993"/>
    <n v="3"/>
    <n v="4.54"/>
  </r>
  <r>
    <d v="2017-06-02T00:00:00"/>
    <x v="5"/>
    <x v="3"/>
    <x v="521"/>
    <x v="2"/>
    <x v="2"/>
    <x v="9"/>
    <s v="Acco Recycled 2&quot; Capacity Laser Printer Hanging Data Binders"/>
    <n v="46.24"/>
    <n v="4"/>
    <n v="15.61"/>
  </r>
  <r>
    <d v="2017-06-03T00:00:00"/>
    <x v="5"/>
    <x v="3"/>
    <x v="272"/>
    <x v="5"/>
    <x v="2"/>
    <x v="9"/>
    <s v="Economy Binders"/>
    <n v="14.98"/>
    <n v="9"/>
    <n v="5.43"/>
  </r>
  <r>
    <d v="2017-06-03T00:00:00"/>
    <x v="5"/>
    <x v="3"/>
    <x v="243"/>
    <x v="5"/>
    <x v="2"/>
    <x v="6"/>
    <s v="File Shuttle II and Handi-File, Black"/>
    <n v="67.78"/>
    <n v="2"/>
    <n v="16.95"/>
  </r>
  <r>
    <d v="2017-06-05T00:00:00"/>
    <x v="5"/>
    <x v="3"/>
    <x v="116"/>
    <x v="12"/>
    <x v="2"/>
    <x v="8"/>
    <s v="Avery 4027 File Folder Labels for Dot Matrix Printers, 5000 Labels per Box, White"/>
    <n v="122.12"/>
    <n v="5"/>
    <n v="39.69"/>
  </r>
  <r>
    <d v="2017-06-06T00:00:00"/>
    <x v="5"/>
    <x v="3"/>
    <x v="81"/>
    <x v="5"/>
    <x v="1"/>
    <x v="5"/>
    <s v="Eldon 300 Class Desk Accessories, Black"/>
    <n v="4.95"/>
    <n v="1"/>
    <n v="2.1800000000000002"/>
  </r>
  <r>
    <d v="2017-06-07T00:00:00"/>
    <x v="5"/>
    <x v="3"/>
    <x v="333"/>
    <x v="13"/>
    <x v="2"/>
    <x v="3"/>
    <s v="Wirebound Message Books, 5-1/2 x 4 Forms, 2 or 4 Forms per Page"/>
    <n v="16.059999999999999"/>
    <n v="3"/>
    <n v="5.82"/>
  </r>
  <r>
    <d v="2017-06-10T00:00:00"/>
    <x v="5"/>
    <x v="3"/>
    <x v="575"/>
    <x v="2"/>
    <x v="2"/>
    <x v="3"/>
    <s v="Adams Telephone Message Book W/Dividers/Space For Phone Numbers, 5 1/4&quot;X8 1/2&quot;, 200/Messages"/>
    <n v="17.04"/>
    <n v="3"/>
    <n v="7.67"/>
  </r>
  <r>
    <d v="2017-06-10T00:00:00"/>
    <x v="5"/>
    <x v="3"/>
    <x v="163"/>
    <x v="8"/>
    <x v="2"/>
    <x v="3"/>
    <s v="Xerox 217"/>
    <n v="6.48"/>
    <n v="1"/>
    <n v="3.11"/>
  </r>
  <r>
    <d v="2017-06-11T00:00:00"/>
    <x v="5"/>
    <x v="3"/>
    <x v="576"/>
    <x v="16"/>
    <x v="2"/>
    <x v="9"/>
    <s v="Flexible Leather- Look Classic Collection Ring Binder"/>
    <n v="5.68"/>
    <n v="1"/>
    <n v="-3.79"/>
  </r>
  <r>
    <d v="2017-06-11T00:00:00"/>
    <x v="5"/>
    <x v="3"/>
    <x v="173"/>
    <x v="8"/>
    <x v="2"/>
    <x v="6"/>
    <s v="Decoflex Hanging Personal Folder File"/>
    <n v="46.26"/>
    <n v="3"/>
    <n v="12.03"/>
  </r>
  <r>
    <d v="2017-06-11T00:00:00"/>
    <x v="5"/>
    <x v="3"/>
    <x v="528"/>
    <x v="7"/>
    <x v="2"/>
    <x v="11"/>
    <s v="Newell 339"/>
    <n v="13.9"/>
    <n v="5"/>
    <n v="3.61"/>
  </r>
  <r>
    <d v="2017-07-01T00:00:00"/>
    <x v="6"/>
    <x v="3"/>
    <x v="457"/>
    <x v="5"/>
    <x v="2"/>
    <x v="6"/>
    <s v="Tennsco Commercial Shelving"/>
    <n v="61.02"/>
    <n v="3"/>
    <n v="0.61"/>
  </r>
  <r>
    <d v="2017-07-01T00:00:00"/>
    <x v="6"/>
    <x v="3"/>
    <x v="457"/>
    <x v="5"/>
    <x v="2"/>
    <x v="15"/>
    <s v="Acme Galleria Hot Forged Steel Scissors with Colored Handles"/>
    <n v="110.11"/>
    <n v="7"/>
    <n v="31.93"/>
  </r>
  <r>
    <d v="2017-07-04T00:00:00"/>
    <x v="6"/>
    <x v="3"/>
    <x v="313"/>
    <x v="11"/>
    <x v="2"/>
    <x v="9"/>
    <s v="GBC Instant Index System for Binding Systems"/>
    <n v="5.33"/>
    <n v="2"/>
    <n v="-3.55"/>
  </r>
  <r>
    <d v="2017-07-04T00:00:00"/>
    <x v="6"/>
    <x v="3"/>
    <x v="313"/>
    <x v="11"/>
    <x v="1"/>
    <x v="5"/>
    <s v="Tenex Contemporary Contur Chairmats for Low and Medium Pile Carpet, Computer, 39&quot; x 49&quot;"/>
    <n v="258.07"/>
    <n v="3"/>
    <n v="0"/>
  </r>
  <r>
    <d v="2017-07-05T00:00:00"/>
    <x v="6"/>
    <x v="3"/>
    <x v="323"/>
    <x v="10"/>
    <x v="1"/>
    <x v="1"/>
    <s v="SAFCO Optional Arm Kit for Workspace Cribbage Stacking Chair"/>
    <n v="26.64"/>
    <n v="1"/>
    <n v="7.46"/>
  </r>
  <r>
    <d v="2017-07-05T00:00:00"/>
    <x v="6"/>
    <x v="3"/>
    <x v="323"/>
    <x v="10"/>
    <x v="2"/>
    <x v="10"/>
    <s v="Belkin Premiere Surge Master II 8-outlet surge protector"/>
    <n v="87.44"/>
    <n v="2"/>
    <n v="18.46"/>
  </r>
  <r>
    <d v="2017-07-05T00:00:00"/>
    <x v="6"/>
    <x v="3"/>
    <x v="463"/>
    <x v="5"/>
    <x v="0"/>
    <x v="2"/>
    <s v="Blue Parrot B250XT Professional Grade Wireless BluetoothÂ HeadsetÂ with"/>
    <n v="419.94"/>
    <n v="7"/>
    <n v="52.49"/>
  </r>
  <r>
    <d v="2017-07-07T00:00:00"/>
    <x v="6"/>
    <x v="3"/>
    <x v="145"/>
    <x v="13"/>
    <x v="1"/>
    <x v="16"/>
    <s v="O'Sullivan 3-Shelf Heavy-Duty Bookcases"/>
    <n v="87.21"/>
    <n v="3"/>
    <n v="-45.35"/>
  </r>
  <r>
    <d v="2017-07-07T00:00:00"/>
    <x v="6"/>
    <x v="3"/>
    <x v="145"/>
    <x v="13"/>
    <x v="0"/>
    <x v="2"/>
    <s v="Apple iPhone 5S"/>
    <n v="683.99"/>
    <n v="2"/>
    <n v="-114"/>
  </r>
  <r>
    <d v="2017-07-07T00:00:00"/>
    <x v="6"/>
    <x v="3"/>
    <x v="145"/>
    <x v="13"/>
    <x v="2"/>
    <x v="6"/>
    <s v="Plastic Stacking Crates &amp; Casters"/>
    <n v="13.39"/>
    <n v="3"/>
    <n v="1"/>
  </r>
  <r>
    <d v="2017-07-07T00:00:00"/>
    <x v="6"/>
    <x v="3"/>
    <x v="145"/>
    <x v="13"/>
    <x v="0"/>
    <x v="0"/>
    <s v="Plantronics CS510 - Over-the-Head monaural Wireless Headset System"/>
    <n v="527.91999999999996"/>
    <n v="2"/>
    <n v="85.79"/>
  </r>
  <r>
    <d v="2017-07-08T00:00:00"/>
    <x v="6"/>
    <x v="3"/>
    <x v="577"/>
    <x v="2"/>
    <x v="2"/>
    <x v="11"/>
    <s v="Quartet Omega Colored Chalk, 12/Pack"/>
    <n v="11.68"/>
    <n v="2"/>
    <n v="5.49"/>
  </r>
  <r>
    <d v="2017-07-08T00:00:00"/>
    <x v="6"/>
    <x v="3"/>
    <x v="248"/>
    <x v="5"/>
    <x v="2"/>
    <x v="9"/>
    <s v="Avery Printable Repositionable Plastic Tabs"/>
    <n v="13.76"/>
    <n v="2"/>
    <n v="4.6399999999999997"/>
  </r>
  <r>
    <d v="2017-07-08T00:00:00"/>
    <x v="6"/>
    <x v="3"/>
    <x v="507"/>
    <x v="5"/>
    <x v="0"/>
    <x v="2"/>
    <s v="Polycom VoiceStation 500 ConferenceÂ phone"/>
    <n v="707.88"/>
    <n v="3"/>
    <n v="44.24"/>
  </r>
  <r>
    <d v="2017-07-08T00:00:00"/>
    <x v="6"/>
    <x v="3"/>
    <x v="507"/>
    <x v="5"/>
    <x v="1"/>
    <x v="1"/>
    <s v="Global Enterprise Series Seating Low-Back Swivel/Tilt Chairs"/>
    <n v="207.18"/>
    <n v="1"/>
    <n v="25.9"/>
  </r>
  <r>
    <d v="2017-07-09T00:00:00"/>
    <x v="6"/>
    <x v="3"/>
    <x v="48"/>
    <x v="21"/>
    <x v="1"/>
    <x v="5"/>
    <s v="DAX Copper Panel Document Frame, 5 x 7 Size"/>
    <n v="25.16"/>
    <n v="2"/>
    <n v="10.57"/>
  </r>
  <r>
    <d v="2017-07-09T00:00:00"/>
    <x v="6"/>
    <x v="3"/>
    <x v="48"/>
    <x v="21"/>
    <x v="0"/>
    <x v="2"/>
    <s v="Motorla HX550 Universal Bluetooth Headset"/>
    <n v="126.56"/>
    <n v="4"/>
    <n v="47.46"/>
  </r>
  <r>
    <d v="2017-07-09T00:00:00"/>
    <x v="6"/>
    <x v="3"/>
    <x v="469"/>
    <x v="1"/>
    <x v="2"/>
    <x v="11"/>
    <s v="Boston 1799 Powerhouse Electric Pencil Sharpener"/>
    <n v="25.98"/>
    <n v="1"/>
    <n v="7.27"/>
  </r>
  <r>
    <d v="2017-07-10T00:00:00"/>
    <x v="6"/>
    <x v="3"/>
    <x v="33"/>
    <x v="4"/>
    <x v="2"/>
    <x v="9"/>
    <s v="Storex DuraTech Recycled Plastic Frosted Binders"/>
    <n v="4.24"/>
    <n v="5"/>
    <n v="-6.36"/>
  </r>
  <r>
    <d v="2017-07-11T00:00:00"/>
    <x v="6"/>
    <x v="3"/>
    <x v="185"/>
    <x v="2"/>
    <x v="0"/>
    <x v="0"/>
    <s v="Maxell CD-R Discs"/>
    <n v="7.88"/>
    <n v="4"/>
    <n v="2.52"/>
  </r>
  <r>
    <d v="2017-07-12T00:00:00"/>
    <x v="6"/>
    <x v="3"/>
    <x v="578"/>
    <x v="3"/>
    <x v="2"/>
    <x v="9"/>
    <s v="Ibico EPK-21 Electric Binding System"/>
    <n v="1889.99"/>
    <n v="5"/>
    <n v="-2929.48"/>
  </r>
  <r>
    <d v="2017-07-12T00:00:00"/>
    <x v="6"/>
    <x v="3"/>
    <x v="214"/>
    <x v="32"/>
    <x v="2"/>
    <x v="10"/>
    <s v="Eureka The Boss Lite 10-Amp Upright Vacuum, Blue"/>
    <n v="320.64"/>
    <n v="4"/>
    <n v="89.78"/>
  </r>
  <r>
    <d v="2017-07-12T00:00:00"/>
    <x v="6"/>
    <x v="3"/>
    <x v="93"/>
    <x v="5"/>
    <x v="2"/>
    <x v="3"/>
    <s v="REDIFORM Incoming/Outgoing Call Register, 11&quot; X 8 1/2&quot;, 100 Messages"/>
    <n v="50.04"/>
    <n v="6"/>
    <n v="25.02"/>
  </r>
  <r>
    <d v="2017-08-03T00:00:00"/>
    <x v="7"/>
    <x v="3"/>
    <x v="579"/>
    <x v="19"/>
    <x v="2"/>
    <x v="10"/>
    <s v="Belkin 8 Outlet SurgeMaster II Gold Surge Protector with Phone Protection"/>
    <n v="647.84"/>
    <n v="8"/>
    <n v="168.44"/>
  </r>
  <r>
    <d v="2017-08-03T00:00:00"/>
    <x v="7"/>
    <x v="3"/>
    <x v="579"/>
    <x v="19"/>
    <x v="2"/>
    <x v="8"/>
    <s v="Avery Address/Shipping Labels for Typewriters, 4&quot; x 2&quot;"/>
    <n v="20.7"/>
    <n v="2"/>
    <n v="9.94"/>
  </r>
  <r>
    <d v="2017-08-03T00:00:00"/>
    <x v="7"/>
    <x v="3"/>
    <x v="389"/>
    <x v="5"/>
    <x v="2"/>
    <x v="11"/>
    <s v="Newell 323"/>
    <n v="3.36"/>
    <n v="2"/>
    <n v="0.87"/>
  </r>
  <r>
    <d v="2017-08-06T00:00:00"/>
    <x v="7"/>
    <x v="3"/>
    <x v="12"/>
    <x v="4"/>
    <x v="2"/>
    <x v="10"/>
    <s v="Eureka Disposable Bags for Sanitaire Vibra Groomer I Upright Vac"/>
    <n v="1.62"/>
    <n v="2"/>
    <n v="-4.47"/>
  </r>
  <r>
    <d v="2017-08-06T00:00:00"/>
    <x v="7"/>
    <x v="3"/>
    <x v="580"/>
    <x v="4"/>
    <x v="2"/>
    <x v="15"/>
    <s v="Acme Tagit Stainless Steel Antibacterial Scissors"/>
    <n v="23.76"/>
    <n v="3"/>
    <n v="2.08"/>
  </r>
  <r>
    <d v="2017-08-06T00:00:00"/>
    <x v="7"/>
    <x v="3"/>
    <x v="580"/>
    <x v="4"/>
    <x v="0"/>
    <x v="2"/>
    <s v="ClearOne Communications CHAT 70 OCÂ Speaker Phone"/>
    <n v="381.58"/>
    <n v="3"/>
    <n v="28.62"/>
  </r>
  <r>
    <d v="2017-08-06T00:00:00"/>
    <x v="7"/>
    <x v="3"/>
    <x v="217"/>
    <x v="23"/>
    <x v="2"/>
    <x v="9"/>
    <s v="GBC VeloBinder Electric Binding Machine"/>
    <n v="72.59"/>
    <n v="2"/>
    <n v="-48.39"/>
  </r>
  <r>
    <d v="2017-08-07T00:00:00"/>
    <x v="7"/>
    <x v="3"/>
    <x v="581"/>
    <x v="6"/>
    <x v="2"/>
    <x v="11"/>
    <s v="Binney &amp; Smith inkTank Erasable Desk Highlighter, Chisel Tip, Yellow, 12/Box"/>
    <n v="7.56"/>
    <n v="3"/>
    <n v="3.1"/>
  </r>
  <r>
    <d v="2017-08-07T00:00:00"/>
    <x v="7"/>
    <x v="3"/>
    <x v="196"/>
    <x v="5"/>
    <x v="2"/>
    <x v="8"/>
    <s v="Avery 485"/>
    <n v="75.180000000000007"/>
    <n v="6"/>
    <n v="35.33"/>
  </r>
  <r>
    <d v="2017-08-07T00:00:00"/>
    <x v="7"/>
    <x v="3"/>
    <x v="490"/>
    <x v="37"/>
    <x v="1"/>
    <x v="5"/>
    <s v="Tensor Track Tree Floor Lamp"/>
    <n v="39.979999999999997"/>
    <n v="2"/>
    <n v="9.1999999999999993"/>
  </r>
  <r>
    <d v="2017-08-07T00:00:00"/>
    <x v="7"/>
    <x v="3"/>
    <x v="490"/>
    <x v="37"/>
    <x v="2"/>
    <x v="11"/>
    <s v="Newell 325"/>
    <n v="28.91"/>
    <n v="7"/>
    <n v="8.67"/>
  </r>
  <r>
    <d v="2017-08-09T00:00:00"/>
    <x v="7"/>
    <x v="3"/>
    <x v="263"/>
    <x v="18"/>
    <x v="0"/>
    <x v="0"/>
    <s v="ImationÂ SwivelÂ Flash DriveÂ USBÂ flash driveÂ - 8 GB"/>
    <n v="9.1"/>
    <n v="1"/>
    <n v="1.71"/>
  </r>
  <r>
    <d v="2017-08-09T00:00:00"/>
    <x v="7"/>
    <x v="3"/>
    <x v="421"/>
    <x v="4"/>
    <x v="0"/>
    <x v="0"/>
    <s v="Memorex Froggy Flash Drive 8 GB"/>
    <n v="85.2"/>
    <n v="6"/>
    <n v="20.239999999999998"/>
  </r>
  <r>
    <d v="2017-08-11T00:00:00"/>
    <x v="7"/>
    <x v="3"/>
    <x v="582"/>
    <x v="2"/>
    <x v="2"/>
    <x v="11"/>
    <s v="Panasonic KP-310 Heavy-Duty Electric Pencil Sharpener"/>
    <n v="109.9"/>
    <n v="5"/>
    <n v="32.97"/>
  </r>
  <r>
    <d v="2017-08-11T00:00:00"/>
    <x v="7"/>
    <x v="3"/>
    <x v="269"/>
    <x v="24"/>
    <x v="1"/>
    <x v="5"/>
    <s v="Howard Miller Distant Time Traveler Alarm Clock"/>
    <n v="274.2"/>
    <n v="10"/>
    <n v="112.42"/>
  </r>
  <r>
    <d v="2017-08-12T00:00:00"/>
    <x v="7"/>
    <x v="3"/>
    <x v="137"/>
    <x v="5"/>
    <x v="2"/>
    <x v="3"/>
    <s v="Wirebound Service Call Books, 5 1/2&quot; x 4&quot;"/>
    <n v="9.68"/>
    <n v="1"/>
    <n v="4.6500000000000004"/>
  </r>
  <r>
    <d v="2017-08-12T00:00:00"/>
    <x v="7"/>
    <x v="3"/>
    <x v="150"/>
    <x v="2"/>
    <x v="1"/>
    <x v="5"/>
    <s v="C-Line Cubicle Keepers Polyproplyene Holder w/Velcro Back, 8-1/2x11, 25/Bx"/>
    <n v="109.48"/>
    <n v="2"/>
    <n v="33.94"/>
  </r>
  <r>
    <d v="2017-08-12T00:00:00"/>
    <x v="7"/>
    <x v="3"/>
    <x v="150"/>
    <x v="2"/>
    <x v="2"/>
    <x v="6"/>
    <s v="Safco Industrial Wire Shelving System"/>
    <n v="272.94"/>
    <n v="3"/>
    <n v="0"/>
  </r>
  <r>
    <d v="2017-08-12T00:00:00"/>
    <x v="7"/>
    <x v="3"/>
    <x v="352"/>
    <x v="5"/>
    <x v="1"/>
    <x v="5"/>
    <s v="Tenex Traditional Chairmats for Hard Floors, Average Lip, 36&quot; x 48&quot;"/>
    <n v="128.9"/>
    <n v="2"/>
    <n v="15.47"/>
  </r>
  <r>
    <d v="2017-08-12T00:00:00"/>
    <x v="7"/>
    <x v="3"/>
    <x v="352"/>
    <x v="5"/>
    <x v="2"/>
    <x v="3"/>
    <s v="Xerox 1968"/>
    <n v="60.12"/>
    <n v="9"/>
    <n v="28.86"/>
  </r>
  <r>
    <d v="2017-08-12T00:00:00"/>
    <x v="7"/>
    <x v="3"/>
    <x v="340"/>
    <x v="5"/>
    <x v="2"/>
    <x v="10"/>
    <s v="Belkin 8-Outlet Premiere SurgeMaster II Surge Protectors"/>
    <n v="69.48"/>
    <n v="1"/>
    <n v="20.84"/>
  </r>
  <r>
    <d v="2017-08-12T00:00:00"/>
    <x v="7"/>
    <x v="3"/>
    <x v="583"/>
    <x v="5"/>
    <x v="2"/>
    <x v="3"/>
    <s v="Standard Line Â“While You Were OutÂ” Hardbound Telephone Message Book"/>
    <n v="87.92"/>
    <n v="4"/>
    <n v="40.44"/>
  </r>
  <r>
    <d v="2017-08-12T00:00:00"/>
    <x v="7"/>
    <x v="3"/>
    <x v="407"/>
    <x v="13"/>
    <x v="0"/>
    <x v="2"/>
    <s v="iHome FM Clock Radio with Lightning Dock"/>
    <n v="83.99"/>
    <n v="2"/>
    <n v="-21"/>
  </r>
  <r>
    <d v="2017-09-02T00:00:00"/>
    <x v="8"/>
    <x v="3"/>
    <x v="584"/>
    <x v="4"/>
    <x v="1"/>
    <x v="5"/>
    <s v="Stacking Trays by OIC"/>
    <n v="3.98"/>
    <n v="2"/>
    <n v="-2.69"/>
  </r>
  <r>
    <d v="2017-09-04T00:00:00"/>
    <x v="8"/>
    <x v="3"/>
    <x v="585"/>
    <x v="2"/>
    <x v="2"/>
    <x v="8"/>
    <s v="Color-Coded Legal Exhibit Labels"/>
    <n v="9.82"/>
    <n v="2"/>
    <n v="4.8099999999999996"/>
  </r>
  <r>
    <d v="2017-09-04T00:00:00"/>
    <x v="8"/>
    <x v="3"/>
    <x v="585"/>
    <x v="2"/>
    <x v="2"/>
    <x v="3"/>
    <s v="Computer Printout Paper with Letter-Trim Fine Perforations"/>
    <n v="191.6"/>
    <n v="4"/>
    <n v="91.97"/>
  </r>
  <r>
    <d v="2017-09-04T00:00:00"/>
    <x v="8"/>
    <x v="3"/>
    <x v="585"/>
    <x v="2"/>
    <x v="2"/>
    <x v="6"/>
    <s v="Office Impressions Heavy Duty Welded Shelving &amp; Multimedia Storage Drawers"/>
    <n v="501.81"/>
    <n v="3"/>
    <n v="0"/>
  </r>
  <r>
    <d v="2017-09-04T00:00:00"/>
    <x v="8"/>
    <x v="3"/>
    <x v="586"/>
    <x v="11"/>
    <x v="2"/>
    <x v="8"/>
    <s v="Avery 48"/>
    <n v="15.12"/>
    <n v="3"/>
    <n v="4.91"/>
  </r>
  <r>
    <d v="2017-09-05T00:00:00"/>
    <x v="8"/>
    <x v="3"/>
    <x v="449"/>
    <x v="1"/>
    <x v="2"/>
    <x v="6"/>
    <s v="Home/Office Personal File Carts"/>
    <n v="104.28"/>
    <n v="3"/>
    <n v="26.07"/>
  </r>
  <r>
    <d v="2017-09-09T00:00:00"/>
    <x v="8"/>
    <x v="3"/>
    <x v="201"/>
    <x v="13"/>
    <x v="0"/>
    <x v="2"/>
    <s v="Samsung Galaxy Note 2"/>
    <n v="1931.96"/>
    <n v="7"/>
    <n v="-386.39"/>
  </r>
  <r>
    <d v="2017-09-09T00:00:00"/>
    <x v="8"/>
    <x v="3"/>
    <x v="176"/>
    <x v="29"/>
    <x v="2"/>
    <x v="6"/>
    <s v="Fellowes Officeware Wire Shelving"/>
    <n v="628.80999999999995"/>
    <n v="7"/>
    <n v="12.58"/>
  </r>
  <r>
    <d v="2017-09-09T00:00:00"/>
    <x v="8"/>
    <x v="3"/>
    <x v="233"/>
    <x v="23"/>
    <x v="2"/>
    <x v="3"/>
    <s v="Unpadded Memo Slips"/>
    <n v="6.37"/>
    <n v="2"/>
    <n v="2.39"/>
  </r>
  <r>
    <d v="2017-09-09T00:00:00"/>
    <x v="8"/>
    <x v="3"/>
    <x v="57"/>
    <x v="5"/>
    <x v="2"/>
    <x v="11"/>
    <s v="Newell 35"/>
    <n v="6.56"/>
    <n v="2"/>
    <n v="1.9"/>
  </r>
  <r>
    <d v="2017-09-09T00:00:00"/>
    <x v="8"/>
    <x v="3"/>
    <x v="34"/>
    <x v="5"/>
    <x v="0"/>
    <x v="0"/>
    <s v="Microsoft Wireless Mobile Mouse 4000"/>
    <n v="159.96"/>
    <n v="4"/>
    <n v="51.19"/>
  </r>
  <r>
    <d v="2017-09-09T00:00:00"/>
    <x v="8"/>
    <x v="3"/>
    <x v="110"/>
    <x v="18"/>
    <x v="2"/>
    <x v="9"/>
    <s v="Acco Data Flex Cable Posts For Top &amp; Bottom Load Binders, 6&quot; Capacity"/>
    <n v="6.26"/>
    <n v="2"/>
    <n v="-5.22"/>
  </r>
  <r>
    <d v="2017-09-10T00:00:00"/>
    <x v="8"/>
    <x v="3"/>
    <x v="587"/>
    <x v="2"/>
    <x v="2"/>
    <x v="3"/>
    <s v="TOPS 4 x 6 Fluorescent Color Memo Sheets, 500 Sheets per Pack"/>
    <n v="18.98"/>
    <n v="2"/>
    <n v="8.92"/>
  </r>
  <r>
    <d v="2017-09-10T00:00:00"/>
    <x v="8"/>
    <x v="3"/>
    <x v="194"/>
    <x v="4"/>
    <x v="1"/>
    <x v="1"/>
    <s v="Hon Every-Day Chair Series Swivel Task Chairs"/>
    <n v="254.06"/>
    <n v="3"/>
    <n v="-32.659999999999997"/>
  </r>
  <r>
    <d v="2017-09-10T00:00:00"/>
    <x v="8"/>
    <x v="3"/>
    <x v="163"/>
    <x v="5"/>
    <x v="2"/>
    <x v="3"/>
    <s v="Wirebound Message Books, 2 7/8&quot; x 5&quot;, 3 Forms per Page"/>
    <n v="35.200000000000003"/>
    <n v="5"/>
    <n v="16.54"/>
  </r>
  <r>
    <d v="2017-09-12T00:00:00"/>
    <x v="8"/>
    <x v="3"/>
    <x v="458"/>
    <x v="18"/>
    <x v="2"/>
    <x v="13"/>
    <s v="Recycled Interoffice Envelopes with String and Button Closure, 10 x 13"/>
    <n v="57.58"/>
    <n v="3"/>
    <n v="21.59"/>
  </r>
  <r>
    <d v="2017-09-12T00:00:00"/>
    <x v="8"/>
    <x v="3"/>
    <x v="487"/>
    <x v="10"/>
    <x v="0"/>
    <x v="0"/>
    <s v="Maxell Pro 80 Minute CD-R, 10/Pack"/>
    <n v="104.88"/>
    <n v="6"/>
    <n v="41.95"/>
  </r>
  <r>
    <d v="2017-09-12T00:00:00"/>
    <x v="8"/>
    <x v="3"/>
    <x v="487"/>
    <x v="10"/>
    <x v="2"/>
    <x v="11"/>
    <s v="BIC Liqua Brite Liner"/>
    <n v="34.700000000000003"/>
    <n v="5"/>
    <n v="12.49"/>
  </r>
  <r>
    <d v="2017-09-12T00:00:00"/>
    <x v="8"/>
    <x v="3"/>
    <x v="370"/>
    <x v="5"/>
    <x v="2"/>
    <x v="10"/>
    <s v="Harmony Air Purifier"/>
    <n v="189"/>
    <n v="1"/>
    <n v="68.040000000000006"/>
  </r>
  <r>
    <d v="2017-09-12T00:00:00"/>
    <x v="8"/>
    <x v="3"/>
    <x v="282"/>
    <x v="10"/>
    <x v="2"/>
    <x v="9"/>
    <s v="GBC Imprintable Covers"/>
    <n v="54.9"/>
    <n v="5"/>
    <n v="26.9"/>
  </r>
  <r>
    <d v="2017-10-04T00:00:00"/>
    <x v="9"/>
    <x v="3"/>
    <x v="79"/>
    <x v="13"/>
    <x v="2"/>
    <x v="10"/>
    <s v="Tripp Lite Isotel 6 Outlet Surge Protector with Fax/Modem Protection"/>
    <n v="195.1"/>
    <n v="4"/>
    <n v="21.95"/>
  </r>
  <r>
    <d v="2017-10-06T00:00:00"/>
    <x v="9"/>
    <x v="3"/>
    <x v="276"/>
    <x v="5"/>
    <x v="2"/>
    <x v="11"/>
    <s v="Newell 351"/>
    <n v="16.399999999999999"/>
    <n v="5"/>
    <n v="4.76"/>
  </r>
  <r>
    <d v="2017-10-06T00:00:00"/>
    <x v="9"/>
    <x v="3"/>
    <x v="588"/>
    <x v="5"/>
    <x v="2"/>
    <x v="11"/>
    <s v="Sanford EarthWrite Recycled Pencils, Medium Soft, #2"/>
    <n v="14.7"/>
    <n v="7"/>
    <n v="4.12"/>
  </r>
  <r>
    <d v="2017-10-07T00:00:00"/>
    <x v="9"/>
    <x v="3"/>
    <x v="341"/>
    <x v="19"/>
    <x v="1"/>
    <x v="5"/>
    <s v="Eldon 200 Class Desk Accessories, Smoke"/>
    <n v="18.84"/>
    <n v="3"/>
    <n v="7.91"/>
  </r>
  <r>
    <d v="2017-10-09T00:00:00"/>
    <x v="9"/>
    <x v="3"/>
    <x v="589"/>
    <x v="22"/>
    <x v="2"/>
    <x v="10"/>
    <s v="Acco 6 Outlet Guardian Standard Surge Suppressor"/>
    <n v="24.18"/>
    <n v="2"/>
    <n v="7.25"/>
  </r>
  <r>
    <d v="2017-10-09T00:00:00"/>
    <x v="9"/>
    <x v="3"/>
    <x v="59"/>
    <x v="2"/>
    <x v="2"/>
    <x v="3"/>
    <s v="Rediform S.O.S. 1-Up Phone Message Bk, 4-1/4x3-1/16 Bk, 1 Form/Pg, 40 Messages/Bk, 3/Pk"/>
    <n v="18.760000000000002"/>
    <n v="2"/>
    <n v="9"/>
  </r>
  <r>
    <d v="2017-10-09T00:00:00"/>
    <x v="9"/>
    <x v="3"/>
    <x v="180"/>
    <x v="19"/>
    <x v="2"/>
    <x v="9"/>
    <s v="Wilson Jones Suede Grain Vinyl Binders"/>
    <n v="2.78"/>
    <n v="1"/>
    <n v="1.36"/>
  </r>
  <r>
    <d v="2017-10-11T00:00:00"/>
    <x v="9"/>
    <x v="3"/>
    <x v="590"/>
    <x v="23"/>
    <x v="0"/>
    <x v="14"/>
    <s v="DYMO CardScan Personal V9 Business Card Scanner"/>
    <n v="95.99"/>
    <n v="2"/>
    <n v="-64"/>
  </r>
  <r>
    <d v="2017-10-11T00:00:00"/>
    <x v="9"/>
    <x v="3"/>
    <x v="154"/>
    <x v="2"/>
    <x v="2"/>
    <x v="9"/>
    <s v="Fellowes PB300 Plastic Comb Binding Machine"/>
    <n v="931.18"/>
    <n v="3"/>
    <n v="314.27"/>
  </r>
  <r>
    <d v="2017-10-11T00:00:00"/>
    <x v="9"/>
    <x v="3"/>
    <x v="591"/>
    <x v="5"/>
    <x v="2"/>
    <x v="11"/>
    <s v="12 Colored Short Pencils"/>
    <n v="7.8"/>
    <n v="3"/>
    <n v="2.11"/>
  </r>
  <r>
    <d v="2017-10-11T00:00:00"/>
    <x v="9"/>
    <x v="3"/>
    <x v="373"/>
    <x v="5"/>
    <x v="0"/>
    <x v="0"/>
    <s v="Memorex Mini Travel Drive 16 GB USB 2.0 Flash Drive"/>
    <n v="111.79"/>
    <n v="7"/>
    <n v="43.6"/>
  </r>
  <r>
    <d v="2017-10-12T00:00:00"/>
    <x v="9"/>
    <x v="3"/>
    <x v="592"/>
    <x v="1"/>
    <x v="2"/>
    <x v="11"/>
    <s v="Col-Erase Pencils with Erasers"/>
    <n v="18.239999999999998"/>
    <n v="3"/>
    <n v="5.29"/>
  </r>
  <r>
    <d v="2017-11-03T00:00:00"/>
    <x v="10"/>
    <x v="3"/>
    <x v="407"/>
    <x v="10"/>
    <x v="2"/>
    <x v="9"/>
    <s v="GBC DocuBind TL200 Manual Binding Machine"/>
    <n v="895.92"/>
    <n v="4"/>
    <n v="421.08"/>
  </r>
  <r>
    <d v="2017-11-03T00:00:00"/>
    <x v="10"/>
    <x v="3"/>
    <x v="550"/>
    <x v="13"/>
    <x v="2"/>
    <x v="6"/>
    <s v="Desktop 3-Pocket Hot File"/>
    <n v="43.28"/>
    <n v="1"/>
    <n v="3.25"/>
  </r>
  <r>
    <d v="2017-11-03T00:00:00"/>
    <x v="10"/>
    <x v="3"/>
    <x v="274"/>
    <x v="6"/>
    <x v="1"/>
    <x v="5"/>
    <s v="Executive Impressions 16-1/2&quot; Circular Wall Clock"/>
    <n v="26.72"/>
    <n v="1"/>
    <n v="11.76"/>
  </r>
  <r>
    <d v="2017-11-04T00:00:00"/>
    <x v="10"/>
    <x v="3"/>
    <x v="282"/>
    <x v="5"/>
    <x v="2"/>
    <x v="11"/>
    <s v="Dixon Ticonderoga Erasable Colored Pencil Set, 12-Color"/>
    <n v="41.86"/>
    <n v="7"/>
    <n v="14.23"/>
  </r>
  <r>
    <d v="2017-11-05T00:00:00"/>
    <x v="10"/>
    <x v="3"/>
    <x v="58"/>
    <x v="4"/>
    <x v="2"/>
    <x v="11"/>
    <s v="Newell 348"/>
    <n v="5.25"/>
    <n v="2"/>
    <n v="0.59"/>
  </r>
  <r>
    <d v="2017-11-05T00:00:00"/>
    <x v="10"/>
    <x v="3"/>
    <x v="58"/>
    <x v="4"/>
    <x v="2"/>
    <x v="3"/>
    <s v="Xerox 1927"/>
    <n v="6.85"/>
    <n v="2"/>
    <n v="2.14"/>
  </r>
  <r>
    <d v="2017-11-05T00:00:00"/>
    <x v="10"/>
    <x v="3"/>
    <x v="508"/>
    <x v="2"/>
    <x v="2"/>
    <x v="11"/>
    <s v="Panasonic KP-4ABK Battery-Operated Pencil Sharpener"/>
    <n v="43.92"/>
    <n v="3"/>
    <n v="12.74"/>
  </r>
  <r>
    <d v="2017-11-06T00:00:00"/>
    <x v="10"/>
    <x v="3"/>
    <x v="160"/>
    <x v="23"/>
    <x v="1"/>
    <x v="1"/>
    <s v="Global Leather Executive Chair"/>
    <n v="280.79000000000002"/>
    <n v="1"/>
    <n v="35.1"/>
  </r>
  <r>
    <d v="2017-11-06T00:00:00"/>
    <x v="10"/>
    <x v="3"/>
    <x v="68"/>
    <x v="1"/>
    <x v="0"/>
    <x v="14"/>
    <s v="Cisco Desktop Collaboration Experience DX650 IP Video Phone"/>
    <n v="385.8"/>
    <n v="5"/>
    <n v="130.21"/>
  </r>
  <r>
    <d v="2017-11-07T00:00:00"/>
    <x v="10"/>
    <x v="3"/>
    <x v="268"/>
    <x v="5"/>
    <x v="0"/>
    <x v="2"/>
    <s v="Belkin iPhone and iPad Lightning Cable"/>
    <n v="71.95"/>
    <n v="6"/>
    <n v="5.4"/>
  </r>
  <r>
    <d v="2017-11-12T00:00:00"/>
    <x v="10"/>
    <x v="3"/>
    <x v="233"/>
    <x v="13"/>
    <x v="1"/>
    <x v="1"/>
    <s v="Leather Task Chair, Black"/>
    <n v="63.69"/>
    <n v="1"/>
    <n v="-9.1"/>
  </r>
  <r>
    <d v="2017-11-12T00:00:00"/>
    <x v="10"/>
    <x v="3"/>
    <x v="177"/>
    <x v="4"/>
    <x v="2"/>
    <x v="10"/>
    <s v="Hoover Commercial Lightweight Upright Vacuum"/>
    <n v="1.39"/>
    <n v="2"/>
    <n v="-3.76"/>
  </r>
  <r>
    <d v="2017-11-12T00:00:00"/>
    <x v="10"/>
    <x v="3"/>
    <x v="593"/>
    <x v="43"/>
    <x v="2"/>
    <x v="13"/>
    <s v="Pastel Pink Envelopes"/>
    <n v="7.28"/>
    <n v="1"/>
    <n v="3.49"/>
  </r>
  <r>
    <d v="2017-12-04T00:00:00"/>
    <x v="11"/>
    <x v="3"/>
    <x v="419"/>
    <x v="40"/>
    <x v="2"/>
    <x v="3"/>
    <s v="Xerox 1948"/>
    <n v="39.96"/>
    <n v="4"/>
    <n v="17.98"/>
  </r>
  <r>
    <d v="2017-12-05T00:00:00"/>
    <x v="11"/>
    <x v="3"/>
    <x v="246"/>
    <x v="6"/>
    <x v="2"/>
    <x v="3"/>
    <s v="TOPS Carbonless Receipt Book, Four 2-3/4 x 7-1/4 Money Receipts per Page"/>
    <n v="87.6"/>
    <n v="5"/>
    <n v="42.05"/>
  </r>
  <r>
    <d v="2017-12-05T00:00:00"/>
    <x v="11"/>
    <x v="3"/>
    <x v="344"/>
    <x v="18"/>
    <x v="2"/>
    <x v="11"/>
    <s v="Newell 347"/>
    <n v="10.27"/>
    <n v="3"/>
    <n v="1.1599999999999999"/>
  </r>
  <r>
    <d v="2017-12-05T00:00:00"/>
    <x v="11"/>
    <x v="3"/>
    <x v="275"/>
    <x v="5"/>
    <x v="2"/>
    <x v="10"/>
    <s v="Hoover Commercial Soft Guard Upright Vacuum And Disposable Filtration Bags"/>
    <n v="7.77"/>
    <n v="1"/>
    <n v="2.1"/>
  </r>
  <r>
    <d v="2017-12-05T00:00:00"/>
    <x v="11"/>
    <x v="3"/>
    <x v="434"/>
    <x v="8"/>
    <x v="1"/>
    <x v="5"/>
    <s v="DAX Cubicle Frames, 8-1/2 x 11"/>
    <n v="42.85"/>
    <n v="5"/>
    <n v="15.43"/>
  </r>
  <r>
    <d v="2017-12-06T00:00:00"/>
    <x v="11"/>
    <x v="3"/>
    <x v="157"/>
    <x v="2"/>
    <x v="2"/>
    <x v="3"/>
    <s v="TOPS Voice Message Log Book, Flash Format"/>
    <n v="19.04"/>
    <n v="4"/>
    <n v="9.33"/>
  </r>
  <r>
    <d v="2017-12-06T00:00:00"/>
    <x v="11"/>
    <x v="3"/>
    <x v="594"/>
    <x v="11"/>
    <x v="1"/>
    <x v="5"/>
    <s v="Dana Swing-Arm Lamps"/>
    <n v="17.09"/>
    <n v="2"/>
    <n v="1.07"/>
  </r>
  <r>
    <d v="2017-12-06T00:00:00"/>
    <x v="11"/>
    <x v="3"/>
    <x v="595"/>
    <x v="1"/>
    <x v="2"/>
    <x v="3"/>
    <s v="Xerox 203"/>
    <n v="19.440000000000001"/>
    <n v="3"/>
    <n v="9.33"/>
  </r>
  <r>
    <d v="2017-12-08T00:00:00"/>
    <x v="11"/>
    <x v="3"/>
    <x v="356"/>
    <x v="24"/>
    <x v="1"/>
    <x v="1"/>
    <s v="Hon 4700 Series Mobuis Mid-Back Task Chairs with Adjustable Arms"/>
    <n v="1779.9"/>
    <n v="5"/>
    <n v="373.78"/>
  </r>
  <r>
    <d v="2017-12-08T00:00:00"/>
    <x v="11"/>
    <x v="3"/>
    <x v="391"/>
    <x v="1"/>
    <x v="2"/>
    <x v="3"/>
    <s v="Xerox 1937"/>
    <n v="192.16"/>
    <n v="4"/>
    <n v="92.24"/>
  </r>
  <r>
    <d v="2017-12-08T00:00:00"/>
    <x v="11"/>
    <x v="3"/>
    <x v="391"/>
    <x v="1"/>
    <x v="0"/>
    <x v="0"/>
    <s v="Perixx PERIBOARD-512B, Ergonomic Split Keyboard"/>
    <n v="174.95"/>
    <n v="5"/>
    <n v="12.25"/>
  </r>
  <r>
    <d v="2017-12-10T00:00:00"/>
    <x v="11"/>
    <x v="3"/>
    <x v="596"/>
    <x v="12"/>
    <x v="2"/>
    <x v="3"/>
    <s v="Xerox 1989"/>
    <n v="7.97"/>
    <n v="2"/>
    <n v="2.69"/>
  </r>
  <r>
    <d v="2017-12-10T00:00:00"/>
    <x v="11"/>
    <x v="3"/>
    <x v="597"/>
    <x v="5"/>
    <x v="0"/>
    <x v="0"/>
    <s v="Maxell 4.7GB DVD-R 5/Pack"/>
    <n v="0.99"/>
    <n v="1"/>
    <n v="0.44"/>
  </r>
  <r>
    <d v="2017-12-10T00:00:00"/>
    <x v="11"/>
    <x v="3"/>
    <x v="598"/>
    <x v="8"/>
    <x v="1"/>
    <x v="16"/>
    <s v="Global Adaptabilites Bookcase, Cherry/Storm Gray Finish"/>
    <n v="2154.9"/>
    <n v="5"/>
    <n v="129.29"/>
  </r>
  <r>
    <d v="2017-12-10T00:00:00"/>
    <x v="11"/>
    <x v="3"/>
    <x v="222"/>
    <x v="4"/>
    <x v="0"/>
    <x v="2"/>
    <s v="Clarity 53712"/>
    <n v="369.54"/>
    <n v="7"/>
    <n v="27.72"/>
  </r>
  <r>
    <d v="2017-12-11T00:00:00"/>
    <x v="11"/>
    <x v="3"/>
    <x v="599"/>
    <x v="18"/>
    <x v="0"/>
    <x v="0"/>
    <s v="Verbatim 25 GB 6x Blu-ray Single Layer Recordable Disc, 10/Pack"/>
    <n v="18.54"/>
    <n v="2"/>
    <n v="3.01"/>
  </r>
  <r>
    <d v="2017-12-11T00:00:00"/>
    <x v="11"/>
    <x v="3"/>
    <x v="345"/>
    <x v="1"/>
    <x v="2"/>
    <x v="11"/>
    <s v="Dixon Ticonderoga Maple Cedar Pencil, #2"/>
    <n v="9.2100000000000009"/>
    <n v="3"/>
    <n v="2.2999999999999998"/>
  </r>
  <r>
    <d v="2017-12-11T00:00:00"/>
    <x v="11"/>
    <x v="3"/>
    <x v="159"/>
    <x v="5"/>
    <x v="2"/>
    <x v="3"/>
    <s v="Xerox 1899"/>
    <n v="11.56"/>
    <n v="2"/>
    <n v="5.66"/>
  </r>
  <r>
    <d v="2017-12-11T00:00:00"/>
    <x v="11"/>
    <x v="3"/>
    <x v="177"/>
    <x v="13"/>
    <x v="2"/>
    <x v="6"/>
    <s v="SAFCO Commercial Wire Shelving, Black"/>
    <n v="221.02"/>
    <n v="2"/>
    <n v="-55.26"/>
  </r>
  <r>
    <s v="13/02/2016"/>
    <x v="12"/>
    <x v="4"/>
    <x v="456"/>
    <x v="5"/>
    <x v="2"/>
    <x v="3"/>
    <s v="Tops Green Bar Computer Printout Paper"/>
    <n v="146.82"/>
    <n v="3"/>
    <n v="73.41"/>
  </r>
  <r>
    <s v="13/02/2017"/>
    <x v="12"/>
    <x v="4"/>
    <x v="45"/>
    <x v="24"/>
    <x v="2"/>
    <x v="15"/>
    <s v="Acme Elite Stainless Steel Scissors"/>
    <n v="25.02"/>
    <n v="3"/>
    <n v="6.51"/>
  </r>
  <r>
    <s v="13/02/2017"/>
    <x v="12"/>
    <x v="4"/>
    <x v="45"/>
    <x v="24"/>
    <x v="2"/>
    <x v="11"/>
    <s v="Barrel Sharpener"/>
    <n v="10.71"/>
    <n v="3"/>
    <n v="2.78"/>
  </r>
  <r>
    <s v="13/03/2016"/>
    <x v="12"/>
    <x v="4"/>
    <x v="301"/>
    <x v="23"/>
    <x v="2"/>
    <x v="10"/>
    <s v="Belkin 7 Outlet SurgeMaster Surge Protector with Phone Protection"/>
    <n v="157.91999999999999"/>
    <n v="5"/>
    <n v="17.77"/>
  </r>
  <r>
    <s v="13-03-2016"/>
    <x v="12"/>
    <x v="4"/>
    <x v="270"/>
    <x v="5"/>
    <x v="1"/>
    <x v="5"/>
    <s v="Westinghouse Mesh Shade Clip-On Gooseneck Lamp, Black"/>
    <n v="28.28"/>
    <n v="2"/>
    <n v="7.35"/>
  </r>
  <r>
    <s v="13-03-2017"/>
    <x v="12"/>
    <x v="4"/>
    <x v="447"/>
    <x v="3"/>
    <x v="1"/>
    <x v="1"/>
    <s v="SAFCO Folding Chair Trolley"/>
    <n v="89.77"/>
    <n v="1"/>
    <n v="-2.56"/>
  </r>
  <r>
    <s v="13-03-2017"/>
    <x v="12"/>
    <x v="4"/>
    <x v="4"/>
    <x v="25"/>
    <x v="2"/>
    <x v="10"/>
    <s v="Hoover Commercial Lightweight Upright Vacuum with E-Z Empty Dirt Cup"/>
    <n v="465.16"/>
    <n v="2"/>
    <n v="120.94"/>
  </r>
  <r>
    <s v="13-04-2014"/>
    <x v="12"/>
    <x v="4"/>
    <x v="272"/>
    <x v="24"/>
    <x v="2"/>
    <x v="8"/>
    <s v="Avery 479"/>
    <n v="7.83"/>
    <n v="3"/>
    <n v="3.6"/>
  </r>
  <r>
    <s v="13-04-2015"/>
    <x v="12"/>
    <x v="4"/>
    <x v="600"/>
    <x v="23"/>
    <x v="2"/>
    <x v="3"/>
    <s v="Xerox 1973"/>
    <n v="54.82"/>
    <n v="3"/>
    <n v="17.82"/>
  </r>
  <r>
    <s v="13-04-2015"/>
    <x v="12"/>
    <x v="4"/>
    <x v="601"/>
    <x v="23"/>
    <x v="2"/>
    <x v="6"/>
    <s v="Neat Ideas Personal Hanging Folder Files, Black"/>
    <n v="10.74"/>
    <n v="1"/>
    <n v="0.81"/>
  </r>
  <r>
    <s v="13-04-2015"/>
    <x v="12"/>
    <x v="4"/>
    <x v="185"/>
    <x v="4"/>
    <x v="0"/>
    <x v="2"/>
    <s v="Apple iPhone 5C"/>
    <n v="239.98"/>
    <n v="3"/>
    <n v="18"/>
  </r>
  <r>
    <s v="13-04-2017"/>
    <x v="12"/>
    <x v="4"/>
    <x v="602"/>
    <x v="13"/>
    <x v="2"/>
    <x v="4"/>
    <s v="Translucent Push Pins by OIC"/>
    <n v="7.92"/>
    <n v="5"/>
    <n v="1.68"/>
  </r>
  <r>
    <s v="13-05-2014"/>
    <x v="12"/>
    <x v="4"/>
    <x v="603"/>
    <x v="5"/>
    <x v="1"/>
    <x v="1"/>
    <s v="Iceberg Nesting Folding Chair, 19w x 6d x 43h"/>
    <n v="279.45999999999998"/>
    <n v="6"/>
    <n v="20.96"/>
  </r>
  <r>
    <s v="13-05-2014"/>
    <x v="12"/>
    <x v="4"/>
    <x v="603"/>
    <x v="5"/>
    <x v="2"/>
    <x v="3"/>
    <s v="EcoTones Memo Sheets"/>
    <n v="8"/>
    <n v="2"/>
    <n v="3.84"/>
  </r>
  <r>
    <s v="13-06-2015"/>
    <x v="12"/>
    <x v="4"/>
    <x v="290"/>
    <x v="34"/>
    <x v="2"/>
    <x v="11"/>
    <s v="Newell 31"/>
    <n v="24.78"/>
    <n v="6"/>
    <n v="6.94"/>
  </r>
  <r>
    <s v="13-06-2016"/>
    <x v="12"/>
    <x v="4"/>
    <x v="131"/>
    <x v="39"/>
    <x v="2"/>
    <x v="8"/>
    <s v="Avery 51"/>
    <n v="18.899999999999999"/>
    <n v="3"/>
    <n v="8.69"/>
  </r>
  <r>
    <s v="13-09-2014"/>
    <x v="12"/>
    <x v="4"/>
    <x v="604"/>
    <x v="13"/>
    <x v="2"/>
    <x v="3"/>
    <s v="Xerox 1985"/>
    <n v="15.55"/>
    <n v="3"/>
    <n v="5.44"/>
  </r>
  <r>
    <s v="13-09-2014"/>
    <x v="12"/>
    <x v="4"/>
    <x v="65"/>
    <x v="23"/>
    <x v="2"/>
    <x v="6"/>
    <s v="Eldon File Chest Portable File"/>
    <n v="79.400000000000006"/>
    <n v="5"/>
    <n v="5.96"/>
  </r>
  <r>
    <s v="13-09-2015"/>
    <x v="12"/>
    <x v="4"/>
    <x v="605"/>
    <x v="5"/>
    <x v="1"/>
    <x v="5"/>
    <s v="Eldon Econocleat Chair Mats for Low Pile Carpets"/>
    <n v="207.35"/>
    <n v="5"/>
    <n v="24.88"/>
  </r>
  <r>
    <s v="13-10-2014"/>
    <x v="12"/>
    <x v="4"/>
    <x v="508"/>
    <x v="1"/>
    <x v="2"/>
    <x v="10"/>
    <s v="Belkin F9G930V10-GRY 9 Outlet Surge"/>
    <n v="213.92"/>
    <n v="4"/>
    <n v="62.04"/>
  </r>
  <r>
    <s v="13-10-2016"/>
    <x v="12"/>
    <x v="4"/>
    <x v="594"/>
    <x v="5"/>
    <x v="2"/>
    <x v="15"/>
    <s v="Fiskars Softgrip Scissors"/>
    <n v="65.88"/>
    <n v="6"/>
    <n v="18.45"/>
  </r>
  <r>
    <s v="13-10-2016"/>
    <x v="12"/>
    <x v="4"/>
    <x v="262"/>
    <x v="4"/>
    <x v="2"/>
    <x v="3"/>
    <s v="Array Memo Cubes"/>
    <n v="8.2899999999999991"/>
    <n v="2"/>
    <n v="3"/>
  </r>
  <r>
    <s v="13-10-2016"/>
    <x v="12"/>
    <x v="4"/>
    <x v="262"/>
    <x v="4"/>
    <x v="2"/>
    <x v="11"/>
    <s v="Newell 334"/>
    <n v="15.87"/>
    <n v="1"/>
    <n v="1.19"/>
  </r>
  <r>
    <s v="13-10-2017"/>
    <x v="12"/>
    <x v="4"/>
    <x v="395"/>
    <x v="13"/>
    <x v="2"/>
    <x v="3"/>
    <s v="Post-it Â“Important MessageÂ” Note Pad, Neon Colors, 50 Sheets/Pad"/>
    <n v="11.65"/>
    <n v="2"/>
    <n v="4.08"/>
  </r>
  <r>
    <s v="13-10-2017"/>
    <x v="12"/>
    <x v="4"/>
    <x v="606"/>
    <x v="30"/>
    <x v="2"/>
    <x v="3"/>
    <s v="Xerox 231"/>
    <n v="25.92"/>
    <n v="4"/>
    <n v="12.44"/>
  </r>
  <r>
    <s v="13-11-2015"/>
    <x v="12"/>
    <x v="4"/>
    <x v="33"/>
    <x v="12"/>
    <x v="2"/>
    <x v="3"/>
    <s v="Xerox 1910"/>
    <n v="115.3"/>
    <n v="3"/>
    <n v="40.35"/>
  </r>
  <r>
    <s v="13-11-2015"/>
    <x v="12"/>
    <x v="4"/>
    <x v="400"/>
    <x v="3"/>
    <x v="1"/>
    <x v="5"/>
    <s v="Eldon ImÃ ge Series Desk Accessories, Clear"/>
    <n v="17.5"/>
    <n v="9"/>
    <n v="-7.44"/>
  </r>
  <r>
    <s v="13-11-2015"/>
    <x v="12"/>
    <x v="4"/>
    <x v="21"/>
    <x v="33"/>
    <x v="0"/>
    <x v="2"/>
    <s v="Spigen Samsung Galaxy S5 Case Wallet"/>
    <n v="50.97"/>
    <n v="3"/>
    <n v="13.25"/>
  </r>
  <r>
    <s v="13-11-2015"/>
    <x v="12"/>
    <x v="4"/>
    <x v="322"/>
    <x v="26"/>
    <x v="2"/>
    <x v="6"/>
    <s v="Portfile Personal File Boxes"/>
    <n v="84.96"/>
    <n v="6"/>
    <n v="6.37"/>
  </r>
  <r>
    <s v="13-11-2015"/>
    <x v="12"/>
    <x v="4"/>
    <x v="502"/>
    <x v="38"/>
    <x v="1"/>
    <x v="5"/>
    <s v="Eldon Stackable Tray, Side-Load, Legal, Smoke"/>
    <n v="63.98"/>
    <n v="7"/>
    <n v="21.75"/>
  </r>
  <r>
    <s v="13-11-2016"/>
    <x v="12"/>
    <x v="4"/>
    <x v="268"/>
    <x v="28"/>
    <x v="1"/>
    <x v="5"/>
    <s v="Master Giant Foot Doorstop, Safety Yellow"/>
    <n v="30.36"/>
    <n v="4"/>
    <n v="13.05"/>
  </r>
  <r>
    <s v="13-11-2016"/>
    <x v="12"/>
    <x v="4"/>
    <x v="331"/>
    <x v="2"/>
    <x v="0"/>
    <x v="2"/>
    <s v="Xiaomi Mi3"/>
    <n v="2279.96"/>
    <n v="4"/>
    <n v="592.79"/>
  </r>
  <r>
    <s v="13-11-2017"/>
    <x v="12"/>
    <x v="4"/>
    <x v="343"/>
    <x v="2"/>
    <x v="0"/>
    <x v="0"/>
    <s v="KeyTronicÂ 6101 Series -Â KeyboardÂ - Black"/>
    <n v="163.96"/>
    <n v="4"/>
    <n v="70.5"/>
  </r>
  <r>
    <s v="13-11-2017"/>
    <x v="12"/>
    <x v="4"/>
    <x v="73"/>
    <x v="4"/>
    <x v="1"/>
    <x v="16"/>
    <s v="Bush Westfield Collection Bookcases, Fully Assembled"/>
    <n v="206"/>
    <n v="3"/>
    <n v="-27.26"/>
  </r>
  <r>
    <s v="13-11-2017"/>
    <x v="12"/>
    <x v="4"/>
    <x v="607"/>
    <x v="2"/>
    <x v="0"/>
    <x v="2"/>
    <s v="Nokia Lumia 925"/>
    <n v="629.95000000000005"/>
    <n v="5"/>
    <n v="163.79"/>
  </r>
  <r>
    <s v="13-11-2017"/>
    <x v="12"/>
    <x v="4"/>
    <x v="608"/>
    <x v="34"/>
    <x v="0"/>
    <x v="0"/>
    <s v="Anker Ultrathin Bluetooth Wireless Keyboard Aluminum Cover with Stand"/>
    <n v="239.92"/>
    <n v="8"/>
    <n v="23.99"/>
  </r>
  <r>
    <s v="13-11-2017"/>
    <x v="12"/>
    <x v="4"/>
    <x v="258"/>
    <x v="5"/>
    <x v="0"/>
    <x v="2"/>
    <s v="Samsung Replacement EH64AVFWE Premium Headset"/>
    <n v="22"/>
    <n v="5"/>
    <n v="1.38"/>
  </r>
  <r>
    <s v="13-12-2014"/>
    <x v="12"/>
    <x v="4"/>
    <x v="50"/>
    <x v="5"/>
    <x v="2"/>
    <x v="3"/>
    <s v="White GlueTop Scratch Pads"/>
    <n v="90.24"/>
    <n v="6"/>
    <n v="41.51"/>
  </r>
  <r>
    <s v="13-12-2014"/>
    <x v="12"/>
    <x v="4"/>
    <x v="478"/>
    <x v="3"/>
    <x v="1"/>
    <x v="5"/>
    <s v="Howard Miller 12-3/4 Diameter Accuwave DS  Wall Clock"/>
    <n v="94.43"/>
    <n v="3"/>
    <n v="-42.49"/>
  </r>
  <r>
    <s v="13-12-2014"/>
    <x v="12"/>
    <x v="4"/>
    <x v="609"/>
    <x v="23"/>
    <x v="1"/>
    <x v="5"/>
    <s v="Electrix Incandescent Magnifying Lamp, Black"/>
    <n v="87.96"/>
    <n v="3"/>
    <n v="7.7"/>
  </r>
  <r>
    <s v="13-12-2014"/>
    <x v="12"/>
    <x v="4"/>
    <x v="609"/>
    <x v="23"/>
    <x v="2"/>
    <x v="9"/>
    <s v="Cardinal Slant-D Ring Binder, Heavy Gauge Vinyl"/>
    <n v="5.21"/>
    <n v="2"/>
    <n v="-4.17"/>
  </r>
  <r>
    <s v="13-12-2015"/>
    <x v="12"/>
    <x v="4"/>
    <x v="39"/>
    <x v="5"/>
    <x v="0"/>
    <x v="2"/>
    <s v="Plantronics Voyager Pro Legend"/>
    <n v="494.38"/>
    <n v="3"/>
    <n v="49.44"/>
  </r>
  <r>
    <s v="13-12-2017"/>
    <x v="12"/>
    <x v="4"/>
    <x v="159"/>
    <x v="5"/>
    <x v="1"/>
    <x v="5"/>
    <s v="Eldon Executive Woodline II Desk Accessories, Mahogany"/>
    <n v="201.04"/>
    <n v="8"/>
    <n v="54.28"/>
  </r>
  <r>
    <s v="14-01-2014"/>
    <x v="12"/>
    <x v="4"/>
    <x v="141"/>
    <x v="13"/>
    <x v="1"/>
    <x v="16"/>
    <s v="Sauder Cornerstone Collection Library"/>
    <n v="61.96"/>
    <n v="4"/>
    <n v="-53.29"/>
  </r>
  <r>
    <s v="14-01-2016"/>
    <x v="12"/>
    <x v="4"/>
    <x v="377"/>
    <x v="12"/>
    <x v="1"/>
    <x v="5"/>
    <s v="Electrix Fluorescent Magnifier Lamps &amp; Weighted Base"/>
    <n v="315.77999999999997"/>
    <n v="8"/>
    <n v="31.58"/>
  </r>
  <r>
    <s v="14-01-2017"/>
    <x v="12"/>
    <x v="4"/>
    <x v="291"/>
    <x v="15"/>
    <x v="0"/>
    <x v="0"/>
    <s v="ImationÂ 8GB Mini TravelDrive USB 2.0Â Flash Drive"/>
    <n v="169.06"/>
    <n v="7"/>
    <n v="-14.79"/>
  </r>
  <r>
    <s v="14-01-2017"/>
    <x v="12"/>
    <x v="4"/>
    <x v="348"/>
    <x v="5"/>
    <x v="2"/>
    <x v="3"/>
    <s v="Xerox 19"/>
    <n v="154.9"/>
    <n v="5"/>
    <n v="69.709999999999994"/>
  </r>
  <r>
    <s v="14-01-2017"/>
    <x v="12"/>
    <x v="4"/>
    <x v="2"/>
    <x v="33"/>
    <x v="2"/>
    <x v="4"/>
    <s v="Bagged Rubber Bands"/>
    <n v="2.52"/>
    <n v="2"/>
    <n v="0.1"/>
  </r>
  <r>
    <s v="14-02-2014"/>
    <x v="12"/>
    <x v="4"/>
    <x v="289"/>
    <x v="4"/>
    <x v="2"/>
    <x v="3"/>
    <s v="Memo Book, 100 Message Capacity, 5 3/8Â” x 11Â”"/>
    <n v="16.18"/>
    <n v="3"/>
    <n v="6.07"/>
  </r>
  <r>
    <s v="14-02-2015"/>
    <x v="12"/>
    <x v="4"/>
    <x v="200"/>
    <x v="2"/>
    <x v="0"/>
    <x v="2"/>
    <s v="Samsung Galaxy S4"/>
    <n v="625.99"/>
    <n v="1"/>
    <n v="187.8"/>
  </r>
  <r>
    <s v="14-03-2014"/>
    <x v="12"/>
    <x v="4"/>
    <x v="178"/>
    <x v="3"/>
    <x v="0"/>
    <x v="14"/>
    <s v="Hewlett-Packard Deskjet 6540 Color Inkjet Printer"/>
    <n v="574.91"/>
    <n v="2"/>
    <n v="156.05000000000001"/>
  </r>
  <r>
    <s v="14-03-2015"/>
    <x v="12"/>
    <x v="4"/>
    <x v="233"/>
    <x v="5"/>
    <x v="2"/>
    <x v="3"/>
    <s v="Xerox 223"/>
    <n v="19.440000000000001"/>
    <n v="3"/>
    <n v="9.33"/>
  </r>
  <r>
    <s v="14-04-2016"/>
    <x v="12"/>
    <x v="4"/>
    <x v="513"/>
    <x v="24"/>
    <x v="2"/>
    <x v="9"/>
    <s v="GBC ProClick Spines for 32-Hole Punch"/>
    <n v="25.06"/>
    <n v="2"/>
    <n v="11.78"/>
  </r>
  <r>
    <s v="14-05-2015"/>
    <x v="12"/>
    <x v="4"/>
    <x v="416"/>
    <x v="13"/>
    <x v="2"/>
    <x v="11"/>
    <s v="Binney &amp; Smith Crayola Metallic Crayons, 16-Color Pack"/>
    <n v="2.7"/>
    <n v="1"/>
    <n v="0.81"/>
  </r>
  <r>
    <s v="14-05-2015"/>
    <x v="12"/>
    <x v="4"/>
    <x v="416"/>
    <x v="13"/>
    <x v="2"/>
    <x v="9"/>
    <s v="Wilson Jones Custom Binder Spines &amp; Labels"/>
    <n v="4.9000000000000004"/>
    <n v="3"/>
    <n v="-3.43"/>
  </r>
  <r>
    <s v="14-05-2017"/>
    <x v="12"/>
    <x v="4"/>
    <x v="72"/>
    <x v="32"/>
    <x v="2"/>
    <x v="13"/>
    <s v="Fashion Color Clasp Envelopes"/>
    <n v="48.69"/>
    <n v="9"/>
    <n v="23.86"/>
  </r>
  <r>
    <s v="14-05-2017"/>
    <x v="12"/>
    <x v="4"/>
    <x v="101"/>
    <x v="1"/>
    <x v="2"/>
    <x v="3"/>
    <s v="Xerox 1917"/>
    <n v="440.19"/>
    <n v="9"/>
    <n v="206.89"/>
  </r>
  <r>
    <s v="14-05-2017"/>
    <x v="12"/>
    <x v="4"/>
    <x v="495"/>
    <x v="4"/>
    <x v="2"/>
    <x v="3"/>
    <s v="Xerox 1936"/>
    <n v="47.95"/>
    <n v="3"/>
    <n v="16.18"/>
  </r>
  <r>
    <s v="14-05-2017"/>
    <x v="12"/>
    <x v="4"/>
    <x v="495"/>
    <x v="4"/>
    <x v="0"/>
    <x v="2"/>
    <s v="PayAnywhere Card Reader"/>
    <n v="7.99"/>
    <n v="1"/>
    <n v="0.7"/>
  </r>
  <r>
    <s v="14-06-2014"/>
    <x v="12"/>
    <x v="4"/>
    <x v="582"/>
    <x v="10"/>
    <x v="1"/>
    <x v="16"/>
    <s v="Hon Metal Bookcases, Gray"/>
    <n v="212.94"/>
    <n v="3"/>
    <n v="57.49"/>
  </r>
  <r>
    <s v="14-06-2016"/>
    <x v="12"/>
    <x v="4"/>
    <x v="274"/>
    <x v="5"/>
    <x v="1"/>
    <x v="5"/>
    <s v="GE General Purpose, Extra Long Life, Showcase &amp; Floodlight Incandescent Bulbs"/>
    <n v="8.73"/>
    <n v="3"/>
    <n v="4.0999999999999996"/>
  </r>
  <r>
    <s v="14-06-2016"/>
    <x v="12"/>
    <x v="4"/>
    <x v="532"/>
    <x v="11"/>
    <x v="0"/>
    <x v="0"/>
    <s v="Verbatim Slim CD and DVD Storage Cases, 50/Pack"/>
    <n v="18.46"/>
    <n v="2"/>
    <n v="2.31"/>
  </r>
  <r>
    <s v="14-07-2014"/>
    <x v="12"/>
    <x v="4"/>
    <x v="289"/>
    <x v="13"/>
    <x v="0"/>
    <x v="2"/>
    <s v="Griffin GC36547 PowerJolt SE Lightning Charger"/>
    <n v="13.49"/>
    <n v="1"/>
    <n v="-2.25"/>
  </r>
  <r>
    <s v="14-07-2014"/>
    <x v="12"/>
    <x v="4"/>
    <x v="610"/>
    <x v="37"/>
    <x v="2"/>
    <x v="10"/>
    <s v="Belkin 7 Outlet SurgeMaster II"/>
    <n v="39.479999999999997"/>
    <n v="1"/>
    <n v="11.05"/>
  </r>
  <r>
    <s v="14-07-2017"/>
    <x v="12"/>
    <x v="4"/>
    <x v="175"/>
    <x v="18"/>
    <x v="2"/>
    <x v="3"/>
    <s v="Xerox 1950"/>
    <n v="9.25"/>
    <n v="2"/>
    <n v="3.35"/>
  </r>
  <r>
    <s v="14-08-2016"/>
    <x v="12"/>
    <x v="4"/>
    <x v="513"/>
    <x v="5"/>
    <x v="0"/>
    <x v="14"/>
    <s v="Texas Instruments TI-34 Scientific Calculator"/>
    <n v="105.55"/>
    <n v="6"/>
    <n v="35.619999999999997"/>
  </r>
  <r>
    <s v="14-09-2014"/>
    <x v="12"/>
    <x v="4"/>
    <x v="434"/>
    <x v="11"/>
    <x v="2"/>
    <x v="10"/>
    <s v="Sanitaire Vibra Groomer IR Commercial Upright Vacuum, Replacement Belts"/>
    <n v="13"/>
    <n v="5"/>
    <n v="1.3"/>
  </r>
  <r>
    <s v="14-09-2016"/>
    <x v="12"/>
    <x v="4"/>
    <x v="49"/>
    <x v="2"/>
    <x v="0"/>
    <x v="2"/>
    <s v="Wi-Ex zBoost YX540 Cellular Phone Signal Booster"/>
    <n v="437.85"/>
    <n v="3"/>
    <n v="131.36000000000001"/>
  </r>
  <r>
    <s v="14-09-2016"/>
    <x v="12"/>
    <x v="4"/>
    <x v="49"/>
    <x v="2"/>
    <x v="2"/>
    <x v="9"/>
    <s v="GBC DocuBind 200 Manual Binding Machine"/>
    <n v="673.57"/>
    <n v="2"/>
    <n v="252.59"/>
  </r>
  <r>
    <s v="14-09-2017"/>
    <x v="12"/>
    <x v="4"/>
    <x v="576"/>
    <x v="2"/>
    <x v="2"/>
    <x v="11"/>
    <s v="Bulldog Table or Wall-Mount Pencil Sharpener"/>
    <n v="29.95"/>
    <n v="5"/>
    <n v="8.69"/>
  </r>
  <r>
    <s v="14-09-2017"/>
    <x v="12"/>
    <x v="4"/>
    <x v="611"/>
    <x v="2"/>
    <x v="2"/>
    <x v="3"/>
    <s v="Xerox 1980"/>
    <n v="8.56"/>
    <n v="2"/>
    <n v="3.85"/>
  </r>
  <r>
    <s v="14-10-2014"/>
    <x v="12"/>
    <x v="4"/>
    <x v="519"/>
    <x v="6"/>
    <x v="1"/>
    <x v="1"/>
    <s v="Office Star - Ergonomic Mid Back Chair with 2-Way Adjustable Arms"/>
    <n v="1628.82"/>
    <n v="9"/>
    <n v="260.61"/>
  </r>
  <r>
    <s v="14-11-2015"/>
    <x v="12"/>
    <x v="4"/>
    <x v="147"/>
    <x v="37"/>
    <x v="1"/>
    <x v="5"/>
    <s v="Executive Impressions 13&quot; Chairman Wall Clock"/>
    <n v="76.14"/>
    <n v="3"/>
    <n v="26.65"/>
  </r>
  <r>
    <s v="14-11-2015"/>
    <x v="12"/>
    <x v="4"/>
    <x v="612"/>
    <x v="13"/>
    <x v="0"/>
    <x v="0"/>
    <s v="Micro Innovations Wireless Classic Keyboard with Mouse"/>
    <n v="47.98"/>
    <n v="2"/>
    <n v="-1.2"/>
  </r>
  <r>
    <s v="14-11-2015"/>
    <x v="12"/>
    <x v="4"/>
    <x v="101"/>
    <x v="16"/>
    <x v="0"/>
    <x v="0"/>
    <s v="ImationÂ SecureÂ DriveÂ + Hardware Encrypted USBÂ flash driveÂ - 16 GB"/>
    <n v="91.18"/>
    <n v="3"/>
    <n v="4.5599999999999996"/>
  </r>
  <r>
    <s v="14-11-2016"/>
    <x v="12"/>
    <x v="4"/>
    <x v="67"/>
    <x v="2"/>
    <x v="0"/>
    <x v="2"/>
    <s v="SmartStand Mobile Device Holder, Assorted Colors"/>
    <n v="13.98"/>
    <n v="2"/>
    <n v="3.91"/>
  </r>
  <r>
    <s v="14-11-2017"/>
    <x v="12"/>
    <x v="4"/>
    <x v="163"/>
    <x v="4"/>
    <x v="0"/>
    <x v="0"/>
    <s v="V7 USB Numeric Keypad"/>
    <n v="167.95"/>
    <n v="6"/>
    <n v="-27.29"/>
  </r>
  <r>
    <s v="14-12-2014"/>
    <x v="12"/>
    <x v="4"/>
    <x v="540"/>
    <x v="18"/>
    <x v="1"/>
    <x v="7"/>
    <s v="Hon Rectangular Conference Tables"/>
    <n v="136.53"/>
    <n v="1"/>
    <n v="-52.34"/>
  </r>
  <r>
    <s v="14-12-2015"/>
    <x v="12"/>
    <x v="4"/>
    <x v="613"/>
    <x v="16"/>
    <x v="0"/>
    <x v="2"/>
    <s v="HTC One"/>
    <n v="319.97000000000003"/>
    <n v="4"/>
    <n v="36"/>
  </r>
  <r>
    <s v="14-12-2015"/>
    <x v="12"/>
    <x v="4"/>
    <x v="286"/>
    <x v="5"/>
    <x v="2"/>
    <x v="9"/>
    <s v="Ibico Recycled Grain-Textured Covers"/>
    <n v="55.26"/>
    <n v="2"/>
    <n v="20.72"/>
  </r>
  <r>
    <s v="14-12-2016"/>
    <x v="12"/>
    <x v="4"/>
    <x v="264"/>
    <x v="2"/>
    <x v="2"/>
    <x v="3"/>
    <s v="Strathmore Photo Frame Cards"/>
    <n v="14.62"/>
    <n v="2"/>
    <n v="6.73"/>
  </r>
  <r>
    <s v="14-12-2017"/>
    <x v="12"/>
    <x v="4"/>
    <x v="1"/>
    <x v="3"/>
    <x v="1"/>
    <x v="5"/>
    <s v="Howard Miller 13&quot; Diameter Goldtone Round Wall Clock"/>
    <n v="56.33"/>
    <n v="3"/>
    <n v="-26.76"/>
  </r>
  <r>
    <s v="14-12-2017"/>
    <x v="12"/>
    <x v="4"/>
    <x v="272"/>
    <x v="6"/>
    <x v="0"/>
    <x v="12"/>
    <s v="Canon PC1080F Personal Copier"/>
    <n v="1199.98"/>
    <n v="2"/>
    <n v="467.99"/>
  </r>
  <r>
    <s v="15-02-2015"/>
    <x v="12"/>
    <x v="4"/>
    <x v="48"/>
    <x v="5"/>
    <x v="2"/>
    <x v="10"/>
    <s v="Kensington 6 Outlet MasterPiece HOMEOFFICE Power Control Center"/>
    <n v="541.44000000000005"/>
    <n v="6"/>
    <n v="157.02000000000001"/>
  </r>
  <r>
    <s v="15-03-2014"/>
    <x v="12"/>
    <x v="4"/>
    <x v="498"/>
    <x v="11"/>
    <x v="2"/>
    <x v="3"/>
    <s v="Xerox 1889"/>
    <n v="131.9"/>
    <n v="3"/>
    <n v="47.82"/>
  </r>
  <r>
    <s v="15-05-2017"/>
    <x v="12"/>
    <x v="4"/>
    <x v="285"/>
    <x v="23"/>
    <x v="2"/>
    <x v="3"/>
    <s v="Universal Ultra Bright White Copier/Laser Paper, 8 1/2&quot; x 11&quot;, Ream"/>
    <n v="15.55"/>
    <n v="3"/>
    <n v="5.64"/>
  </r>
  <r>
    <s v="15-06-2015"/>
    <x v="12"/>
    <x v="4"/>
    <x v="122"/>
    <x v="23"/>
    <x v="1"/>
    <x v="5"/>
    <s v="Eldon &quot;L&quot; Workstation Diamond Chairmat"/>
    <n v="364.7"/>
    <n v="6"/>
    <n v="-36.47"/>
  </r>
  <r>
    <s v="15-06-2017"/>
    <x v="12"/>
    <x v="4"/>
    <x v="218"/>
    <x v="26"/>
    <x v="1"/>
    <x v="7"/>
    <s v="Barricks 18&quot; x 48&quot; Non-Folding Utility Table with Bottom Storage Shelf"/>
    <n v="120.96"/>
    <n v="2"/>
    <n v="-28.22"/>
  </r>
  <r>
    <s v="15-06-2017"/>
    <x v="12"/>
    <x v="4"/>
    <x v="218"/>
    <x v="26"/>
    <x v="2"/>
    <x v="3"/>
    <s v="Xerox 1955"/>
    <n v="91.36"/>
    <n v="5"/>
    <n v="29.69"/>
  </r>
  <r>
    <s v="15-07-2017"/>
    <x v="12"/>
    <x v="4"/>
    <x v="250"/>
    <x v="2"/>
    <x v="2"/>
    <x v="11"/>
    <s v="Newell 349"/>
    <n v="6.56"/>
    <n v="2"/>
    <n v="1.9"/>
  </r>
  <r>
    <s v="15-07-2017"/>
    <x v="12"/>
    <x v="4"/>
    <x v="132"/>
    <x v="20"/>
    <x v="2"/>
    <x v="3"/>
    <s v="Xerox 1999"/>
    <n v="12.96"/>
    <n v="2"/>
    <n v="6.22"/>
  </r>
  <r>
    <s v="15-09-2017"/>
    <x v="12"/>
    <x v="4"/>
    <x v="1"/>
    <x v="3"/>
    <x v="0"/>
    <x v="2"/>
    <s v="Avaya 5420 Digital phone"/>
    <n v="323.98"/>
    <n v="3"/>
    <n v="20.25"/>
  </r>
  <r>
    <s v="15-10-2015"/>
    <x v="12"/>
    <x v="4"/>
    <x v="514"/>
    <x v="4"/>
    <x v="2"/>
    <x v="3"/>
    <s v="Xerox 1986"/>
    <n v="5.34"/>
    <n v="1"/>
    <n v="1.87"/>
  </r>
  <r>
    <s v="15-10-2016"/>
    <x v="12"/>
    <x v="4"/>
    <x v="614"/>
    <x v="21"/>
    <x v="2"/>
    <x v="3"/>
    <s v="Xerox 1982"/>
    <n v="45.68"/>
    <n v="2"/>
    <n v="21.01"/>
  </r>
  <r>
    <s v="15-10-2017"/>
    <x v="12"/>
    <x v="4"/>
    <x v="165"/>
    <x v="5"/>
    <x v="2"/>
    <x v="3"/>
    <s v="Xerox 1919"/>
    <n v="204.95"/>
    <n v="5"/>
    <n v="100.43"/>
  </r>
  <r>
    <s v="15-11-2017"/>
    <x v="12"/>
    <x v="4"/>
    <x v="391"/>
    <x v="11"/>
    <x v="1"/>
    <x v="5"/>
    <s v="Howard Miller 13-1/2&quot; Diameter Rosebrook Wall Clock"/>
    <n v="220.06"/>
    <n v="4"/>
    <n v="55.02"/>
  </r>
  <r>
    <s v="15-12-2015"/>
    <x v="12"/>
    <x v="4"/>
    <x v="223"/>
    <x v="1"/>
    <x v="2"/>
    <x v="10"/>
    <s v="3M Office Air Cleaner"/>
    <n v="103.92"/>
    <n v="4"/>
    <n v="36.369999999999997"/>
  </r>
  <r>
    <s v="15-12-2016"/>
    <x v="12"/>
    <x v="4"/>
    <x v="615"/>
    <x v="9"/>
    <x v="2"/>
    <x v="3"/>
    <s v="Xerox 1958"/>
    <n v="19.440000000000001"/>
    <n v="3"/>
    <n v="9.33"/>
  </r>
  <r>
    <s v="16-02-2016"/>
    <x v="12"/>
    <x v="4"/>
    <x v="5"/>
    <x v="17"/>
    <x v="2"/>
    <x v="9"/>
    <s v="Wilson Jones Â“SnapÂ” Scratch Pad Binder Tool for Ring Binders"/>
    <n v="5.8"/>
    <n v="1"/>
    <n v="2.61"/>
  </r>
  <r>
    <s v="16-03-2017"/>
    <x v="12"/>
    <x v="4"/>
    <x v="616"/>
    <x v="18"/>
    <x v="1"/>
    <x v="5"/>
    <s v="Nu-Dell Oak Frame"/>
    <n v="51.26"/>
    <n v="6"/>
    <n v="7.69"/>
  </r>
  <r>
    <s v="16-03-2017"/>
    <x v="12"/>
    <x v="4"/>
    <x v="605"/>
    <x v="5"/>
    <x v="2"/>
    <x v="10"/>
    <s v="Bionaire Personal Warm Mist Humidifier/Vaporizer"/>
    <n v="140.66999999999999"/>
    <n v="3"/>
    <n v="54.86"/>
  </r>
  <r>
    <s v="16-06-2016"/>
    <x v="12"/>
    <x v="4"/>
    <x v="570"/>
    <x v="26"/>
    <x v="0"/>
    <x v="14"/>
    <s v="Penpower WorldCard Pro Card Scanner"/>
    <n v="91.48"/>
    <n v="1"/>
    <n v="-1.83"/>
  </r>
  <r>
    <s v="16-06-2017"/>
    <x v="12"/>
    <x v="4"/>
    <x v="617"/>
    <x v="17"/>
    <x v="2"/>
    <x v="10"/>
    <s v="Fellowes Smart Surge Ten-Outlet Protector, Platinum"/>
    <n v="180.66"/>
    <n v="3"/>
    <n v="50.58"/>
  </r>
  <r>
    <s v="16-06-2017"/>
    <x v="12"/>
    <x v="4"/>
    <x v="336"/>
    <x v="35"/>
    <x v="2"/>
    <x v="3"/>
    <s v="Xerox 215"/>
    <n v="19.440000000000001"/>
    <n v="3"/>
    <n v="9.33"/>
  </r>
  <r>
    <s v="16-07-2016"/>
    <x v="12"/>
    <x v="4"/>
    <x v="440"/>
    <x v="29"/>
    <x v="2"/>
    <x v="3"/>
    <s v="HP Office Paper (20Lb. and 87 Bright)"/>
    <n v="60.12"/>
    <n v="9"/>
    <n v="28.86"/>
  </r>
  <r>
    <s v="16-09-2016"/>
    <x v="12"/>
    <x v="4"/>
    <x v="300"/>
    <x v="5"/>
    <x v="1"/>
    <x v="16"/>
    <s v="Sauder Forest Hills Library with Doors, Woodland Oak Finish"/>
    <n v="273.67"/>
    <n v="2"/>
    <n v="-12.88"/>
  </r>
  <r>
    <s v="16-09-2017"/>
    <x v="12"/>
    <x v="4"/>
    <x v="446"/>
    <x v="4"/>
    <x v="0"/>
    <x v="2"/>
    <s v="ClearSounds CSC500 Amplified Spirit Phone Corded phone"/>
    <n v="55.99"/>
    <n v="1"/>
    <n v="5.6"/>
  </r>
  <r>
    <s v="16-10-2014"/>
    <x v="12"/>
    <x v="4"/>
    <x v="618"/>
    <x v="5"/>
    <x v="2"/>
    <x v="9"/>
    <s v="Avery Non-Stick Heavy Duty View Round Locking Ring Binders"/>
    <n v="14.35"/>
    <n v="3"/>
    <n v="5.0199999999999996"/>
  </r>
  <r>
    <s v="16-10-2017"/>
    <x v="12"/>
    <x v="4"/>
    <x v="81"/>
    <x v="23"/>
    <x v="0"/>
    <x v="14"/>
    <s v="Swingline SM12-08 MicroCut Jam Free Shredder"/>
    <n v="599.99"/>
    <n v="5"/>
    <n v="-479.99"/>
  </r>
  <r>
    <s v="16-11-2017"/>
    <x v="12"/>
    <x v="4"/>
    <x v="619"/>
    <x v="5"/>
    <x v="2"/>
    <x v="11"/>
    <s v="Newell 328"/>
    <n v="23.36"/>
    <n v="4"/>
    <n v="6.07"/>
  </r>
  <r>
    <s v="16-12-2014"/>
    <x v="12"/>
    <x v="4"/>
    <x v="422"/>
    <x v="10"/>
    <x v="2"/>
    <x v="3"/>
    <s v="Xerox 1929"/>
    <n v="114.2"/>
    <n v="5"/>
    <n v="52.53"/>
  </r>
  <r>
    <s v="16-12-2015"/>
    <x v="12"/>
    <x v="4"/>
    <x v="620"/>
    <x v="1"/>
    <x v="2"/>
    <x v="3"/>
    <s v="Xerox 190"/>
    <n v="4.9800000000000004"/>
    <n v="1"/>
    <n v="2.34"/>
  </r>
  <r>
    <s v="16-12-2016"/>
    <x v="12"/>
    <x v="4"/>
    <x v="300"/>
    <x v="2"/>
    <x v="2"/>
    <x v="4"/>
    <s v="Stockwell Gold Paper Clips"/>
    <n v="3.68"/>
    <n v="2"/>
    <n v="1.8"/>
  </r>
  <r>
    <s v="17-02-2017"/>
    <x v="12"/>
    <x v="4"/>
    <x v="58"/>
    <x v="3"/>
    <x v="0"/>
    <x v="2"/>
    <s v="LG Exalt"/>
    <n v="124.79"/>
    <n v="1"/>
    <n v="10.92"/>
  </r>
  <r>
    <s v="17-03-2014"/>
    <x v="12"/>
    <x v="4"/>
    <x v="386"/>
    <x v="2"/>
    <x v="1"/>
    <x v="7"/>
    <s v="Hon 30&quot; x 60&quot; Table with Locking Drawer"/>
    <n v="613.91"/>
    <n v="3"/>
    <n v="-122.78"/>
  </r>
  <r>
    <s v="17-03-2014"/>
    <x v="12"/>
    <x v="4"/>
    <x v="386"/>
    <x v="2"/>
    <x v="2"/>
    <x v="3"/>
    <s v="Xerox 1926"/>
    <n v="34.86"/>
    <n v="7"/>
    <n v="16.38"/>
  </r>
  <r>
    <s v="17-03-2014"/>
    <x v="12"/>
    <x v="4"/>
    <x v="386"/>
    <x v="2"/>
    <x v="2"/>
    <x v="3"/>
    <s v="Xerox 1918"/>
    <n v="155.04"/>
    <n v="4"/>
    <n v="75.97"/>
  </r>
  <r>
    <s v="17-03-2015"/>
    <x v="12"/>
    <x v="4"/>
    <x v="621"/>
    <x v="2"/>
    <x v="0"/>
    <x v="0"/>
    <s v="KeyTronicÂ KT800P2 -Â KeyboardÂ - Black"/>
    <n v="15.02"/>
    <n v="1"/>
    <n v="2.7"/>
  </r>
  <r>
    <s v="17-06-2017"/>
    <x v="12"/>
    <x v="4"/>
    <x v="139"/>
    <x v="2"/>
    <x v="0"/>
    <x v="14"/>
    <s v="Hewlett-Packard Desktjet 6988DT Refurbished Printer"/>
    <n v="3404.5"/>
    <n v="5"/>
    <n v="1668.21"/>
  </r>
  <r>
    <s v="17-06-2017"/>
    <x v="12"/>
    <x v="4"/>
    <x v="139"/>
    <x v="2"/>
    <x v="0"/>
    <x v="0"/>
    <s v="Kingston Digital DataTraveler 64GB USB 2.0"/>
    <n v="101.34"/>
    <n v="3"/>
    <n v="8.11"/>
  </r>
  <r>
    <s v="17-08-2015"/>
    <x v="12"/>
    <x v="4"/>
    <x v="76"/>
    <x v="23"/>
    <x v="2"/>
    <x v="11"/>
    <s v="Newell 336"/>
    <n v="10.27"/>
    <n v="3"/>
    <n v="1.1599999999999999"/>
  </r>
  <r>
    <s v="17-09-2014"/>
    <x v="12"/>
    <x v="4"/>
    <x v="285"/>
    <x v="16"/>
    <x v="2"/>
    <x v="11"/>
    <s v="Boston 16701 Slimline Battery Pencil Sharpener"/>
    <n v="38.26"/>
    <n v="3"/>
    <n v="4.78"/>
  </r>
  <r>
    <s v="17-09-2014"/>
    <x v="12"/>
    <x v="4"/>
    <x v="285"/>
    <x v="16"/>
    <x v="0"/>
    <x v="14"/>
    <s v="Plantronics Single Ear Headset"/>
    <n v="29.93"/>
    <n v="5"/>
    <n v="-21.95"/>
  </r>
  <r>
    <s v="17-09-2015"/>
    <x v="12"/>
    <x v="4"/>
    <x v="122"/>
    <x v="2"/>
    <x v="1"/>
    <x v="16"/>
    <s v="DMI Eclipse Executive Suite Bookcases"/>
    <n v="2003.92"/>
    <n v="5"/>
    <n v="-25.05"/>
  </r>
  <r>
    <s v="17-09-2016"/>
    <x v="12"/>
    <x v="4"/>
    <x v="622"/>
    <x v="5"/>
    <x v="2"/>
    <x v="11"/>
    <s v="Turquoise Lead Holder with Pocket Clip"/>
    <n v="20.100000000000001"/>
    <n v="3"/>
    <n v="6.63"/>
  </r>
  <r>
    <s v="17-09-2016"/>
    <x v="12"/>
    <x v="4"/>
    <x v="438"/>
    <x v="19"/>
    <x v="0"/>
    <x v="14"/>
    <s v="Lexmark X 9575 Professional All-in-One Color Printer"/>
    <n v="396"/>
    <n v="4"/>
    <n v="190.08"/>
  </r>
  <r>
    <s v="17-09-2017"/>
    <x v="12"/>
    <x v="4"/>
    <x v="584"/>
    <x v="1"/>
    <x v="2"/>
    <x v="3"/>
    <s v="Xerox 1984"/>
    <n v="12.96"/>
    <n v="2"/>
    <n v="6.35"/>
  </r>
  <r>
    <s v="17-09-2017"/>
    <x v="12"/>
    <x v="4"/>
    <x v="133"/>
    <x v="8"/>
    <x v="0"/>
    <x v="14"/>
    <s v="Lexmark 20R1285 X6650 Wireless All-in-One Printer"/>
    <n v="480"/>
    <n v="4"/>
    <n v="225.6"/>
  </r>
  <r>
    <s v="17-10-2014"/>
    <x v="12"/>
    <x v="4"/>
    <x v="623"/>
    <x v="4"/>
    <x v="1"/>
    <x v="5"/>
    <s v="G.E. Longer-Life Indoor Recessed Floodlight Bulbs"/>
    <n v="5.31"/>
    <n v="2"/>
    <n v="-1.59"/>
  </r>
  <r>
    <s v="17-10-2017"/>
    <x v="12"/>
    <x v="4"/>
    <x v="624"/>
    <x v="40"/>
    <x v="2"/>
    <x v="6"/>
    <s v="2300 Heavy-Duty Transfer File Systems by Perma"/>
    <n v="49.96"/>
    <n v="2"/>
    <n v="9.49"/>
  </r>
  <r>
    <s v="17-11-2014"/>
    <x v="12"/>
    <x v="4"/>
    <x v="218"/>
    <x v="5"/>
    <x v="2"/>
    <x v="3"/>
    <s v="Xerox 1941"/>
    <n v="733.95"/>
    <n v="7"/>
    <n v="352.3"/>
  </r>
  <r>
    <s v="17-11-2014"/>
    <x v="12"/>
    <x v="4"/>
    <x v="553"/>
    <x v="2"/>
    <x v="2"/>
    <x v="3"/>
    <s v="Southworth 100% Cotton The Best Paper"/>
    <n v="34.44"/>
    <n v="3"/>
    <n v="17.22"/>
  </r>
  <r>
    <s v="17-11-2015"/>
    <x v="12"/>
    <x v="4"/>
    <x v="625"/>
    <x v="5"/>
    <x v="0"/>
    <x v="2"/>
    <s v="RCA ViSYS 25825 Wireless digital phone"/>
    <n v="415.97"/>
    <n v="4"/>
    <n v="52"/>
  </r>
  <r>
    <s v="17-11-2017"/>
    <x v="12"/>
    <x v="4"/>
    <x v="525"/>
    <x v="4"/>
    <x v="1"/>
    <x v="16"/>
    <s v="Atlantic Metals Mobile 2-Shelf Bookcases, Custom Colors"/>
    <n v="327.73"/>
    <n v="2"/>
    <n v="-14.46"/>
  </r>
  <r>
    <s v="17-11-2017"/>
    <x v="12"/>
    <x v="4"/>
    <x v="7"/>
    <x v="16"/>
    <x v="2"/>
    <x v="3"/>
    <s v="Wirebound Message Forms, Four 2 3/4 x 5 Forms per Page, Pink Paper"/>
    <n v="19.61"/>
    <n v="3"/>
    <n v="6.62"/>
  </r>
  <r>
    <s v="17-11-2017"/>
    <x v="12"/>
    <x v="4"/>
    <x v="430"/>
    <x v="12"/>
    <x v="2"/>
    <x v="3"/>
    <s v="Xerox 1938"/>
    <n v="268.24"/>
    <n v="7"/>
    <n v="93.88"/>
  </r>
  <r>
    <s v="17-12-2015"/>
    <x v="12"/>
    <x v="4"/>
    <x v="175"/>
    <x v="10"/>
    <x v="1"/>
    <x v="1"/>
    <s v="Hon Valutask Swivel Chairs"/>
    <n v="302.94"/>
    <n v="3"/>
    <n v="48.47"/>
  </r>
  <r>
    <s v="17-12-2017"/>
    <x v="12"/>
    <x v="4"/>
    <x v="226"/>
    <x v="4"/>
    <x v="2"/>
    <x v="10"/>
    <s v="Eureka Sanitaire  Commercial Upright"/>
    <n v="66.28"/>
    <n v="2"/>
    <n v="-178.97"/>
  </r>
  <r>
    <s v="17-12-2017"/>
    <x v="12"/>
    <x v="4"/>
    <x v="458"/>
    <x v="5"/>
    <x v="2"/>
    <x v="15"/>
    <s v="Fiskars Spring-Action Scissors"/>
    <n v="13.98"/>
    <n v="1"/>
    <n v="3.63"/>
  </r>
  <r>
    <s v="18-02-2017"/>
    <x v="12"/>
    <x v="4"/>
    <x v="518"/>
    <x v="5"/>
    <x v="2"/>
    <x v="8"/>
    <s v="Avery 493"/>
    <n v="9.82"/>
    <n v="2"/>
    <n v="4.8099999999999996"/>
  </r>
  <r>
    <s v="18-03-2014"/>
    <x v="12"/>
    <x v="4"/>
    <x v="596"/>
    <x v="11"/>
    <x v="0"/>
    <x v="14"/>
    <s v="Cisco TelePresence System EX90 Videoconferencing Unit"/>
    <n v="22638.48"/>
    <n v="6"/>
    <n v="-1811.08"/>
  </r>
  <r>
    <s v="18-03-2016"/>
    <x v="12"/>
    <x v="4"/>
    <x v="349"/>
    <x v="26"/>
    <x v="1"/>
    <x v="7"/>
    <s v="Balt Solid Wood Rectangular Table"/>
    <n v="189.88"/>
    <n v="3"/>
    <n v="-94.94"/>
  </r>
  <r>
    <s v="18-04-2014"/>
    <x v="12"/>
    <x v="4"/>
    <x v="175"/>
    <x v="5"/>
    <x v="0"/>
    <x v="14"/>
    <s v="Ativa MDM8000 8-Sheet Micro-Cut Shredder"/>
    <n v="287.97000000000003"/>
    <n v="4"/>
    <n v="97.19"/>
  </r>
  <r>
    <s v="18-04-2015"/>
    <x v="12"/>
    <x v="4"/>
    <x v="520"/>
    <x v="4"/>
    <x v="0"/>
    <x v="2"/>
    <s v="Grandstream GXP2100 Mainstream Business Phone"/>
    <n v="244.77"/>
    <n v="4"/>
    <n v="24.48"/>
  </r>
  <r>
    <s v="18-04-2016"/>
    <x v="12"/>
    <x v="4"/>
    <x v="284"/>
    <x v="20"/>
    <x v="0"/>
    <x v="2"/>
    <s v="SKILCRAFT Telephone Shoulder Rest, 2&quot; x 6.5&quot; x 2.5&quot;, Black"/>
    <n v="29.56"/>
    <n v="4"/>
    <n v="7.98"/>
  </r>
  <r>
    <s v="18-06-2015"/>
    <x v="12"/>
    <x v="4"/>
    <x v="433"/>
    <x v="23"/>
    <x v="2"/>
    <x v="3"/>
    <s v="Xerox 1922"/>
    <n v="11.95"/>
    <n v="3"/>
    <n v="4.33"/>
  </r>
  <r>
    <s v="18-07-2017"/>
    <x v="12"/>
    <x v="4"/>
    <x v="244"/>
    <x v="13"/>
    <x v="2"/>
    <x v="15"/>
    <s v="Acme Kleencut Forged Steel Scissors"/>
    <n v="9.18"/>
    <n v="2"/>
    <n v="1.1499999999999999"/>
  </r>
  <r>
    <s v="18-08-2017"/>
    <x v="12"/>
    <x v="4"/>
    <x v="537"/>
    <x v="1"/>
    <x v="0"/>
    <x v="0"/>
    <s v="Imation Bio 8GB USBÂ Flash Drive ImationÂ Corp"/>
    <n v="1496.16"/>
    <n v="9"/>
    <n v="224.42"/>
  </r>
  <r>
    <s v="18-09-2015"/>
    <x v="12"/>
    <x v="4"/>
    <x v="406"/>
    <x v="5"/>
    <x v="2"/>
    <x v="3"/>
    <s v="Rediform S.O.S. Phone Message Books"/>
    <n v="19.920000000000002"/>
    <n v="4"/>
    <n v="9.76"/>
  </r>
  <r>
    <s v="18-09-2015"/>
    <x v="12"/>
    <x v="4"/>
    <x v="23"/>
    <x v="24"/>
    <x v="0"/>
    <x v="2"/>
    <s v="Samsung Galaxy S4 Active"/>
    <n v="499.99"/>
    <n v="1"/>
    <n v="130"/>
  </r>
  <r>
    <s v="18-09-2016"/>
    <x v="12"/>
    <x v="4"/>
    <x v="244"/>
    <x v="18"/>
    <x v="2"/>
    <x v="11"/>
    <s v="Eldon Spacemaker Box, Quick-Snap Lid, Clear"/>
    <n v="2.67"/>
    <n v="1"/>
    <n v="0.37"/>
  </r>
  <r>
    <s v="18-10-2014"/>
    <x v="12"/>
    <x v="4"/>
    <x v="340"/>
    <x v="34"/>
    <x v="0"/>
    <x v="2"/>
    <s v="Avaya IP Phone 1140E VoIP phone"/>
    <n v="1394.95"/>
    <n v="5"/>
    <n v="362.69"/>
  </r>
  <r>
    <s v="18-11-2014"/>
    <x v="12"/>
    <x v="4"/>
    <x v="113"/>
    <x v="18"/>
    <x v="0"/>
    <x v="2"/>
    <s v="PNY Rapid USB Car Charger - Black"/>
    <n v="9.59"/>
    <n v="2"/>
    <n v="-2.08"/>
  </r>
  <r>
    <s v="18-11-2016"/>
    <x v="12"/>
    <x v="4"/>
    <x v="93"/>
    <x v="5"/>
    <x v="2"/>
    <x v="10"/>
    <s v="Fellowes Command Center 5-outlet power strip"/>
    <n v="67.84"/>
    <n v="1"/>
    <n v="18.32"/>
  </r>
  <r>
    <s v="18-12-2015"/>
    <x v="12"/>
    <x v="4"/>
    <x v="626"/>
    <x v="26"/>
    <x v="2"/>
    <x v="8"/>
    <s v="Avery 507"/>
    <n v="18.43"/>
    <n v="8"/>
    <n v="5.99"/>
  </r>
  <r>
    <s v="18-12-2017"/>
    <x v="12"/>
    <x v="4"/>
    <x v="21"/>
    <x v="5"/>
    <x v="1"/>
    <x v="16"/>
    <s v="Bush Saratoga Collection 5-Shelf Bookcase, Hanover Cherry, *Special Order"/>
    <n v="119.83"/>
    <n v="1"/>
    <n v="-12.69"/>
  </r>
  <r>
    <s v="18-12-2017"/>
    <x v="12"/>
    <x v="4"/>
    <x v="159"/>
    <x v="5"/>
    <x v="2"/>
    <x v="11"/>
    <s v="Newell 327"/>
    <n v="6.63"/>
    <n v="3"/>
    <n v="1.79"/>
  </r>
  <r>
    <s v="19-01-2017"/>
    <x v="12"/>
    <x v="4"/>
    <x v="452"/>
    <x v="4"/>
    <x v="2"/>
    <x v="8"/>
    <s v="Avery 510"/>
    <n v="6"/>
    <n v="2"/>
    <n v="2.1"/>
  </r>
  <r>
    <s v="19-03-2014"/>
    <x v="12"/>
    <x v="4"/>
    <x v="34"/>
    <x v="11"/>
    <x v="0"/>
    <x v="0"/>
    <s v="LogitechÂ Wireless Boombox Speaker - portable - wireless, wired"/>
    <n v="170.24"/>
    <n v="2"/>
    <n v="53.2"/>
  </r>
  <r>
    <s v="19-04-2016"/>
    <x v="12"/>
    <x v="4"/>
    <x v="6"/>
    <x v="2"/>
    <x v="0"/>
    <x v="2"/>
    <s v="Gear Head AU3700S Headset"/>
    <n v="25.98"/>
    <n v="2"/>
    <n v="0.78"/>
  </r>
  <r>
    <s v="19-05-2017"/>
    <x v="12"/>
    <x v="4"/>
    <x v="627"/>
    <x v="19"/>
    <x v="2"/>
    <x v="3"/>
    <s v="Tops White Computer Printout Paper"/>
    <n v="195.64"/>
    <n v="4"/>
    <n v="91.95"/>
  </r>
  <r>
    <s v="19-06-2015"/>
    <x v="12"/>
    <x v="4"/>
    <x v="204"/>
    <x v="13"/>
    <x v="2"/>
    <x v="8"/>
    <s v="Self-Adhesive Address Labels for Typewriters with Dispenser Box"/>
    <n v="5.9"/>
    <n v="2"/>
    <n v="1.99"/>
  </r>
  <r>
    <s v="19-06-2017"/>
    <x v="12"/>
    <x v="4"/>
    <x v="508"/>
    <x v="4"/>
    <x v="2"/>
    <x v="10"/>
    <s v="Holmes Visible Mist Ultrasonic Humidifier with 2.3-Gallon Output per Day, Replacement Filter"/>
    <n v="2.2599999999999998"/>
    <n v="1"/>
    <n v="-5.21"/>
  </r>
  <r>
    <s v="19-07-2015"/>
    <x v="12"/>
    <x v="4"/>
    <x v="628"/>
    <x v="23"/>
    <x v="2"/>
    <x v="9"/>
    <s v="Wilson Jones DublLock D-Ring Binders"/>
    <n v="2.0299999999999998"/>
    <n v="1"/>
    <n v="-1.35"/>
  </r>
  <r>
    <s v="19-09-2014"/>
    <x v="12"/>
    <x v="4"/>
    <x v="176"/>
    <x v="4"/>
    <x v="0"/>
    <x v="14"/>
    <s v="Xerox WorkCentre 6505DN Laser Multifunction Printer"/>
    <n v="2519.96"/>
    <n v="7"/>
    <n v="-252"/>
  </r>
  <r>
    <s v="19-09-2016"/>
    <x v="12"/>
    <x v="4"/>
    <x v="572"/>
    <x v="19"/>
    <x v="2"/>
    <x v="15"/>
    <s v="Letter Slitter"/>
    <n v="5.04"/>
    <n v="2"/>
    <n v="0.15"/>
  </r>
  <r>
    <s v="19-09-2017"/>
    <x v="12"/>
    <x v="4"/>
    <x v="602"/>
    <x v="5"/>
    <x v="2"/>
    <x v="11"/>
    <s v="Newell 33"/>
    <n v="16.739999999999998"/>
    <n v="3"/>
    <n v="4.8499999999999996"/>
  </r>
  <r>
    <s v="19-10-2014"/>
    <x v="12"/>
    <x v="4"/>
    <x v="368"/>
    <x v="5"/>
    <x v="0"/>
    <x v="2"/>
    <s v="Panasonic KX TS208W Corded phone"/>
    <n v="117.58"/>
    <n v="3"/>
    <n v="11.76"/>
  </r>
  <r>
    <s v="19-10-2017"/>
    <x v="12"/>
    <x v="4"/>
    <x v="496"/>
    <x v="4"/>
    <x v="1"/>
    <x v="16"/>
    <s v="Rush Hierlooms Collection Rich Wood Bookcases"/>
    <n v="328.4"/>
    <n v="3"/>
    <n v="-91.76"/>
  </r>
  <r>
    <s v="19-11-2014"/>
    <x v="12"/>
    <x v="4"/>
    <x v="343"/>
    <x v="13"/>
    <x v="2"/>
    <x v="3"/>
    <s v="1/4 Fold Party Design Invitations &amp; White Envelopes, 24 8-1/2&quot; X 11&quot; Cards, 25 Env./Pack"/>
    <n v="5.88"/>
    <n v="1"/>
    <n v="1.98"/>
  </r>
  <r>
    <s v="19-11-2016"/>
    <x v="12"/>
    <x v="4"/>
    <x v="46"/>
    <x v="4"/>
    <x v="2"/>
    <x v="13"/>
    <s v="Recycled Interoffice Envelopes with Re-Use-A-Seal Closure, 10 x 13"/>
    <n v="40.97"/>
    <n v="3"/>
    <n v="13.83"/>
  </r>
  <r>
    <s v="19-11-2016"/>
    <x v="12"/>
    <x v="4"/>
    <x v="170"/>
    <x v="2"/>
    <x v="2"/>
    <x v="11"/>
    <s v="Newell 340"/>
    <n v="17.28"/>
    <n v="6"/>
    <n v="5.01"/>
  </r>
  <r>
    <s v="19-11-2016"/>
    <x v="12"/>
    <x v="4"/>
    <x v="22"/>
    <x v="2"/>
    <x v="2"/>
    <x v="10"/>
    <s v="Disposable Triple-Filter Dust Bags"/>
    <n v="8.74"/>
    <n v="2"/>
    <n v="2.27"/>
  </r>
  <r>
    <s v="19-11-2017"/>
    <x v="12"/>
    <x v="4"/>
    <x v="117"/>
    <x v="4"/>
    <x v="2"/>
    <x v="3"/>
    <s v="Xerox 1901"/>
    <n v="16.899999999999999"/>
    <n v="4"/>
    <n v="5.28"/>
  </r>
  <r>
    <s v="19-11-2017"/>
    <x v="12"/>
    <x v="4"/>
    <x v="75"/>
    <x v="4"/>
    <x v="2"/>
    <x v="11"/>
    <s v="Avery Hi-Liter GlideStik Fluorescent Highlighter, Yellow Ink"/>
    <n v="13.04"/>
    <n v="5"/>
    <n v="3.91"/>
  </r>
  <r>
    <s v="19-12-2014"/>
    <x v="12"/>
    <x v="4"/>
    <x v="90"/>
    <x v="3"/>
    <x v="0"/>
    <x v="2"/>
    <s v="RCA ViSYS 25425RE1 Corded phone"/>
    <n v="323.98"/>
    <n v="3"/>
    <n v="36.450000000000003"/>
  </r>
  <r>
    <s v="20-05-2014"/>
    <x v="12"/>
    <x v="4"/>
    <x v="609"/>
    <x v="41"/>
    <x v="2"/>
    <x v="10"/>
    <s v="Acco 6 Outlet Guardian Basic Surge Suppressor"/>
    <n v="33.28"/>
    <n v="4"/>
    <n v="9.32"/>
  </r>
  <r>
    <s v="20-05-2014"/>
    <x v="12"/>
    <x v="4"/>
    <x v="534"/>
    <x v="4"/>
    <x v="1"/>
    <x v="5"/>
    <s v="Contemporary Borderless Frame"/>
    <n v="10.33"/>
    <n v="3"/>
    <n v="-5.94"/>
  </r>
  <r>
    <s v="20-10-2014"/>
    <x v="12"/>
    <x v="4"/>
    <x v="629"/>
    <x v="3"/>
    <x v="2"/>
    <x v="3"/>
    <s v="Wirebound Voice Message Log Book"/>
    <n v="3.81"/>
    <n v="1"/>
    <n v="1.24"/>
  </r>
  <r>
    <s v="20-11-2015"/>
    <x v="12"/>
    <x v="4"/>
    <x v="257"/>
    <x v="18"/>
    <x v="1"/>
    <x v="5"/>
    <s v="Ultra Commercial Grade Dual Valve Door Closer"/>
    <n v="63.82"/>
    <n v="2"/>
    <n v="9.57"/>
  </r>
  <r>
    <s v="20-11-2015"/>
    <x v="12"/>
    <x v="4"/>
    <x v="630"/>
    <x v="4"/>
    <x v="0"/>
    <x v="14"/>
    <s v="NeatDesk Desktop Scanner &amp; Digital Filing System"/>
    <n v="479.99"/>
    <n v="2"/>
    <n v="56"/>
  </r>
  <r>
    <s v="20-11-2016"/>
    <x v="12"/>
    <x v="4"/>
    <x v="47"/>
    <x v="18"/>
    <x v="2"/>
    <x v="4"/>
    <s v="Advantus SlideClip Paper Clips"/>
    <n v="19.100000000000001"/>
    <n v="7"/>
    <n v="6.68"/>
  </r>
  <r>
    <s v="20-12-2014"/>
    <x v="12"/>
    <x v="4"/>
    <x v="631"/>
    <x v="20"/>
    <x v="2"/>
    <x v="6"/>
    <s v="SAFCO Commercial Wire Shelving, 72h"/>
    <n v="122.48"/>
    <n v="2"/>
    <n v="0"/>
  </r>
  <r>
    <s v="20-12-2015"/>
    <x v="12"/>
    <x v="4"/>
    <x v="133"/>
    <x v="23"/>
    <x v="2"/>
    <x v="13"/>
    <s v="#6 3/4 Gummed Flap White Envelopes"/>
    <n v="7.92"/>
    <n v="1"/>
    <n v="2.77"/>
  </r>
  <r>
    <s v="21-01-2017"/>
    <x v="12"/>
    <x v="4"/>
    <x v="220"/>
    <x v="1"/>
    <x v="1"/>
    <x v="16"/>
    <s v="O'Sullivan Cherrywood Estates Traditional Bookcase"/>
    <n v="84.98"/>
    <n v="1"/>
    <n v="18.7"/>
  </r>
  <r>
    <s v="21-01-2017"/>
    <x v="12"/>
    <x v="4"/>
    <x v="632"/>
    <x v="10"/>
    <x v="0"/>
    <x v="14"/>
    <s v="I.R.I.S IRISCard Anywhere 5 Card Scanner"/>
    <n v="350.97"/>
    <n v="3"/>
    <n v="152.09"/>
  </r>
  <r>
    <s v="21-02-2017"/>
    <x v="12"/>
    <x v="4"/>
    <x v="566"/>
    <x v="4"/>
    <x v="0"/>
    <x v="0"/>
    <s v="Microsoft Natural Keyboard Elite"/>
    <n v="47.9"/>
    <n v="1"/>
    <n v="-2.99"/>
  </r>
  <r>
    <s v="21-03-2016"/>
    <x v="12"/>
    <x v="4"/>
    <x v="231"/>
    <x v="4"/>
    <x v="1"/>
    <x v="7"/>
    <s v="Safco Drafting Table"/>
    <n v="99.37"/>
    <n v="2"/>
    <n v="-1.42"/>
  </r>
  <r>
    <s v="21-04-2014"/>
    <x v="12"/>
    <x v="4"/>
    <x v="322"/>
    <x v="5"/>
    <x v="2"/>
    <x v="9"/>
    <s v="ACCOHIDE Binder by Acco"/>
    <n v="16.52"/>
    <n v="5"/>
    <n v="5.58"/>
  </r>
  <r>
    <s v="21-05-2016"/>
    <x v="12"/>
    <x v="4"/>
    <x v="474"/>
    <x v="14"/>
    <x v="0"/>
    <x v="14"/>
    <s v="Panasonic KX MB2061 Multifunction Printer"/>
    <n v="2396.4"/>
    <n v="10"/>
    <n v="179.73"/>
  </r>
  <r>
    <s v="21-06-2014"/>
    <x v="12"/>
    <x v="4"/>
    <x v="393"/>
    <x v="13"/>
    <x v="0"/>
    <x v="14"/>
    <s v="Epson Perfection V600 Photo Scanner"/>
    <n v="206.99"/>
    <n v="3"/>
    <n v="-172.49"/>
  </r>
  <r>
    <s v="21-07-2014"/>
    <x v="12"/>
    <x v="4"/>
    <x v="213"/>
    <x v="27"/>
    <x v="0"/>
    <x v="2"/>
    <s v="Griffin GC17055 Auxiliary Audio Cable"/>
    <n v="35.979999999999997"/>
    <n v="2"/>
    <n v="10.07"/>
  </r>
  <r>
    <s v="21-08-2017"/>
    <x v="12"/>
    <x v="4"/>
    <x v="118"/>
    <x v="24"/>
    <x v="1"/>
    <x v="5"/>
    <s v="DAX Executive Solid Wood Document Frame, Desktop or Hang, Mahogany, 5 x 7"/>
    <n v="25.16"/>
    <n v="2"/>
    <n v="8.5500000000000007"/>
  </r>
  <r>
    <s v="21-11-2015"/>
    <x v="12"/>
    <x v="4"/>
    <x v="617"/>
    <x v="18"/>
    <x v="2"/>
    <x v="15"/>
    <s v="Acme Rosewood Handle Letter Opener"/>
    <n v="15.88"/>
    <n v="5"/>
    <n v="-3.77"/>
  </r>
  <r>
    <s v="21-11-2015"/>
    <x v="12"/>
    <x v="4"/>
    <x v="356"/>
    <x v="4"/>
    <x v="2"/>
    <x v="10"/>
    <s v="Kensington 6 Outlet SmartSocket Surge Protector"/>
    <n v="24.59"/>
    <n v="3"/>
    <n v="-67.62"/>
  </r>
  <r>
    <s v="21-11-2016"/>
    <x v="12"/>
    <x v="4"/>
    <x v="246"/>
    <x v="18"/>
    <x v="0"/>
    <x v="14"/>
    <s v="Texas Instrument TI-15 Fraction Calculator"/>
    <n v="30.35"/>
    <n v="7"/>
    <n v="-24.28"/>
  </r>
  <r>
    <s v="21-12-2015"/>
    <x v="12"/>
    <x v="4"/>
    <x v="115"/>
    <x v="3"/>
    <x v="0"/>
    <x v="14"/>
    <s v="Star Micronics TSP800 TSP847IIU Receipt Printer"/>
    <n v="600.53"/>
    <n v="2"/>
    <n v="137.26"/>
  </r>
  <r>
    <s v="22-03-2015"/>
    <x v="12"/>
    <x v="4"/>
    <x v="633"/>
    <x v="11"/>
    <x v="2"/>
    <x v="6"/>
    <s v="Iris 3-Drawer Stacking Bin, Black"/>
    <n v="150.41"/>
    <n v="9"/>
    <n v="-33.840000000000003"/>
  </r>
  <r>
    <s v="22-05-2015"/>
    <x v="12"/>
    <x v="4"/>
    <x v="595"/>
    <x v="5"/>
    <x v="0"/>
    <x v="14"/>
    <s v="Zebra GX420t Direct Thermal/Thermal Transfer Printer"/>
    <n v="2973.32"/>
    <n v="7"/>
    <n v="334.5"/>
  </r>
  <r>
    <s v="22-08-2014"/>
    <x v="12"/>
    <x v="4"/>
    <x v="229"/>
    <x v="11"/>
    <x v="2"/>
    <x v="15"/>
    <s v="Acme Serrated Blade Letter Opener"/>
    <n v="7.63"/>
    <n v="3"/>
    <n v="-1.81"/>
  </r>
  <r>
    <s v="22-09-2017"/>
    <x v="12"/>
    <x v="4"/>
    <x v="128"/>
    <x v="35"/>
    <x v="2"/>
    <x v="3"/>
    <s v="Southworth 25% Cotton Linen-Finish Paper &amp; Envelopes"/>
    <n v="27.18"/>
    <n v="3"/>
    <n v="12.23"/>
  </r>
  <r>
    <s v="22-09-2017"/>
    <x v="12"/>
    <x v="4"/>
    <x v="634"/>
    <x v="19"/>
    <x v="2"/>
    <x v="11"/>
    <s v="Stride Job 150 Highlighters, Chisel Tip, Assorted Colors"/>
    <n v="17.940000000000001"/>
    <n v="3"/>
    <n v="6.46"/>
  </r>
  <r>
    <s v="22-10-2016"/>
    <x v="12"/>
    <x v="4"/>
    <x v="113"/>
    <x v="1"/>
    <x v="1"/>
    <x v="5"/>
    <s v="Linden 12&quot; Wall Clock With Oak Frame"/>
    <n v="101.94"/>
    <n v="3"/>
    <n v="30.58"/>
  </r>
  <r>
    <s v="22-11-2014"/>
    <x v="12"/>
    <x v="4"/>
    <x v="188"/>
    <x v="19"/>
    <x v="2"/>
    <x v="10"/>
    <s v="Holmes Harmony HEPA Air Purifier for 17 x 20 Room"/>
    <n v="675.12"/>
    <n v="3"/>
    <n v="290.3"/>
  </r>
  <r>
    <s v="22-11-2015"/>
    <x v="12"/>
    <x v="4"/>
    <x v="70"/>
    <x v="4"/>
    <x v="0"/>
    <x v="0"/>
    <s v="SanDisk Cruzer 8 GB USB Flash Drive"/>
    <n v="27.17"/>
    <n v="4"/>
    <n v="-1.36"/>
  </r>
  <r>
    <s v="23-01-2015"/>
    <x v="12"/>
    <x v="4"/>
    <x v="215"/>
    <x v="38"/>
    <x v="2"/>
    <x v="8"/>
    <s v="Avery 500"/>
    <n v="14.62"/>
    <n v="2"/>
    <n v="6.87"/>
  </r>
  <r>
    <s v="23-01-2016"/>
    <x v="12"/>
    <x v="4"/>
    <x v="303"/>
    <x v="42"/>
    <x v="2"/>
    <x v="11"/>
    <s v="4009 Highlighters"/>
    <n v="8.0399999999999991"/>
    <n v="6"/>
    <n v="2.73"/>
  </r>
  <r>
    <s v="23-06-2015"/>
    <x v="12"/>
    <x v="4"/>
    <x v="191"/>
    <x v="1"/>
    <x v="0"/>
    <x v="2"/>
    <s v="Pyle PRT45 Retro HomeÂ Telephone"/>
    <n v="201.57"/>
    <n v="4"/>
    <n v="22.68"/>
  </r>
  <r>
    <s v="23-06-2015"/>
    <x v="12"/>
    <x v="4"/>
    <x v="609"/>
    <x v="19"/>
    <x v="0"/>
    <x v="0"/>
    <s v="Dell Slim USB Multimedia Keyboard"/>
    <n v="75"/>
    <n v="3"/>
    <n v="18"/>
  </r>
  <r>
    <s v="23-10-2017"/>
    <x v="12"/>
    <x v="4"/>
    <x v="327"/>
    <x v="2"/>
    <x v="2"/>
    <x v="3"/>
    <s v="Xerox 1969"/>
    <n v="11.56"/>
    <n v="2"/>
    <n v="5.66"/>
  </r>
  <r>
    <s v="23-12-2016"/>
    <x v="12"/>
    <x v="4"/>
    <x v="376"/>
    <x v="13"/>
    <x v="0"/>
    <x v="2"/>
    <s v="LG G2"/>
    <n v="1499.97"/>
    <n v="5"/>
    <n v="-374.99"/>
  </r>
  <r>
    <s v="24-09-2015"/>
    <x v="12"/>
    <x v="4"/>
    <x v="635"/>
    <x v="28"/>
    <x v="0"/>
    <x v="2"/>
    <s v="AT&amp;T 1080 Phone"/>
    <n v="821.94"/>
    <n v="6"/>
    <n v="213.7"/>
  </r>
  <r>
    <s v="24-09-2017"/>
    <x v="12"/>
    <x v="4"/>
    <x v="309"/>
    <x v="5"/>
    <x v="0"/>
    <x v="14"/>
    <s v="Socket Bluetooth Cordless Hand Scanner (CHS)"/>
    <n v="506.28"/>
    <n v="3"/>
    <n v="177.2"/>
  </r>
  <r>
    <s v="24-11-2016"/>
    <x v="12"/>
    <x v="4"/>
    <x v="636"/>
    <x v="4"/>
    <x v="2"/>
    <x v="11"/>
    <s v="Dixon My First Ticonderoga Pencil, #2"/>
    <n v="14.04"/>
    <n v="3"/>
    <n v="1.58"/>
  </r>
  <r>
    <s v="25-05-2016"/>
    <x v="12"/>
    <x v="4"/>
    <x v="491"/>
    <x v="19"/>
    <x v="1"/>
    <x v="5"/>
    <s v="Eldon Expressions Mahogany Wood Desk Collection"/>
    <n v="24.96"/>
    <n v="4"/>
    <n v="6.24"/>
  </r>
  <r>
    <s v="25-06-2016"/>
    <x v="12"/>
    <x v="4"/>
    <x v="226"/>
    <x v="4"/>
    <x v="1"/>
    <x v="5"/>
    <s v="Eldon Executive Woodline II Cherry Finish Desk Accessories"/>
    <n v="32.71"/>
    <n v="2"/>
    <n v="-26.17"/>
  </r>
  <r>
    <s v="25-11-2016"/>
    <x v="12"/>
    <x v="4"/>
    <x v="283"/>
    <x v="8"/>
    <x v="0"/>
    <x v="14"/>
    <s v="Konica Minolta magicolor 1690MF Multifunction Printer"/>
    <n v="319.92"/>
    <n v="8"/>
    <n v="118.37"/>
  </r>
  <r>
    <s v="25-11-2016"/>
    <x v="12"/>
    <x v="4"/>
    <x v="438"/>
    <x v="18"/>
    <x v="0"/>
    <x v="0"/>
    <s v="NETGEAR RangeMax WNR1000 Wireless Router"/>
    <n v="59.98"/>
    <n v="3"/>
    <n v="12"/>
  </r>
  <r>
    <s v="26-03-2014"/>
    <x v="12"/>
    <x v="4"/>
    <x v="637"/>
    <x v="5"/>
    <x v="2"/>
    <x v="11"/>
    <s v="Newell 308"/>
    <n v="3.36"/>
    <n v="2"/>
    <n v="0.84"/>
  </r>
  <r>
    <s v="26-06-2016"/>
    <x v="12"/>
    <x v="4"/>
    <x v="336"/>
    <x v="4"/>
    <x v="0"/>
    <x v="0"/>
    <s v="Memorex Mini Travel Drive 4 GB USB 2.0 Flash Drive"/>
    <n v="13.62"/>
    <n v="2"/>
    <n v="3.57"/>
  </r>
  <r>
    <s v="26-07-2014"/>
    <x v="12"/>
    <x v="4"/>
    <x v="6"/>
    <x v="14"/>
    <x v="0"/>
    <x v="0"/>
    <s v="Logitech Illuminated Ultrathin Keyboard with Backlighting"/>
    <n v="170.97"/>
    <n v="3"/>
    <n v="70.099999999999994"/>
  </r>
  <r>
    <s v="26-11-2016"/>
    <x v="12"/>
    <x v="4"/>
    <x v="638"/>
    <x v="34"/>
    <x v="0"/>
    <x v="14"/>
    <s v="Hewlett-Packard Deskjet 3050a All-in-One Color Inkjet Printer"/>
    <n v="3040"/>
    <n v="8"/>
    <n v="1459.2"/>
  </r>
  <r>
    <s v="26-12-2015"/>
    <x v="12"/>
    <x v="4"/>
    <x v="576"/>
    <x v="4"/>
    <x v="1"/>
    <x v="1"/>
    <s v="Office Star - Contemporary Task Swivel chair with 2-way adjustable arms, Plum"/>
    <n v="275.06"/>
    <n v="3"/>
    <n v="-90.38"/>
  </r>
  <r>
    <s v="27-04-2015"/>
    <x v="12"/>
    <x v="4"/>
    <x v="495"/>
    <x v="44"/>
    <x v="0"/>
    <x v="14"/>
    <s v="Cisco SPA525G2 5-Line IP Phone"/>
    <n v="1379.92"/>
    <n v="8"/>
    <n v="648.55999999999995"/>
  </r>
  <r>
    <s v="27-05-2014"/>
    <x v="12"/>
    <x v="4"/>
    <x v="594"/>
    <x v="5"/>
    <x v="0"/>
    <x v="2"/>
    <s v="Plantronics HL10 Handset Lifter"/>
    <n v="1113.5"/>
    <n v="12"/>
    <n v="125.27"/>
  </r>
  <r>
    <s v="27-05-2014"/>
    <x v="12"/>
    <x v="4"/>
    <x v="639"/>
    <x v="3"/>
    <x v="2"/>
    <x v="9"/>
    <s v="Fellowes Presentation Covers for Comb Binding Machines"/>
    <n v="17.46"/>
    <n v="6"/>
    <n v="-30.56"/>
  </r>
  <r>
    <s v="27-05-2017"/>
    <x v="12"/>
    <x v="4"/>
    <x v="640"/>
    <x v="12"/>
    <x v="0"/>
    <x v="0"/>
    <s v="Sony 8GB Class 10 Micro SDHC R40 Memory Card"/>
    <n v="27.19"/>
    <n v="3"/>
    <n v="0.34"/>
  </r>
  <r>
    <s v="27-08-2014"/>
    <x v="12"/>
    <x v="4"/>
    <x v="510"/>
    <x v="5"/>
    <x v="0"/>
    <x v="2"/>
    <s v="Cisco SPA 501G IP Phone"/>
    <n v="213.48"/>
    <n v="3"/>
    <n v="16.010000000000002"/>
  </r>
  <r>
    <s v="27-08-2016"/>
    <x v="12"/>
    <x v="4"/>
    <x v="66"/>
    <x v="11"/>
    <x v="2"/>
    <x v="8"/>
    <s v="Avery 484"/>
    <n v="9.2200000000000006"/>
    <n v="4"/>
    <n v="3.34"/>
  </r>
  <r>
    <s v="27-12-2014"/>
    <x v="12"/>
    <x v="4"/>
    <x v="181"/>
    <x v="34"/>
    <x v="2"/>
    <x v="3"/>
    <s v="Xerox 1983"/>
    <n v="23.92"/>
    <n v="4"/>
    <n v="11.72"/>
  </r>
  <r>
    <s v="27-12-2015"/>
    <x v="12"/>
    <x v="4"/>
    <x v="155"/>
    <x v="4"/>
    <x v="2"/>
    <x v="13"/>
    <s v="#10-4 1/8&quot; x 9 1/2&quot; Premium Diagonal Seam Envelopes"/>
    <n v="113.33"/>
    <n v="9"/>
    <n v="35.42"/>
  </r>
  <r>
    <s v="29-08-2014"/>
    <x v="12"/>
    <x v="4"/>
    <x v="641"/>
    <x v="11"/>
    <x v="2"/>
    <x v="13"/>
    <s v="Jiffy Padded Mailers with Self-Seal Closure"/>
    <n v="29.81"/>
    <n v="2"/>
    <n v="10.81"/>
  </r>
  <r>
    <s v="29-09-2017"/>
    <x v="12"/>
    <x v="4"/>
    <x v="16"/>
    <x v="4"/>
    <x v="0"/>
    <x v="14"/>
    <s v="Wasp CCD Handheld Bar Code Reader"/>
    <n v="336.51"/>
    <n v="3"/>
    <n v="44.87"/>
  </r>
  <r>
    <s v="29-12-2017"/>
    <x v="12"/>
    <x v="4"/>
    <x v="79"/>
    <x v="1"/>
    <x v="2"/>
    <x v="4"/>
    <s v="Acco Glide Clips"/>
    <n v="19.600000000000001"/>
    <n v="5"/>
    <n v="9.6"/>
  </r>
  <r>
    <s v="30-01-2016"/>
    <x v="12"/>
    <x v="4"/>
    <x v="109"/>
    <x v="3"/>
    <x v="0"/>
    <x v="2"/>
    <s v="Nokia Lumia 1020"/>
    <n v="1439.97"/>
    <n v="4"/>
    <n v="144"/>
  </r>
  <r>
    <s v="30-03-2017"/>
    <x v="12"/>
    <x v="4"/>
    <x v="642"/>
    <x v="28"/>
    <x v="2"/>
    <x v="13"/>
    <s v="Multimedia Mailers"/>
    <n v="325.86"/>
    <n v="2"/>
    <n v="149.9"/>
  </r>
  <r>
    <s v="30-04-2017"/>
    <x v="12"/>
    <x v="4"/>
    <x v="470"/>
    <x v="25"/>
    <x v="2"/>
    <x v="8"/>
    <s v="Avery 5"/>
    <n v="5.76"/>
    <n v="2"/>
    <n v="2.82"/>
  </r>
  <r>
    <s v="30-05-2015"/>
    <x v="12"/>
    <x v="4"/>
    <x v="472"/>
    <x v="2"/>
    <x v="0"/>
    <x v="2"/>
    <s v="RCA H5401RE1 DECT 6.0 4-Line Cordless Handset With Caller ID/Call Waiting"/>
    <n v="239.97"/>
    <n v="3"/>
    <n v="2.4"/>
  </r>
  <r>
    <s v="30-10-2015"/>
    <x v="12"/>
    <x v="4"/>
    <x v="309"/>
    <x v="15"/>
    <x v="0"/>
    <x v="14"/>
    <s v="Lexmark S315 Color Inkjet Printer"/>
    <n v="59.99"/>
    <n v="2"/>
    <n v="-46"/>
  </r>
  <r>
    <s v="30-10-2015"/>
    <x v="12"/>
    <x v="4"/>
    <x v="454"/>
    <x v="2"/>
    <x v="0"/>
    <x v="14"/>
    <s v="Star Micronics TSP100 TSP143LAN Receipt Printer"/>
    <n v="1035.8"/>
    <n v="4"/>
    <n v="269.31"/>
  </r>
  <r>
    <s v="30-11-2014"/>
    <x v="12"/>
    <x v="4"/>
    <x v="507"/>
    <x v="2"/>
    <x v="2"/>
    <x v="13"/>
    <s v="Park Ridge Embossed Executive Business Envelopes"/>
    <n v="62.28"/>
    <n v="4"/>
    <n v="29.27"/>
  </r>
  <r>
    <s v="30-11-2017"/>
    <x v="12"/>
    <x v="4"/>
    <x v="357"/>
    <x v="2"/>
    <x v="0"/>
    <x v="2"/>
    <s v="Panasonic BusinessÂ TelephonesÂ KX-T7736"/>
    <n v="546.05999999999995"/>
    <n v="3"/>
    <n v="163.8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s v="Sanjit Engle"/>
    <n v="3056.98"/>
  </r>
  <r>
    <s v="Karen Daniels"/>
    <n v="2445.3999999999996"/>
  </r>
  <r>
    <s v="Nathan Mautz"/>
    <n v="2390.8500000000004"/>
  </r>
  <r>
    <s v="Keith Dawkins"/>
    <n v="2286.279999999999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50">
  <r>
    <x v="0"/>
    <s v="Bradley Drucker"/>
  </r>
  <r>
    <x v="0"/>
    <s v="Dave Brooks"/>
  </r>
  <r>
    <x v="0"/>
    <s v="Hallie Redmond"/>
  </r>
  <r>
    <x v="0"/>
    <s v="Vicky Freymann"/>
  </r>
  <r>
    <x v="0"/>
    <s v="Vicky Freymann"/>
  </r>
  <r>
    <x v="0"/>
    <s v="Shahid Collister"/>
  </r>
  <r>
    <x v="0"/>
    <s v="Shahid Collister"/>
  </r>
  <r>
    <x v="0"/>
    <s v="Shahid Collister"/>
  </r>
  <r>
    <x v="0"/>
    <s v="Shahid Collister"/>
  </r>
  <r>
    <x v="0"/>
    <s v="Giulietta Weimer"/>
  </r>
  <r>
    <x v="0"/>
    <s v="Giulietta Weimer"/>
  </r>
  <r>
    <x v="0"/>
    <s v="Kunst Miller"/>
  </r>
  <r>
    <x v="0"/>
    <s v="Kunst Miller"/>
  </r>
  <r>
    <x v="0"/>
    <s v="Katharine Harms"/>
  </r>
  <r>
    <x v="0"/>
    <s v="Katharine Harms"/>
  </r>
  <r>
    <x v="0"/>
    <s v="Dianna Wilson"/>
  </r>
  <r>
    <x v="0"/>
    <s v="Dianna Wilson"/>
  </r>
  <r>
    <x v="0"/>
    <s v="Dianna Wilson"/>
  </r>
  <r>
    <x v="0"/>
    <s v="Dianna Wilson"/>
  </r>
  <r>
    <x v="0"/>
    <s v="Corey Roper"/>
  </r>
  <r>
    <x v="0"/>
    <s v="Corey Roper"/>
  </r>
  <r>
    <x v="0"/>
    <s v="Liz Thompson"/>
  </r>
  <r>
    <x v="0"/>
    <s v="Liz Thompson"/>
  </r>
  <r>
    <x v="0"/>
    <s v="Quincy Jones"/>
  </r>
  <r>
    <x v="0"/>
    <s v="Quincy Jones"/>
  </r>
  <r>
    <x v="0"/>
    <s v="Dorris liebe"/>
  </r>
  <r>
    <x v="0"/>
    <s v="Laurel Workman"/>
  </r>
  <r>
    <x v="0"/>
    <s v="Laurel Workman"/>
  </r>
  <r>
    <x v="0"/>
    <s v="Barbara Fisher"/>
  </r>
  <r>
    <x v="0"/>
    <s v="Barbara Fisher"/>
  </r>
  <r>
    <x v="0"/>
    <s v="Barbara Fisher"/>
  </r>
  <r>
    <x v="0"/>
    <s v="Barbara Fisher"/>
  </r>
  <r>
    <x v="0"/>
    <s v="Ivan Liston"/>
  </r>
  <r>
    <x v="0"/>
    <s v="Ann Steele"/>
  </r>
  <r>
    <x v="0"/>
    <s v="Larry Tron"/>
  </r>
  <r>
    <x v="0"/>
    <s v="Jack Lebron"/>
  </r>
  <r>
    <x v="0"/>
    <s v="Jack Lebron"/>
  </r>
  <r>
    <x v="0"/>
    <s v="Lena Hernandez"/>
  </r>
  <r>
    <x v="0"/>
    <s v="Lena Hernandez"/>
  </r>
  <r>
    <x v="0"/>
    <s v="Neil FranzÃ¶sisch"/>
  </r>
  <r>
    <x v="0"/>
    <s v="Russell Applegate"/>
  </r>
  <r>
    <x v="0"/>
    <s v="Russell Applegate"/>
  </r>
  <r>
    <x v="0"/>
    <s v="Natalie DeCherney"/>
  </r>
  <r>
    <x v="0"/>
    <s v="Natalie DeCherney"/>
  </r>
  <r>
    <x v="0"/>
    <s v="Ken Heidel"/>
  </r>
  <r>
    <x v="0"/>
    <s v="Ken Heidel"/>
  </r>
  <r>
    <x v="0"/>
    <s v="Ken Heidel"/>
  </r>
  <r>
    <x v="0"/>
    <s v="Ken Heidel"/>
  </r>
  <r>
    <x v="0"/>
    <s v="Suzanne McNair"/>
  </r>
  <r>
    <x v="0"/>
    <s v="Jack O'Briant"/>
  </r>
  <r>
    <x v="0"/>
    <s v="Jack O'Briant"/>
  </r>
  <r>
    <x v="0"/>
    <s v="Paul Lucas"/>
  </r>
  <r>
    <x v="0"/>
    <s v="Paul Lucas"/>
  </r>
  <r>
    <x v="0"/>
    <s v="Daniel Lacy"/>
  </r>
  <r>
    <x v="0"/>
    <s v="Daniel Lacy"/>
  </r>
  <r>
    <x v="0"/>
    <s v="Daniel Lacy"/>
  </r>
  <r>
    <x v="0"/>
    <s v="Deirdre Greer"/>
  </r>
  <r>
    <x v="0"/>
    <s v="Erin Ashbrook"/>
  </r>
  <r>
    <x v="0"/>
    <s v="Erin Ashbrook"/>
  </r>
  <r>
    <x v="0"/>
    <s v="Erin Ashbrook"/>
  </r>
  <r>
    <x v="0"/>
    <s v="Resi PÃ¶lking"/>
  </r>
  <r>
    <x v="0"/>
    <s v="Resi PÃ¶lking"/>
  </r>
  <r>
    <x v="0"/>
    <s v="Toby Ritter"/>
  </r>
  <r>
    <x v="0"/>
    <s v="Toby Braunhardt"/>
  </r>
  <r>
    <x v="0"/>
    <s v="Joe Kamberova"/>
  </r>
  <r>
    <x v="0"/>
    <s v="Joe Kamberova"/>
  </r>
  <r>
    <x v="0"/>
    <s v="Joe Kamberova"/>
  </r>
  <r>
    <x v="0"/>
    <s v="Joe Kamberova"/>
  </r>
  <r>
    <x v="0"/>
    <s v="Matt Connell"/>
  </r>
  <r>
    <x v="0"/>
    <s v="Anna Andreadi"/>
  </r>
  <r>
    <x v="0"/>
    <s v="Anna Andreadi"/>
  </r>
  <r>
    <x v="0"/>
    <s v="Eric Barreto"/>
  </r>
  <r>
    <x v="0"/>
    <s v="Eric Barreto"/>
  </r>
  <r>
    <x v="0"/>
    <s v="Kristina Nunn"/>
  </r>
  <r>
    <x v="0"/>
    <s v="Kristina Nunn"/>
  </r>
  <r>
    <x v="0"/>
    <s v="Nicole Hansen"/>
  </r>
  <r>
    <x v="0"/>
    <s v="Nicole Hansen"/>
  </r>
  <r>
    <x v="0"/>
    <s v="Rob Dowd"/>
  </r>
  <r>
    <x v="0"/>
    <s v="Rob Dowd"/>
  </r>
  <r>
    <x v="0"/>
    <s v="Rob Dowd"/>
  </r>
  <r>
    <x v="0"/>
    <s v="Sam Craven"/>
  </r>
  <r>
    <x v="0"/>
    <s v="Sam Craven"/>
  </r>
  <r>
    <x v="0"/>
    <s v="Anna HÃ¤berlin"/>
  </r>
  <r>
    <x v="0"/>
    <s v="Andrew Roberts"/>
  </r>
  <r>
    <x v="0"/>
    <s v="Cari Schnelling"/>
  </r>
  <r>
    <x v="0"/>
    <s v="Christine Kargatis"/>
  </r>
  <r>
    <x v="0"/>
    <s v="Stewart Visinsky"/>
  </r>
  <r>
    <x v="0"/>
    <s v="Stewart Visinsky"/>
  </r>
  <r>
    <x v="0"/>
    <s v="Stewart Visinsky"/>
  </r>
  <r>
    <x v="0"/>
    <s v="Eric Hoffmann"/>
  </r>
  <r>
    <x v="0"/>
    <s v="Eric Hoffmann"/>
  </r>
  <r>
    <x v="0"/>
    <s v="Nick Zandusky"/>
  </r>
  <r>
    <x v="0"/>
    <s v="Nick Zandusky"/>
  </r>
  <r>
    <x v="0"/>
    <s v="Nick Zandusky"/>
  </r>
  <r>
    <x v="0"/>
    <s v="Justin MacKendrick"/>
  </r>
  <r>
    <x v="0"/>
    <s v="Justin MacKendrick"/>
  </r>
  <r>
    <x v="0"/>
    <s v="Clay Ludtke"/>
  </r>
  <r>
    <x v="0"/>
    <s v="Katherine Ducich"/>
  </r>
  <r>
    <x v="0"/>
    <s v="Christina VanderZanden"/>
  </r>
  <r>
    <x v="0"/>
    <s v="Andy Gerbode"/>
  </r>
  <r>
    <x v="0"/>
    <s v="Sanjit Chand"/>
  </r>
  <r>
    <x v="0"/>
    <s v="Bryan Mills"/>
  </r>
  <r>
    <x v="0"/>
    <s v="Erin Smith"/>
  </r>
  <r>
    <x v="0"/>
    <s v="Erin Smith"/>
  </r>
  <r>
    <x v="0"/>
    <s v="Erin Smith"/>
  </r>
  <r>
    <x v="0"/>
    <s v="Erin Smith"/>
  </r>
  <r>
    <x v="0"/>
    <s v="Erin Smith"/>
  </r>
  <r>
    <x v="0"/>
    <s v="Erin Smith"/>
  </r>
  <r>
    <x v="0"/>
    <s v="Roger Demir"/>
  </r>
  <r>
    <x v="0"/>
    <s v="Roger Demir"/>
  </r>
  <r>
    <x v="0"/>
    <s v="Liz Carlisle"/>
  </r>
  <r>
    <x v="0"/>
    <s v="Liz Carlisle"/>
  </r>
  <r>
    <x v="0"/>
    <s v="Liz Carlisle"/>
  </r>
  <r>
    <x v="0"/>
    <s v="Julie Kriz"/>
  </r>
  <r>
    <x v="0"/>
    <s v="Shahid Hopkins"/>
  </r>
  <r>
    <x v="0"/>
    <s v="Shahid Hopkins"/>
  </r>
  <r>
    <x v="0"/>
    <s v="Steven Ward"/>
  </r>
  <r>
    <x v="0"/>
    <s v="Steven Ward"/>
  </r>
  <r>
    <x v="0"/>
    <s v="David Philippe"/>
  </r>
  <r>
    <x v="0"/>
    <s v="David Philippe"/>
  </r>
  <r>
    <x v="0"/>
    <s v="David Philippe"/>
  </r>
  <r>
    <x v="0"/>
    <s v="Michael Dominguez"/>
  </r>
  <r>
    <x v="0"/>
    <s v="Michael Dominguez"/>
  </r>
  <r>
    <x v="0"/>
    <s v="Michael Dominguez"/>
  </r>
  <r>
    <x v="0"/>
    <s v="Katherine Nockton"/>
  </r>
  <r>
    <x v="0"/>
    <s v="Matt Collins"/>
  </r>
  <r>
    <x v="0"/>
    <s v="Odella Nelson"/>
  </r>
  <r>
    <x v="0"/>
    <s v="Odella Nelson"/>
  </r>
  <r>
    <x v="0"/>
    <s v="Odella Nelson"/>
  </r>
  <r>
    <x v="0"/>
    <s v="Odella Nelson"/>
  </r>
  <r>
    <x v="0"/>
    <s v="Elizabeth Moffitt"/>
  </r>
  <r>
    <x v="0"/>
    <s v="Elizabeth Moffitt"/>
  </r>
  <r>
    <x v="0"/>
    <s v="Darren Powers"/>
  </r>
  <r>
    <x v="0"/>
    <s v="Tom Boeckenhauer"/>
  </r>
  <r>
    <x v="0"/>
    <s v="Tom Boeckenhauer"/>
  </r>
  <r>
    <x v="0"/>
    <s v="Ashley Jarboe"/>
  </r>
  <r>
    <x v="0"/>
    <s v="Anne Pryor"/>
  </r>
  <r>
    <x v="0"/>
    <s v="Anne Pryor"/>
  </r>
  <r>
    <x v="0"/>
    <s v="Jill Stevenson"/>
  </r>
  <r>
    <x v="0"/>
    <s v="Jill Stevenson"/>
  </r>
  <r>
    <x v="0"/>
    <s v="Jill Stevenson"/>
  </r>
  <r>
    <x v="0"/>
    <s v="Sam Craven"/>
  </r>
  <r>
    <x v="0"/>
    <s v="Eva Jacobs"/>
  </r>
  <r>
    <x v="0"/>
    <s v="Katrina Edelman"/>
  </r>
  <r>
    <x v="0"/>
    <s v="Katrina Edelman"/>
  </r>
  <r>
    <x v="0"/>
    <s v="Joni Sundaresam"/>
  </r>
  <r>
    <x v="0"/>
    <s v="Nathan Cano"/>
  </r>
  <r>
    <x v="0"/>
    <s v="Nathan Cano"/>
  </r>
  <r>
    <x v="0"/>
    <s v="Steven Cartwright"/>
  </r>
  <r>
    <x v="0"/>
    <s v="Ross Baird"/>
  </r>
  <r>
    <x v="0"/>
    <s v="Richard Eichhorn"/>
  </r>
  <r>
    <x v="0"/>
    <s v="Richard Eichhorn"/>
  </r>
  <r>
    <x v="0"/>
    <s v="Bruce Stewart"/>
  </r>
  <r>
    <x v="0"/>
    <s v="Bruce Stewart"/>
  </r>
  <r>
    <x v="0"/>
    <s v="Berenike Kampe"/>
  </r>
  <r>
    <x v="0"/>
    <s v="Berenike Kampe"/>
  </r>
  <r>
    <x v="0"/>
    <s v="Berenike Kampe"/>
  </r>
  <r>
    <x v="0"/>
    <s v="Gary Hansen"/>
  </r>
  <r>
    <x v="0"/>
    <s v="Allen Goldenen"/>
  </r>
  <r>
    <x v="0"/>
    <s v="Mathew Reese"/>
  </r>
  <r>
    <x v="0"/>
    <s v="Beth Paige"/>
  </r>
  <r>
    <x v="0"/>
    <s v="Allen Rosenblatt"/>
  </r>
  <r>
    <x v="0"/>
    <s v="Sara Luxemburg"/>
  </r>
  <r>
    <x v="0"/>
    <s v="Sara Luxemburg"/>
  </r>
  <r>
    <x v="0"/>
    <s v="Denny Ordway"/>
  </r>
  <r>
    <x v="0"/>
    <s v="Denny Ordway"/>
  </r>
  <r>
    <x v="0"/>
    <s v="Denny Ordway"/>
  </r>
  <r>
    <x v="0"/>
    <s v="Russell D'Ascenzo"/>
  </r>
  <r>
    <x v="0"/>
    <s v="Russell D'Ascenzo"/>
  </r>
  <r>
    <x v="0"/>
    <s v="Russell D'Ascenzo"/>
  </r>
  <r>
    <x v="0"/>
    <s v="Russell D'Ascenzo"/>
  </r>
  <r>
    <x v="0"/>
    <s v="Maxwell Schwartz"/>
  </r>
  <r>
    <x v="0"/>
    <s v="Speros Goranitis"/>
  </r>
  <r>
    <x v="0"/>
    <s v="Speros Goranitis"/>
  </r>
  <r>
    <x v="0"/>
    <s v="Resi PÃ¶lking"/>
  </r>
  <r>
    <x v="0"/>
    <s v="Annie Thurman"/>
  </r>
  <r>
    <x v="0"/>
    <s v="Shahid Hopkins"/>
  </r>
  <r>
    <x v="0"/>
    <s v="Shahid Hopkins"/>
  </r>
  <r>
    <x v="0"/>
    <s v="Shahid Hopkins"/>
  </r>
  <r>
    <x v="0"/>
    <s v="Shahid Hopkins"/>
  </r>
  <r>
    <x v="0"/>
    <s v="Stephanie Phelps"/>
  </r>
  <r>
    <x v="0"/>
    <s v="Tracy Collins"/>
  </r>
  <r>
    <x v="0"/>
    <s v="Nathan Gelder"/>
  </r>
  <r>
    <x v="0"/>
    <s v="Phillina Ober"/>
  </r>
  <r>
    <x v="0"/>
    <s v="Phillina Ober"/>
  </r>
  <r>
    <x v="0"/>
    <s v="Phillina Ober"/>
  </r>
  <r>
    <x v="0"/>
    <s v="Deborah Brumfield"/>
  </r>
  <r>
    <x v="0"/>
    <s v="Deborah Brumfield"/>
  </r>
  <r>
    <x v="0"/>
    <s v="Mark Haberlin"/>
  </r>
  <r>
    <x v="0"/>
    <s v="Clay Ludtke"/>
  </r>
  <r>
    <x v="0"/>
    <s v="Sanjit Chand"/>
  </r>
  <r>
    <x v="0"/>
    <s v="Paul Knutson"/>
  </r>
  <r>
    <x v="0"/>
    <s v="Maurice Satty"/>
  </r>
  <r>
    <x v="0"/>
    <s v="Maurice Satty"/>
  </r>
  <r>
    <x v="0"/>
    <s v="Mary Zewe"/>
  </r>
  <r>
    <x v="0"/>
    <s v="Ken Black"/>
  </r>
  <r>
    <x v="0"/>
    <s v="Ken Black"/>
  </r>
  <r>
    <x v="0"/>
    <s v="Ken Black"/>
  </r>
  <r>
    <x v="0"/>
    <s v="Ken Black"/>
  </r>
  <r>
    <x v="0"/>
    <s v="Paul MacIntyre"/>
  </r>
  <r>
    <x v="0"/>
    <s v="Andrew Allen"/>
  </r>
  <r>
    <x v="0"/>
    <s v="Nat Carroll"/>
  </r>
  <r>
    <x v="0"/>
    <s v="Nat Carroll"/>
  </r>
  <r>
    <x v="0"/>
    <s v="Bill Shonely"/>
  </r>
  <r>
    <x v="0"/>
    <s v="Bill Shonely"/>
  </r>
  <r>
    <x v="0"/>
    <s v="Bobby Trafton"/>
  </r>
  <r>
    <x v="0"/>
    <s v="Bobby Trafton"/>
  </r>
  <r>
    <x v="0"/>
    <s v="Bobby Trafton"/>
  </r>
  <r>
    <x v="0"/>
    <s v="Katrina Edelman"/>
  </r>
  <r>
    <x v="0"/>
    <s v="Katrina Edelman"/>
  </r>
  <r>
    <x v="0"/>
    <s v="Maxwell Schwartz"/>
  </r>
  <r>
    <x v="0"/>
    <s v="Valerie Dominguez"/>
  </r>
  <r>
    <x v="0"/>
    <s v="Valerie Dominguez"/>
  </r>
  <r>
    <x v="0"/>
    <s v="Valerie Dominguez"/>
  </r>
  <r>
    <x v="0"/>
    <s v="Valerie Dominguez"/>
  </r>
  <r>
    <x v="0"/>
    <s v="Valerie Dominguez"/>
  </r>
  <r>
    <x v="0"/>
    <s v="Marina Lichtenstein"/>
  </r>
  <r>
    <x v="0"/>
    <s v="Marina Lichtenstein"/>
  </r>
  <r>
    <x v="0"/>
    <s v="Marina Lichtenstein"/>
  </r>
  <r>
    <x v="0"/>
    <s v="David Flashing"/>
  </r>
  <r>
    <x v="0"/>
    <s v="David Flashing"/>
  </r>
  <r>
    <x v="0"/>
    <s v="Joy Daniels"/>
  </r>
  <r>
    <x v="0"/>
    <s v="Chris Cortes"/>
  </r>
  <r>
    <x v="0"/>
    <s v="Nathan Mautz"/>
  </r>
  <r>
    <x v="0"/>
    <s v="Nathan Mautz"/>
  </r>
  <r>
    <x v="0"/>
    <s v="Nathan Mautz"/>
  </r>
  <r>
    <x v="0"/>
    <s v="Nathan Mautz"/>
  </r>
  <r>
    <x v="0"/>
    <s v="Nathan Mautz"/>
  </r>
  <r>
    <x v="0"/>
    <s v="Odella Nelson"/>
  </r>
  <r>
    <x v="0"/>
    <s v="MaryBeth Skach"/>
  </r>
  <r>
    <x v="0"/>
    <s v="William Brown"/>
  </r>
  <r>
    <x v="0"/>
    <s v="William Brown"/>
  </r>
  <r>
    <x v="0"/>
    <s v="William Brown"/>
  </r>
  <r>
    <x v="0"/>
    <s v="William Brown"/>
  </r>
  <r>
    <x v="0"/>
    <s v="William Brown"/>
  </r>
  <r>
    <x v="0"/>
    <s v="Sam Zeldin"/>
  </r>
  <r>
    <x v="0"/>
    <s v="Mick Brown"/>
  </r>
  <r>
    <x v="0"/>
    <s v="Aimee Bixby"/>
  </r>
  <r>
    <x v="0"/>
    <s v="Aimee Bixby"/>
  </r>
  <r>
    <x v="0"/>
    <s v="Aimee Bixby"/>
  </r>
  <r>
    <x v="0"/>
    <s v="Aimee Bixby"/>
  </r>
  <r>
    <x v="0"/>
    <s v="Aimee Bixby"/>
  </r>
  <r>
    <x v="0"/>
    <s v="Tracy Hopkins"/>
  </r>
  <r>
    <x v="0"/>
    <s v="Greg Maxwell"/>
  </r>
  <r>
    <x v="0"/>
    <s v="Greg Maxwell"/>
  </r>
  <r>
    <x v="0"/>
    <s v="Greg Maxwell"/>
  </r>
  <r>
    <x v="0"/>
    <s v="Greg Maxwell"/>
  </r>
  <r>
    <x v="0"/>
    <s v="John Grady"/>
  </r>
  <r>
    <x v="0"/>
    <s v="John Grady"/>
  </r>
  <r>
    <x v="0"/>
    <s v="Ruben Dartt"/>
  </r>
  <r>
    <x v="0"/>
    <s v="Ruben Dartt"/>
  </r>
  <r>
    <x v="0"/>
    <s v="Ruben Dartt"/>
  </r>
  <r>
    <x v="0"/>
    <s v="Ruben Dartt"/>
  </r>
  <r>
    <x v="0"/>
    <s v="Peter Fuller"/>
  </r>
  <r>
    <x v="0"/>
    <s v="Peter Fuller"/>
  </r>
  <r>
    <x v="0"/>
    <s v="Peter Fuller"/>
  </r>
  <r>
    <x v="0"/>
    <s v="Emily Burns"/>
  </r>
  <r>
    <x v="0"/>
    <s v="Katharine Harms"/>
  </r>
  <r>
    <x v="0"/>
    <s v="Giulietta Dortch"/>
  </r>
  <r>
    <x v="0"/>
    <s v="Michael Chen"/>
  </r>
  <r>
    <x v="0"/>
    <s v="Michael Chen"/>
  </r>
  <r>
    <x v="0"/>
    <s v="Michael Chen"/>
  </r>
  <r>
    <x v="0"/>
    <s v="Dan Campbell"/>
  </r>
  <r>
    <x v="0"/>
    <s v="Dan Campbell"/>
  </r>
  <r>
    <x v="0"/>
    <s v="Dennis Pardue"/>
  </r>
  <r>
    <x v="0"/>
    <s v="David Wiener"/>
  </r>
  <r>
    <x v="0"/>
    <s v="Don Miller"/>
  </r>
  <r>
    <x v="0"/>
    <s v="Don Miller"/>
  </r>
  <r>
    <x v="0"/>
    <s v="Chad Sievert"/>
  </r>
  <r>
    <x v="0"/>
    <s v="Chad Sievert"/>
  </r>
  <r>
    <x v="0"/>
    <s v="Chad Sievert"/>
  </r>
  <r>
    <x v="0"/>
    <s v="Sonia Sunley"/>
  </r>
  <r>
    <x v="0"/>
    <s v="Sonia Sunley"/>
  </r>
  <r>
    <x v="0"/>
    <s v="Sonia Sunley"/>
  </r>
  <r>
    <x v="0"/>
    <s v="Ricardo Sperren"/>
  </r>
  <r>
    <x v="0"/>
    <s v="Ricardo Sperren"/>
  </r>
  <r>
    <x v="0"/>
    <s v="Ricardo Sperren"/>
  </r>
  <r>
    <x v="0"/>
    <s v="Stephanie Phelps"/>
  </r>
  <r>
    <x v="0"/>
    <s v="Gary Zandusky"/>
  </r>
  <r>
    <x v="0"/>
    <s v="Nora Preis"/>
  </r>
  <r>
    <x v="0"/>
    <s v="Patrick Ryan"/>
  </r>
  <r>
    <x v="0"/>
    <s v="Brian Derr"/>
  </r>
  <r>
    <x v="0"/>
    <s v="Keith Herrera"/>
  </r>
  <r>
    <x v="0"/>
    <s v="Deanra Eno"/>
  </r>
  <r>
    <x v="0"/>
    <s v="Steven Roelle"/>
  </r>
  <r>
    <x v="0"/>
    <s v="Maribeth Dona"/>
  </r>
  <r>
    <x v="0"/>
    <s v="Maribeth Dona"/>
  </r>
  <r>
    <x v="0"/>
    <s v="Maribeth Dona"/>
  </r>
  <r>
    <x v="0"/>
    <s v="Maribeth Dona"/>
  </r>
  <r>
    <x v="0"/>
    <s v="Brendan Sweed"/>
  </r>
  <r>
    <x v="0"/>
    <s v="Brendan Sweed"/>
  </r>
  <r>
    <x v="0"/>
    <s v="David Kendrick"/>
  </r>
  <r>
    <x v="0"/>
    <s v="Roy Collins"/>
  </r>
  <r>
    <x v="0"/>
    <s v="Nona Balk"/>
  </r>
  <r>
    <x v="0"/>
    <s v="Erin Ashbrook"/>
  </r>
  <r>
    <x v="0"/>
    <s v="Erin Ashbrook"/>
  </r>
  <r>
    <x v="0"/>
    <s v="Erin Ashbrook"/>
  </r>
  <r>
    <x v="0"/>
    <s v="Erin Ashbrook"/>
  </r>
  <r>
    <x v="0"/>
    <s v="Rob Lucas"/>
  </r>
  <r>
    <x v="0"/>
    <s v="Rob Lucas"/>
  </r>
  <r>
    <x v="0"/>
    <s v="Joni Blumstein"/>
  </r>
  <r>
    <x v="0"/>
    <s v="Lycoris Saunders"/>
  </r>
  <r>
    <x v="0"/>
    <s v="Jack O'Briant"/>
  </r>
  <r>
    <x v="0"/>
    <s v="Maria Etezadi"/>
  </r>
  <r>
    <x v="0"/>
    <s v="Maria Etezadi"/>
  </r>
  <r>
    <x v="0"/>
    <s v="Maria Etezadi"/>
  </r>
  <r>
    <x v="0"/>
    <s v="Maria Etezadi"/>
  </r>
  <r>
    <x v="0"/>
    <s v="Maria Etezadi"/>
  </r>
  <r>
    <x v="0"/>
    <s v="Maria Etezadi"/>
  </r>
  <r>
    <x v="0"/>
    <s v="Neil Ducich"/>
  </r>
  <r>
    <x v="0"/>
    <s v="Neil Ducich"/>
  </r>
  <r>
    <x v="0"/>
    <s v="Delfina Latchford"/>
  </r>
  <r>
    <x v="0"/>
    <s v="Shirley Daniels"/>
  </r>
  <r>
    <x v="0"/>
    <s v="Scott Cohen"/>
  </r>
  <r>
    <x v="0"/>
    <s v="Scott Cohen"/>
  </r>
  <r>
    <x v="0"/>
    <s v="Andy Yotov"/>
  </r>
  <r>
    <x v="0"/>
    <s v="Andy Yotov"/>
  </r>
  <r>
    <x v="0"/>
    <s v="Andy Yotov"/>
  </r>
  <r>
    <x v="0"/>
    <s v="Frank Hawley"/>
  </r>
  <r>
    <x v="0"/>
    <s v="Steve Nguyen"/>
  </r>
  <r>
    <x v="0"/>
    <s v="Bryan Mills"/>
  </r>
  <r>
    <x v="0"/>
    <s v="Grant Thornton"/>
  </r>
  <r>
    <x v="0"/>
    <s v="Grant Thornton"/>
  </r>
  <r>
    <x v="0"/>
    <s v="Grant Thornton"/>
  </r>
  <r>
    <x v="0"/>
    <s v="Sarah Bern"/>
  </r>
  <r>
    <x v="0"/>
    <s v="Valerie Takahito"/>
  </r>
  <r>
    <x v="0"/>
    <s v="Stewart Visinsky"/>
  </r>
  <r>
    <x v="0"/>
    <s v="Stewart Visinsky"/>
  </r>
  <r>
    <x v="0"/>
    <s v="Emily Phan"/>
  </r>
  <r>
    <x v="0"/>
    <s v="Becky Castell"/>
  </r>
  <r>
    <x v="0"/>
    <s v="Trudy Brown"/>
  </r>
  <r>
    <x v="0"/>
    <s v="Victoria Pisteka"/>
  </r>
  <r>
    <x v="0"/>
    <s v="Xylona Preis"/>
  </r>
  <r>
    <x v="0"/>
    <s v="Joy Daniels"/>
  </r>
  <r>
    <x v="0"/>
    <s v="Victoria Pisteka"/>
  </r>
  <r>
    <x v="0"/>
    <s v="Ryan Crowe"/>
  </r>
  <r>
    <x v="0"/>
    <s v="Berenike Kampe"/>
  </r>
  <r>
    <x v="0"/>
    <s v="Berenike Kampe"/>
  </r>
  <r>
    <x v="0"/>
    <s v="Berenike Kampe"/>
  </r>
  <r>
    <x v="0"/>
    <s v="Berenike Kampe"/>
  </r>
  <r>
    <x v="0"/>
    <s v="Berenike Kampe"/>
  </r>
  <r>
    <x v="0"/>
    <s v="Roland Schwarz"/>
  </r>
  <r>
    <x v="0"/>
    <s v="Barry Gonzalez"/>
  </r>
  <r>
    <x v="0"/>
    <s v="Vivek Sundaresam"/>
  </r>
  <r>
    <x v="0"/>
    <s v="Vivek Sundaresam"/>
  </r>
  <r>
    <x v="0"/>
    <s v="Cyma Kinney"/>
  </r>
  <r>
    <x v="0"/>
    <s v="Aaron Bergman"/>
  </r>
  <r>
    <x v="0"/>
    <s v="Aaron Bergman"/>
  </r>
  <r>
    <x v="0"/>
    <s v="Aaron Bergman"/>
  </r>
  <r>
    <x v="0"/>
    <s v="Nora Pelletier"/>
  </r>
  <r>
    <x v="0"/>
    <s v="Craig Molinari"/>
  </r>
  <r>
    <x v="0"/>
    <s v="Craig Molinari"/>
  </r>
  <r>
    <x v="0"/>
    <s v="Craig Molinari"/>
  </r>
  <r>
    <x v="0"/>
    <s v="Craig Molinari"/>
  </r>
  <r>
    <x v="0"/>
    <s v="Pauline Johnson"/>
  </r>
  <r>
    <x v="0"/>
    <s v="Roland Schwarz"/>
  </r>
  <r>
    <x v="0"/>
    <s v="Roland Schwarz"/>
  </r>
  <r>
    <x v="0"/>
    <s v="Valerie Mitchum"/>
  </r>
  <r>
    <x v="0"/>
    <s v="Valerie Mitchum"/>
  </r>
  <r>
    <x v="0"/>
    <s v="Carol Triggs"/>
  </r>
  <r>
    <x v="0"/>
    <s v="Carol Triggs"/>
  </r>
  <r>
    <x v="0"/>
    <s v="Carol Triggs"/>
  </r>
  <r>
    <x v="0"/>
    <s v="Carol Triggs"/>
  </r>
  <r>
    <x v="0"/>
    <s v="John Lee"/>
  </r>
  <r>
    <x v="0"/>
    <s v="Sean Braxton"/>
  </r>
  <r>
    <x v="0"/>
    <s v="Sean Braxton"/>
  </r>
  <r>
    <x v="0"/>
    <s v="Tom Boeckenhauer"/>
  </r>
  <r>
    <x v="0"/>
    <s v="Tom Boeckenhauer"/>
  </r>
  <r>
    <x v="0"/>
    <s v="Tom Boeckenhauer"/>
  </r>
  <r>
    <x v="0"/>
    <s v="Tom Boeckenhauer"/>
  </r>
  <r>
    <x v="0"/>
    <s v="Dennis Kane"/>
  </r>
  <r>
    <x v="0"/>
    <s v="Sam Zeldin"/>
  </r>
  <r>
    <x v="0"/>
    <s v="Sam Zeldin"/>
  </r>
  <r>
    <x v="0"/>
    <s v="Sam Zeldin"/>
  </r>
  <r>
    <x v="0"/>
    <s v="Sam Zeldin"/>
  </r>
  <r>
    <x v="0"/>
    <s v="Rick Bensley"/>
  </r>
  <r>
    <x v="0"/>
    <s v="Rick Bensley"/>
  </r>
  <r>
    <x v="0"/>
    <s v="Rick Bensley"/>
  </r>
  <r>
    <x v="0"/>
    <s v="Lisa Ryan"/>
  </r>
  <r>
    <x v="0"/>
    <s v="Lisa Ryan"/>
  </r>
  <r>
    <x v="0"/>
    <s v="Shahid Shariari"/>
  </r>
  <r>
    <x v="0"/>
    <s v="Shahid Shariari"/>
  </r>
  <r>
    <x v="0"/>
    <s v="Mathew Reese"/>
  </r>
  <r>
    <x v="0"/>
    <s v="John Grady"/>
  </r>
  <r>
    <x v="0"/>
    <s v="Tamara Chand"/>
  </r>
  <r>
    <x v="0"/>
    <s v="Steven Cartwright"/>
  </r>
  <r>
    <x v="0"/>
    <s v="Steven Cartwright"/>
  </r>
  <r>
    <x v="0"/>
    <s v="Steven Cartwright"/>
  </r>
  <r>
    <x v="0"/>
    <s v="Maribeth Schnelling"/>
  </r>
  <r>
    <x v="0"/>
    <s v="Maribeth Schnelling"/>
  </r>
  <r>
    <x v="0"/>
    <s v="Maribeth Schnelling"/>
  </r>
  <r>
    <x v="0"/>
    <s v="Maribeth Schnelling"/>
  </r>
  <r>
    <x v="0"/>
    <s v="Bart Pistole"/>
  </r>
  <r>
    <x v="0"/>
    <s v="Bart Pistole"/>
  </r>
  <r>
    <x v="0"/>
    <s v="Troy Blackwell"/>
  </r>
  <r>
    <x v="0"/>
    <s v="Frank Preis"/>
  </r>
  <r>
    <x v="0"/>
    <s v="Erica Hernandez"/>
  </r>
  <r>
    <x v="0"/>
    <s v="Nathan Mautz"/>
  </r>
  <r>
    <x v="0"/>
    <s v="Jim Mitchum"/>
  </r>
  <r>
    <x v="0"/>
    <s v="Ruben Ausman"/>
  </r>
  <r>
    <x v="0"/>
    <s v="Nathan Mautz"/>
  </r>
  <r>
    <x v="0"/>
    <s v="Nathan Mautz"/>
  </r>
  <r>
    <x v="0"/>
    <s v="John Stevenson"/>
  </r>
  <r>
    <x v="0"/>
    <s v="Kean Thornton"/>
  </r>
  <r>
    <x v="0"/>
    <s v="Katrina Edelman"/>
  </r>
  <r>
    <x v="0"/>
    <s v="Rick Duston"/>
  </r>
  <r>
    <x v="0"/>
    <s v="Rick Duston"/>
  </r>
  <r>
    <x v="0"/>
    <s v="Ed Braxton"/>
  </r>
  <r>
    <x v="0"/>
    <s v="Ed Braxton"/>
  </r>
  <r>
    <x v="0"/>
    <s v="Lena Radford"/>
  </r>
  <r>
    <x v="0"/>
    <s v="Lena Radford"/>
  </r>
  <r>
    <x v="0"/>
    <s v="Lena Radford"/>
  </r>
  <r>
    <x v="0"/>
    <s v="Maria Bertelson"/>
  </r>
  <r>
    <x v="0"/>
    <s v="Maria Bertelson"/>
  </r>
  <r>
    <x v="0"/>
    <s v="Matt Abelman"/>
  </r>
  <r>
    <x v="0"/>
    <s v="Matt Abelman"/>
  </r>
  <r>
    <x v="0"/>
    <s v="Vivek Gonzalez"/>
  </r>
  <r>
    <x v="0"/>
    <s v="Becky Martin"/>
  </r>
  <r>
    <x v="0"/>
    <s v="Becky Martin"/>
  </r>
  <r>
    <x v="0"/>
    <s v="Becky Martin"/>
  </r>
  <r>
    <x v="0"/>
    <s v="Becky Martin"/>
  </r>
  <r>
    <x v="0"/>
    <s v="Gary Zandusky"/>
  </r>
  <r>
    <x v="0"/>
    <s v="Lisa Hazard"/>
  </r>
  <r>
    <x v="0"/>
    <s v="Karen Carlisle"/>
  </r>
  <r>
    <x v="0"/>
    <s v="Dennis Pardue"/>
  </r>
  <r>
    <x v="0"/>
    <s v="Dennis Pardue"/>
  </r>
  <r>
    <x v="0"/>
    <s v="Dennis Pardue"/>
  </r>
  <r>
    <x v="0"/>
    <s v="Ted Trevino"/>
  </r>
  <r>
    <x v="0"/>
    <s v="Stefania Perrino"/>
  </r>
  <r>
    <x v="0"/>
    <s v="Marc Crier"/>
  </r>
  <r>
    <x v="0"/>
    <s v="Marc Crier"/>
  </r>
  <r>
    <x v="0"/>
    <s v="Marc Crier"/>
  </r>
  <r>
    <x v="0"/>
    <s v="Kean Takahito"/>
  </r>
  <r>
    <x v="0"/>
    <s v="Kean Takahito"/>
  </r>
  <r>
    <x v="0"/>
    <s v="Paul Prost"/>
  </r>
  <r>
    <x v="0"/>
    <s v="Paul Prost"/>
  </r>
  <r>
    <x v="0"/>
    <s v="Toby Swindell"/>
  </r>
  <r>
    <x v="0"/>
    <s v="Jack Garza"/>
  </r>
  <r>
    <x v="0"/>
    <s v="Duane Noonan"/>
  </r>
  <r>
    <x v="0"/>
    <s v="Emily Burns"/>
  </r>
  <r>
    <x v="0"/>
    <s v="Thomas Boland"/>
  </r>
  <r>
    <x v="0"/>
    <s v="Tim Brockman"/>
  </r>
  <r>
    <x v="0"/>
    <s v="Tim Brockman"/>
  </r>
  <r>
    <x v="0"/>
    <s v="Tim Brockman"/>
  </r>
  <r>
    <x v="0"/>
    <s v="Tim Brockman"/>
  </r>
  <r>
    <x v="0"/>
    <s v="Tim Brockman"/>
  </r>
  <r>
    <x v="0"/>
    <s v="Tim Brockman"/>
  </r>
  <r>
    <x v="0"/>
    <s v="Jim Karlsson"/>
  </r>
  <r>
    <x v="0"/>
    <s v="Denny Joy"/>
  </r>
  <r>
    <x v="0"/>
    <s v="Melanie Seite"/>
  </r>
  <r>
    <x v="0"/>
    <s v="Melanie Seite"/>
  </r>
  <r>
    <x v="0"/>
    <s v="Patrick Gardner"/>
  </r>
  <r>
    <x v="0"/>
    <s v="Sean Braxton"/>
  </r>
  <r>
    <x v="0"/>
    <s v="Sean Braxton"/>
  </r>
  <r>
    <x v="0"/>
    <s v="Sean Braxton"/>
  </r>
  <r>
    <x v="0"/>
    <s v="Brosina Hoffman"/>
  </r>
  <r>
    <x v="0"/>
    <s v="Brosina Hoffman"/>
  </r>
  <r>
    <x v="0"/>
    <s v="Brosina Hoffman"/>
  </r>
  <r>
    <x v="0"/>
    <s v="Brosina Hoffman"/>
  </r>
  <r>
    <x v="0"/>
    <s v="Carl Weiss"/>
  </r>
  <r>
    <x v="0"/>
    <s v="Carl Weiss"/>
  </r>
  <r>
    <x v="0"/>
    <s v="Carl Weiss"/>
  </r>
  <r>
    <x v="0"/>
    <s v="Chuck Magee"/>
  </r>
  <r>
    <x v="0"/>
    <s v="Chuck Magee"/>
  </r>
  <r>
    <x v="0"/>
    <s v="Frank Olsen"/>
  </r>
  <r>
    <x v="0"/>
    <s v="Thomas Seio"/>
  </r>
  <r>
    <x v="0"/>
    <s v="Brian Moss"/>
  </r>
  <r>
    <x v="0"/>
    <s v="Brian Moss"/>
  </r>
  <r>
    <x v="0"/>
    <s v="Gary Hansen"/>
  </r>
  <r>
    <x v="0"/>
    <s v="Gary Hansen"/>
  </r>
  <r>
    <x v="0"/>
    <s v="Gary Hansen"/>
  </r>
  <r>
    <x v="0"/>
    <s v="Darrin Sayre"/>
  </r>
  <r>
    <x v="0"/>
    <s v="Darrin Sayre"/>
  </r>
  <r>
    <x v="0"/>
    <s v="Darrin Sayre"/>
  </r>
  <r>
    <x v="0"/>
    <s v="Andy Gerbode"/>
  </r>
  <r>
    <x v="0"/>
    <s v="Emily Ducich"/>
  </r>
  <r>
    <x v="0"/>
    <s v="Matthew Grinstein"/>
  </r>
  <r>
    <x v="0"/>
    <s v="Matthew Grinstein"/>
  </r>
  <r>
    <x v="0"/>
    <s v="Joseph Holt"/>
  </r>
  <r>
    <x v="0"/>
    <s v="Gene McClure"/>
  </r>
  <r>
    <x v="0"/>
    <s v="Roger Demir"/>
  </r>
  <r>
    <x v="0"/>
    <s v="Roger Demir"/>
  </r>
  <r>
    <x v="0"/>
    <s v="Maribeth Schnelling"/>
  </r>
  <r>
    <x v="0"/>
    <s v="Rick Reed"/>
  </r>
  <r>
    <x v="0"/>
    <s v="Rick Reed"/>
  </r>
  <r>
    <x v="0"/>
    <s v="Rick Reed"/>
  </r>
  <r>
    <x v="0"/>
    <s v="Logan Currie"/>
  </r>
  <r>
    <x v="0"/>
    <s v="Logan Currie"/>
  </r>
  <r>
    <x v="0"/>
    <s v="Logan Currie"/>
  </r>
  <r>
    <x v="0"/>
    <s v="Logan Currie"/>
  </r>
  <r>
    <x v="0"/>
    <s v="Daniel Lacy"/>
  </r>
  <r>
    <x v="0"/>
    <s v="Nicole Fjeld"/>
  </r>
  <r>
    <x v="0"/>
    <s v="Chris Cortes"/>
  </r>
  <r>
    <x v="0"/>
    <s v="Shirley Jackson"/>
  </r>
  <r>
    <x v="0"/>
    <s v="Jeremy Pistek"/>
  </r>
  <r>
    <x v="0"/>
    <s v="Jeremy Pistek"/>
  </r>
  <r>
    <x v="0"/>
    <s v="Jeremy Pistek"/>
  </r>
  <r>
    <x v="0"/>
    <s v="Jeremy Pistek"/>
  </r>
  <r>
    <x v="0"/>
    <s v="Jeremy Pistek"/>
  </r>
  <r>
    <x v="0"/>
    <s v="Benjamin Farhat"/>
  </r>
  <r>
    <x v="0"/>
    <s v="Cyma Kinney"/>
  </r>
  <r>
    <x v="0"/>
    <s v="Dario Medina"/>
  </r>
  <r>
    <x v="0"/>
    <s v="Victoria Pisteka"/>
  </r>
  <r>
    <x v="0"/>
    <s v="Victoria Pisteka"/>
  </r>
  <r>
    <x v="0"/>
    <s v="Thomas Seio"/>
  </r>
  <r>
    <x v="0"/>
    <s v="Thomas Seio"/>
  </r>
  <r>
    <x v="0"/>
    <s v="Frank Preis"/>
  </r>
  <r>
    <x v="0"/>
    <s v="Anthony Jacobs"/>
  </r>
  <r>
    <x v="0"/>
    <s v="Anthony Jacobs"/>
  </r>
  <r>
    <x v="0"/>
    <s v="Kean Thornton"/>
  </r>
  <r>
    <x v="0"/>
    <s v="Arianne Irving"/>
  </r>
  <r>
    <x v="0"/>
    <s v="Arianne Irving"/>
  </r>
  <r>
    <x v="0"/>
    <s v="Art Foster"/>
  </r>
  <r>
    <x v="0"/>
    <s v="Greg Matthias"/>
  </r>
  <r>
    <x v="0"/>
    <s v="Greg Matthias"/>
  </r>
  <r>
    <x v="0"/>
    <s v="Greg Matthias"/>
  </r>
  <r>
    <x v="0"/>
    <s v="Heather Kirkland"/>
  </r>
  <r>
    <x v="0"/>
    <s v="Dianna Arnett"/>
  </r>
  <r>
    <x v="0"/>
    <s v="Clay Ludtke"/>
  </r>
  <r>
    <x v="0"/>
    <s v="Clay Ludtke"/>
  </r>
  <r>
    <x v="0"/>
    <s v="Sandra Flanagan"/>
  </r>
  <r>
    <x v="0"/>
    <s v="Sandra Flanagan"/>
  </r>
  <r>
    <x v="0"/>
    <s v="Tanja Norvell"/>
  </r>
  <r>
    <x v="0"/>
    <s v="Shirley Daniels"/>
  </r>
  <r>
    <x v="0"/>
    <s v="Craig Molinari"/>
  </r>
  <r>
    <x v="0"/>
    <s v="Craig Molinari"/>
  </r>
  <r>
    <x v="0"/>
    <s v="Richard Bierner"/>
  </r>
  <r>
    <x v="0"/>
    <s v="Richard Bierner"/>
  </r>
  <r>
    <x v="0"/>
    <s v="Fred Chung"/>
  </r>
  <r>
    <x v="0"/>
    <s v="Ruben Dartt"/>
  </r>
  <r>
    <x v="0"/>
    <s v="Ruben Dartt"/>
  </r>
  <r>
    <x v="0"/>
    <s v="Ruben Dartt"/>
  </r>
  <r>
    <x v="0"/>
    <s v="Ruben Dartt"/>
  </r>
  <r>
    <x v="0"/>
    <s v="Sam Craven"/>
  </r>
  <r>
    <x v="0"/>
    <s v="Sam Craven"/>
  </r>
  <r>
    <x v="0"/>
    <s v="Sam Craven"/>
  </r>
  <r>
    <x v="0"/>
    <s v="Sam Craven"/>
  </r>
  <r>
    <x v="0"/>
    <s v="Sally Matthias"/>
  </r>
  <r>
    <x v="0"/>
    <s v="Sally Matthias"/>
  </r>
  <r>
    <x v="0"/>
    <s v="Sally Hughsby"/>
  </r>
  <r>
    <x v="0"/>
    <s v="Sally Hughsby"/>
  </r>
  <r>
    <x v="0"/>
    <s v="Sally Hughsby"/>
  </r>
  <r>
    <x v="0"/>
    <s v="Seth Vernon"/>
  </r>
  <r>
    <x v="0"/>
    <s v="Guy Armstrong"/>
  </r>
  <r>
    <x v="0"/>
    <s v="Guy Armstrong"/>
  </r>
  <r>
    <x v="0"/>
    <s v="Guy Armstrong"/>
  </r>
  <r>
    <x v="0"/>
    <s v="Guy Armstrong"/>
  </r>
  <r>
    <x v="0"/>
    <s v="Guy Armstrong"/>
  </r>
  <r>
    <x v="0"/>
    <s v="Chloris Kastensmidt"/>
  </r>
  <r>
    <x v="0"/>
    <s v="Chloris Kastensmidt"/>
  </r>
  <r>
    <x v="0"/>
    <s v="Filia McAdams"/>
  </r>
  <r>
    <x v="0"/>
    <s v="Filia McAdams"/>
  </r>
  <r>
    <x v="0"/>
    <s v="Richard Bierner"/>
  </r>
  <r>
    <x v="0"/>
    <s v="Jay Kimmel"/>
  </r>
  <r>
    <x v="0"/>
    <s v="Jay Kimmel"/>
  </r>
  <r>
    <x v="0"/>
    <s v="Jay Kimmel"/>
  </r>
  <r>
    <x v="0"/>
    <s v="Gary Mitchum"/>
  </r>
  <r>
    <x v="0"/>
    <s v="Michelle Moray"/>
  </r>
  <r>
    <x v="0"/>
    <s v="Michelle Moray"/>
  </r>
  <r>
    <x v="0"/>
    <s v="Michelle Moray"/>
  </r>
  <r>
    <x v="0"/>
    <s v="Paul Gonzalez"/>
  </r>
  <r>
    <x v="0"/>
    <s v="Paul Gonzalez"/>
  </r>
  <r>
    <x v="0"/>
    <s v="Paul Gonzalez"/>
  </r>
  <r>
    <x v="0"/>
    <s v="Raymond Messe"/>
  </r>
  <r>
    <x v="0"/>
    <s v="Harold Dahlen"/>
  </r>
  <r>
    <x v="0"/>
    <s v="Laura Armstrong"/>
  </r>
  <r>
    <x v="0"/>
    <s v="Laura Armstrong"/>
  </r>
  <r>
    <x v="0"/>
    <s v="Michael Nguyen"/>
  </r>
  <r>
    <x v="0"/>
    <s v="Michael Nguyen"/>
  </r>
  <r>
    <x v="0"/>
    <s v="Mark Hamilton"/>
  </r>
  <r>
    <x v="0"/>
    <s v="Mark Hamilton"/>
  </r>
  <r>
    <x v="0"/>
    <s v="Jamie Kunitz"/>
  </r>
  <r>
    <x v="0"/>
    <s v="Greg Matthias"/>
  </r>
  <r>
    <x v="0"/>
    <s v="Greg Matthias"/>
  </r>
  <r>
    <x v="0"/>
    <s v="Greg Matthias"/>
  </r>
  <r>
    <x v="0"/>
    <s v="Ken Lonsdale"/>
  </r>
  <r>
    <x v="0"/>
    <s v="Liz Willingham"/>
  </r>
  <r>
    <x v="0"/>
    <s v="Jill Fjeld"/>
  </r>
  <r>
    <x v="0"/>
    <s v="Jill Fjeld"/>
  </r>
  <r>
    <x v="0"/>
    <s v="Dean percer"/>
  </r>
  <r>
    <x v="0"/>
    <s v="Dean percer"/>
  </r>
  <r>
    <x v="0"/>
    <s v="Helen Andreada"/>
  </r>
  <r>
    <x v="0"/>
    <s v="Helen Andreada"/>
  </r>
  <r>
    <x v="0"/>
    <s v="Dorothy Badders"/>
  </r>
  <r>
    <x v="0"/>
    <s v="Pete Kriz"/>
  </r>
  <r>
    <x v="0"/>
    <s v="Tracy Zic"/>
  </r>
  <r>
    <x v="0"/>
    <s v="Tracy Zic"/>
  </r>
  <r>
    <x v="0"/>
    <s v="Tracy Zic"/>
  </r>
  <r>
    <x v="0"/>
    <s v="Karen Daniels"/>
  </r>
  <r>
    <x v="0"/>
    <s v="Karen Daniels"/>
  </r>
  <r>
    <x v="0"/>
    <s v="Karen Daniels"/>
  </r>
  <r>
    <x v="0"/>
    <s v="Karen Daniels"/>
  </r>
  <r>
    <x v="0"/>
    <s v="Karen Daniels"/>
  </r>
  <r>
    <x v="0"/>
    <s v="Arthur Prichep"/>
  </r>
  <r>
    <x v="0"/>
    <s v="Arthur Prichep"/>
  </r>
  <r>
    <x v="0"/>
    <s v="Tom Stivers"/>
  </r>
  <r>
    <x v="0"/>
    <s v="Tom Stivers"/>
  </r>
  <r>
    <x v="0"/>
    <s v="Matt Abelman"/>
  </r>
  <r>
    <x v="0"/>
    <s v="Mary Zewe"/>
  </r>
  <r>
    <x v="0"/>
    <s v="Brosina Hoffman"/>
  </r>
  <r>
    <x v="0"/>
    <s v="Kristina Nunn"/>
  </r>
  <r>
    <x v="0"/>
    <s v="Kristina Nunn"/>
  </r>
  <r>
    <x v="0"/>
    <s v="Kristina Nunn"/>
  </r>
  <r>
    <x v="0"/>
    <s v="Sanjit Chand"/>
  </r>
  <r>
    <x v="0"/>
    <s v="Kean Nguyen"/>
  </r>
  <r>
    <x v="0"/>
    <s v="Kean Nguyen"/>
  </r>
  <r>
    <x v="0"/>
    <s v="Kean Nguyen"/>
  </r>
  <r>
    <x v="0"/>
    <s v="Stewart Visinsky"/>
  </r>
  <r>
    <x v="0"/>
    <s v="Edward Hooks"/>
  </r>
  <r>
    <x v="0"/>
    <s v="Kean Thornton"/>
  </r>
  <r>
    <x v="0"/>
    <s v="Alyssa Crouse"/>
  </r>
  <r>
    <x v="0"/>
    <s v="Ben Ferrer"/>
  </r>
  <r>
    <x v="0"/>
    <s v="Clay Ludtke"/>
  </r>
  <r>
    <x v="0"/>
    <s v="Clay Ludtke"/>
  </r>
  <r>
    <x v="0"/>
    <s v="Max Engle"/>
  </r>
  <r>
    <x v="0"/>
    <s v="Max Engle"/>
  </r>
  <r>
    <x v="0"/>
    <s v="Paul Van Hugh"/>
  </r>
  <r>
    <x v="0"/>
    <s v="Paul Van Hugh"/>
  </r>
  <r>
    <x v="0"/>
    <s v="Charles Sheldon"/>
  </r>
  <r>
    <x v="0"/>
    <s v="Ben Wallace"/>
  </r>
  <r>
    <x v="0"/>
    <s v="Duane Huffman"/>
  </r>
  <r>
    <x v="0"/>
    <s v="Duane Huffman"/>
  </r>
  <r>
    <x v="0"/>
    <s v="Duane Huffman"/>
  </r>
  <r>
    <x v="0"/>
    <s v="Duane Huffman"/>
  </r>
  <r>
    <x v="0"/>
    <s v="Lauren Leatherbury"/>
  </r>
  <r>
    <x v="0"/>
    <s v="Brad Norvell"/>
  </r>
  <r>
    <x v="0"/>
    <s v="Brad Norvell"/>
  </r>
  <r>
    <x v="0"/>
    <s v="Pete Takahito"/>
  </r>
  <r>
    <x v="0"/>
    <s v="Tom Ashbrook"/>
  </r>
  <r>
    <x v="0"/>
    <s v="Tom Ashbrook"/>
  </r>
  <r>
    <x v="0"/>
    <s v="Tom Ashbrook"/>
  </r>
  <r>
    <x v="0"/>
    <s v="Luke Weiss"/>
  </r>
  <r>
    <x v="0"/>
    <s v="Duane Noonan"/>
  </r>
  <r>
    <x v="0"/>
    <s v="Duane Noonan"/>
  </r>
  <r>
    <x v="0"/>
    <s v="Barry Pond"/>
  </r>
  <r>
    <x v="0"/>
    <s v="Roy FranzÃ¶sisch"/>
  </r>
  <r>
    <x v="0"/>
    <s v="Joseph Airdo"/>
  </r>
  <r>
    <x v="0"/>
    <s v="Joseph Airdo"/>
  </r>
  <r>
    <x v="0"/>
    <s v="Darren Budd"/>
  </r>
  <r>
    <x v="0"/>
    <s v="Darren Budd"/>
  </r>
  <r>
    <x v="0"/>
    <s v="Darren Powers"/>
  </r>
  <r>
    <x v="0"/>
    <s v="Darren Powers"/>
  </r>
  <r>
    <x v="0"/>
    <s v="Nora Preis"/>
  </r>
  <r>
    <x v="0"/>
    <s v="Nora Preis"/>
  </r>
  <r>
    <x v="0"/>
    <s v="William Brown"/>
  </r>
  <r>
    <x v="0"/>
    <s v="Craig Yedwab"/>
  </r>
  <r>
    <x v="0"/>
    <s v="Logan Haushalter"/>
  </r>
  <r>
    <x v="0"/>
    <s v="Logan Haushalter"/>
  </r>
  <r>
    <x v="0"/>
    <s v="Logan Haushalter"/>
  </r>
  <r>
    <x v="1"/>
    <s v="Shui Tom"/>
  </r>
  <r>
    <x v="1"/>
    <s v="Dave Hallsten"/>
  </r>
  <r>
    <x v="1"/>
    <s v="Resi PÃ¶lking"/>
  </r>
  <r>
    <x v="1"/>
    <s v="Craig Molinari"/>
  </r>
  <r>
    <x v="1"/>
    <s v="Craig Molinari"/>
  </r>
  <r>
    <x v="1"/>
    <s v="Tracy Poddar"/>
  </r>
  <r>
    <x v="1"/>
    <s v="Jennifer Braxton"/>
  </r>
  <r>
    <x v="1"/>
    <s v="David Bremer"/>
  </r>
  <r>
    <x v="1"/>
    <s v="David Bremer"/>
  </r>
  <r>
    <x v="1"/>
    <s v="Patrick O'Brill"/>
  </r>
  <r>
    <x v="1"/>
    <s v="Patrick O'Brill"/>
  </r>
  <r>
    <x v="1"/>
    <s v="Katrina Edelman"/>
  </r>
  <r>
    <x v="1"/>
    <s v="Katrina Edelman"/>
  </r>
  <r>
    <x v="1"/>
    <s v="Ashley Jarboe"/>
  </r>
  <r>
    <x v="1"/>
    <s v="Ashley Jarboe"/>
  </r>
  <r>
    <x v="1"/>
    <s v="Daniel Raglin"/>
  </r>
  <r>
    <x v="1"/>
    <s v="Daniel Raglin"/>
  </r>
  <r>
    <x v="1"/>
    <s v="Robert Marley"/>
  </r>
  <r>
    <x v="1"/>
    <s v="Eric Murdock"/>
  </r>
  <r>
    <x v="1"/>
    <s v="Eric Murdock"/>
  </r>
  <r>
    <x v="1"/>
    <s v="Valerie Mitchum"/>
  </r>
  <r>
    <x v="1"/>
    <s v="Valerie Mitchum"/>
  </r>
  <r>
    <x v="1"/>
    <s v="Quincy Jones"/>
  </r>
  <r>
    <x v="1"/>
    <s v="Valerie Dominguez"/>
  </r>
  <r>
    <x v="1"/>
    <s v="Valerie Dominguez"/>
  </r>
  <r>
    <x v="1"/>
    <s v="Valerie Dominguez"/>
  </r>
  <r>
    <x v="1"/>
    <s v="Guy Armstrong"/>
  </r>
  <r>
    <x v="1"/>
    <s v="MaryBeth Skach"/>
  </r>
  <r>
    <x v="1"/>
    <s v="Justin Hirsh"/>
  </r>
  <r>
    <x v="1"/>
    <s v="Jeremy Farry"/>
  </r>
  <r>
    <x v="1"/>
    <s v="Keith Dawkins"/>
  </r>
  <r>
    <x v="1"/>
    <s v="Tamara Willingham"/>
  </r>
  <r>
    <x v="1"/>
    <s v="Tamara Willingham"/>
  </r>
  <r>
    <x v="1"/>
    <s v="Tamara Willingham"/>
  </r>
  <r>
    <x v="1"/>
    <s v="Tamara Willingham"/>
  </r>
  <r>
    <x v="1"/>
    <s v="Matt Abelman"/>
  </r>
  <r>
    <x v="1"/>
    <s v="Matt Abelman"/>
  </r>
  <r>
    <x v="1"/>
    <s v="Victoria Wilson"/>
  </r>
  <r>
    <x v="1"/>
    <s v="Victoria Wilson"/>
  </r>
  <r>
    <x v="1"/>
    <s v="Victoria Wilson"/>
  </r>
  <r>
    <x v="1"/>
    <s v="Victoria Wilson"/>
  </r>
  <r>
    <x v="1"/>
    <s v="Claudia Bergmann"/>
  </r>
  <r>
    <x v="1"/>
    <s v="Claudia Bergmann"/>
  </r>
  <r>
    <x v="1"/>
    <s v="Claudia Bergmann"/>
  </r>
  <r>
    <x v="1"/>
    <s v="Pete Armstrong"/>
  </r>
  <r>
    <x v="1"/>
    <s v="Michael Oakman"/>
  </r>
  <r>
    <x v="1"/>
    <s v="Michael Oakman"/>
  </r>
  <r>
    <x v="1"/>
    <s v="Cari Sayre"/>
  </r>
  <r>
    <x v="1"/>
    <s v="John Dryer"/>
  </r>
  <r>
    <x v="1"/>
    <s v="Rob Haberlin"/>
  </r>
  <r>
    <x v="1"/>
    <s v="Rob Haberlin"/>
  </r>
  <r>
    <x v="1"/>
    <s v="Rob Haberlin"/>
  </r>
  <r>
    <x v="1"/>
    <s v="Frank Atkinson"/>
  </r>
  <r>
    <x v="1"/>
    <s v="Frank Atkinson"/>
  </r>
  <r>
    <x v="1"/>
    <s v="Corey-Lock"/>
  </r>
  <r>
    <x v="1"/>
    <s v="Corey-Lock"/>
  </r>
  <r>
    <x v="1"/>
    <s v="Brad Eason"/>
  </r>
  <r>
    <x v="1"/>
    <s v="Brad Eason"/>
  </r>
  <r>
    <x v="1"/>
    <s v="Jennifer Patt"/>
  </r>
  <r>
    <x v="1"/>
    <s v="Christopher Schild"/>
  </r>
  <r>
    <x v="1"/>
    <s v="Nora Pelletier"/>
  </r>
  <r>
    <x v="1"/>
    <s v="Henry MacAllister"/>
  </r>
  <r>
    <x v="1"/>
    <s v="Sheri Gordon"/>
  </r>
  <r>
    <x v="1"/>
    <s v="Sheri Gordon"/>
  </r>
  <r>
    <x v="1"/>
    <s v="Jas O'Carroll"/>
  </r>
  <r>
    <x v="1"/>
    <s v="Kelly Collister"/>
  </r>
  <r>
    <x v="1"/>
    <s v="Scot Wooten"/>
  </r>
  <r>
    <x v="1"/>
    <s v="Liz Thompson"/>
  </r>
  <r>
    <x v="1"/>
    <s v="Liz Thompson"/>
  </r>
  <r>
    <x v="1"/>
    <s v="Liz Thompson"/>
  </r>
  <r>
    <x v="1"/>
    <s v="Emily Ducich"/>
  </r>
  <r>
    <x v="1"/>
    <s v="Barry Blumstein"/>
  </r>
  <r>
    <x v="1"/>
    <s v="Emily Grady"/>
  </r>
  <r>
    <x v="1"/>
    <s v="Amy Hunt"/>
  </r>
  <r>
    <x v="1"/>
    <s v="Amy Hunt"/>
  </r>
  <r>
    <x v="1"/>
    <s v="Allen Armold"/>
  </r>
  <r>
    <x v="1"/>
    <s v="Allen Armold"/>
  </r>
  <r>
    <x v="1"/>
    <s v="Rick Wilson"/>
  </r>
  <r>
    <x v="1"/>
    <s v="Ken Heidel"/>
  </r>
  <r>
    <x v="1"/>
    <s v="Pauline Webber"/>
  </r>
  <r>
    <x v="1"/>
    <s v="Stewart Visinsky"/>
  </r>
  <r>
    <x v="1"/>
    <s v="Stewart Visinsky"/>
  </r>
  <r>
    <x v="1"/>
    <s v="Stewart Visinsky"/>
  </r>
  <r>
    <x v="1"/>
    <s v="Stewart Visinsky"/>
  </r>
  <r>
    <x v="1"/>
    <s v="Lena Cacioppo"/>
  </r>
  <r>
    <x v="1"/>
    <s v="Lena Cacioppo"/>
  </r>
  <r>
    <x v="1"/>
    <s v="Nicole Fjeld"/>
  </r>
  <r>
    <x v="1"/>
    <s v="Bruce Degenhardt"/>
  </r>
  <r>
    <x v="1"/>
    <s v="Deirdre Greer"/>
  </r>
  <r>
    <x v="1"/>
    <s v="Deirdre Greer"/>
  </r>
  <r>
    <x v="1"/>
    <s v="Julie Creighton"/>
  </r>
  <r>
    <x v="1"/>
    <s v="Mike Gockenbach"/>
  </r>
  <r>
    <x v="1"/>
    <s v="Mike Gockenbach"/>
  </r>
  <r>
    <x v="1"/>
    <s v="David Bremer"/>
  </r>
  <r>
    <x v="1"/>
    <s v="David Bremer"/>
  </r>
  <r>
    <x v="1"/>
    <s v="Jennifer Braxton"/>
  </r>
  <r>
    <x v="1"/>
    <s v="Jennifer Braxton"/>
  </r>
  <r>
    <x v="1"/>
    <s v="Ann Steele"/>
  </r>
  <r>
    <x v="1"/>
    <s v="Ann Steele"/>
  </r>
  <r>
    <x v="1"/>
    <s v="Cathy Prescott"/>
  </r>
  <r>
    <x v="1"/>
    <s v="John Huston"/>
  </r>
  <r>
    <x v="1"/>
    <s v="Bryan Mills"/>
  </r>
  <r>
    <x v="1"/>
    <s v="Bryan Mills"/>
  </r>
  <r>
    <x v="1"/>
    <s v="Bryan Mills"/>
  </r>
  <r>
    <x v="1"/>
    <s v="Corinna Mitchell"/>
  </r>
  <r>
    <x v="1"/>
    <s v="Corinna Mitchell"/>
  </r>
  <r>
    <x v="1"/>
    <s v="Chris Selesnick"/>
  </r>
  <r>
    <x v="1"/>
    <s v="Fred Hopkins"/>
  </r>
  <r>
    <x v="1"/>
    <s v="Dean Katz"/>
  </r>
  <r>
    <x v="1"/>
    <s v="Mark Packer"/>
  </r>
  <r>
    <x v="1"/>
    <s v="Alejandro Ballentine"/>
  </r>
  <r>
    <x v="1"/>
    <s v="Bill Stewart"/>
  </r>
  <r>
    <x v="1"/>
    <s v="Pierre Wener"/>
  </r>
  <r>
    <x v="1"/>
    <s v="Jack Garza"/>
  </r>
  <r>
    <x v="1"/>
    <s v="Jack Garza"/>
  </r>
  <r>
    <x v="1"/>
    <s v="Harold Pawlan"/>
  </r>
  <r>
    <x v="1"/>
    <s v="Nicole Fjeld"/>
  </r>
  <r>
    <x v="1"/>
    <s v="Nicole Fjeld"/>
  </r>
  <r>
    <x v="1"/>
    <s v="Nicole Fjeld"/>
  </r>
  <r>
    <x v="1"/>
    <s v="Nat Carroll"/>
  </r>
  <r>
    <x v="1"/>
    <s v="Nat Carroll"/>
  </r>
  <r>
    <x v="1"/>
    <s v="Alan Schoenberger"/>
  </r>
  <r>
    <x v="1"/>
    <s v="Laura Armstrong"/>
  </r>
  <r>
    <x v="1"/>
    <s v="Anna HÃ¤berlin"/>
  </r>
  <r>
    <x v="1"/>
    <s v="Tracy Collins"/>
  </r>
  <r>
    <x v="1"/>
    <s v="Tracy Collins"/>
  </r>
  <r>
    <x v="1"/>
    <s v="Becky Pak"/>
  </r>
  <r>
    <x v="1"/>
    <s v="Irene Maddox"/>
  </r>
  <r>
    <x v="1"/>
    <s v="Alan Dominguez"/>
  </r>
  <r>
    <x v="1"/>
    <s v="Julie Prescott"/>
  </r>
  <r>
    <x v="1"/>
    <s v="Christine Sundaresam"/>
  </r>
  <r>
    <x v="1"/>
    <s v="Christine Sundaresam"/>
  </r>
  <r>
    <x v="1"/>
    <s v="Denny Joy"/>
  </r>
  <r>
    <x v="1"/>
    <s v="Alex Avila"/>
  </r>
  <r>
    <x v="1"/>
    <s v="Julie Kriz"/>
  </r>
  <r>
    <x v="1"/>
    <s v="Julie Kriz"/>
  </r>
  <r>
    <x v="1"/>
    <s v="Ritsa Hightower"/>
  </r>
  <r>
    <x v="1"/>
    <s v="Sean O'Donnell"/>
  </r>
  <r>
    <x v="1"/>
    <s v="Maribeth Schnelling"/>
  </r>
  <r>
    <x v="1"/>
    <s v="Rose O'Brian"/>
  </r>
  <r>
    <x v="1"/>
    <s v="Harry Marie"/>
  </r>
  <r>
    <x v="1"/>
    <s v="Harry Marie"/>
  </r>
  <r>
    <x v="1"/>
    <s v="Tracy Zic"/>
  </r>
  <r>
    <x v="1"/>
    <s v="Brooke Gillingham"/>
  </r>
  <r>
    <x v="1"/>
    <s v="Luke Foster"/>
  </r>
  <r>
    <x v="1"/>
    <s v="Katherine Nockton"/>
  </r>
  <r>
    <x v="1"/>
    <s v="Alan Haines"/>
  </r>
  <r>
    <x v="1"/>
    <s v="Mike Vittorini"/>
  </r>
  <r>
    <x v="1"/>
    <s v="Maribeth Schnelling"/>
  </r>
  <r>
    <x v="1"/>
    <s v="Valerie Takahito"/>
  </r>
  <r>
    <x v="1"/>
    <s v="Valerie Takahito"/>
  </r>
  <r>
    <x v="1"/>
    <s v="Jennifer Ferguson"/>
  </r>
  <r>
    <x v="1"/>
    <s v="Brenda Bowman"/>
  </r>
  <r>
    <x v="1"/>
    <s v="Barbara Fisher"/>
  </r>
  <r>
    <x v="1"/>
    <s v="Victor Preis"/>
  </r>
  <r>
    <x v="1"/>
    <s v="Mitch Webber"/>
  </r>
  <r>
    <x v="1"/>
    <s v="Anna HÃ¤berlin"/>
  </r>
  <r>
    <x v="1"/>
    <s v="Arthur Gainer"/>
  </r>
  <r>
    <x v="1"/>
    <s v="Arthur Gainer"/>
  </r>
  <r>
    <x v="1"/>
    <s v="Arthur Gainer"/>
  </r>
  <r>
    <x v="1"/>
    <s v="Tamara Willingham"/>
  </r>
  <r>
    <x v="1"/>
    <s v="Jeremy Farry"/>
  </r>
  <r>
    <x v="1"/>
    <s v="Valerie Dominguez"/>
  </r>
  <r>
    <x v="1"/>
    <s v="Grant Thornton"/>
  </r>
  <r>
    <x v="1"/>
    <s v="Nathan Gelder"/>
  </r>
  <r>
    <x v="1"/>
    <s v="Justin MacKendrick"/>
  </r>
  <r>
    <x v="1"/>
    <s v="Christy Brittain"/>
  </r>
  <r>
    <x v="1"/>
    <s v="Christy Brittain"/>
  </r>
  <r>
    <x v="1"/>
    <s v="Matt Hagelstein"/>
  </r>
  <r>
    <x v="1"/>
    <s v="Scot Wooten"/>
  </r>
  <r>
    <x v="1"/>
    <s v="Brian Derr"/>
  </r>
  <r>
    <x v="1"/>
    <s v="George Bell"/>
  </r>
  <r>
    <x v="1"/>
    <s v="Stefania Perrino"/>
  </r>
  <r>
    <x v="1"/>
    <s v="Victoria Wilson"/>
  </r>
  <r>
    <x v="1"/>
    <s v="Ivan Liston"/>
  </r>
  <r>
    <x v="1"/>
    <s v="Ivan Liston"/>
  </r>
  <r>
    <x v="1"/>
    <s v="Trudy Schmidt"/>
  </r>
  <r>
    <x v="1"/>
    <s v="Trudy Schmidt"/>
  </r>
  <r>
    <x v="1"/>
    <s v="Lori Olson"/>
  </r>
  <r>
    <x v="1"/>
    <s v="John Lucas"/>
  </r>
  <r>
    <x v="1"/>
    <s v="Kalyca Meade"/>
  </r>
  <r>
    <x v="1"/>
    <s v="Paul Prost"/>
  </r>
  <r>
    <x v="1"/>
    <s v="Sarah Jordon"/>
  </r>
  <r>
    <x v="1"/>
    <s v="Barbara Fisher"/>
  </r>
  <r>
    <x v="1"/>
    <s v="Rachel Payne"/>
  </r>
  <r>
    <x v="1"/>
    <s v="Rachel Payne"/>
  </r>
  <r>
    <x v="1"/>
    <s v="Beth Thompson"/>
  </r>
  <r>
    <x v="1"/>
    <s v="Beth Thompson"/>
  </r>
  <r>
    <x v="1"/>
    <s v="Cyma Kinney"/>
  </r>
  <r>
    <x v="1"/>
    <s v="Alyssa Tate"/>
  </r>
  <r>
    <x v="1"/>
    <s v="Andy Gerbode"/>
  </r>
  <r>
    <x v="1"/>
    <s v="Meg Tillman"/>
  </r>
  <r>
    <x v="1"/>
    <s v="Katrina Willman"/>
  </r>
  <r>
    <x v="1"/>
    <s v="Gary Hwang"/>
  </r>
  <r>
    <x v="1"/>
    <s v="Gary Hwang"/>
  </r>
  <r>
    <x v="1"/>
    <s v="Gary Hwang"/>
  </r>
  <r>
    <x v="1"/>
    <s v="Dennis Kane"/>
  </r>
  <r>
    <x v="1"/>
    <s v="Dennis Kane"/>
  </r>
  <r>
    <x v="1"/>
    <s v="Katherine Murray"/>
  </r>
  <r>
    <x v="1"/>
    <s v="Speros Goranitis"/>
  </r>
  <r>
    <x v="1"/>
    <s v="Speros Goranitis"/>
  </r>
  <r>
    <x v="1"/>
    <s v="Nora Pelletier"/>
  </r>
  <r>
    <x v="1"/>
    <s v="Ivan Liston"/>
  </r>
  <r>
    <x v="1"/>
    <s v="David Bremer"/>
  </r>
  <r>
    <x v="1"/>
    <s v="Eugene Moren"/>
  </r>
  <r>
    <x v="1"/>
    <s v="Eugene Moren"/>
  </r>
  <r>
    <x v="1"/>
    <s v="Peter Fuller"/>
  </r>
  <r>
    <x v="1"/>
    <s v="Peter Fuller"/>
  </r>
  <r>
    <x v="1"/>
    <s v="Frank Merwin"/>
  </r>
  <r>
    <x v="1"/>
    <s v="Resi PÃ¶lking"/>
  </r>
  <r>
    <x v="1"/>
    <s v="Anna Gayman"/>
  </r>
  <r>
    <x v="1"/>
    <s v="Chris Cortes"/>
  </r>
  <r>
    <x v="1"/>
    <s v="Eleni McCrary"/>
  </r>
  <r>
    <x v="1"/>
    <s v="Parhena Norris"/>
  </r>
  <r>
    <x v="1"/>
    <s v="Kelly Williams"/>
  </r>
  <r>
    <x v="1"/>
    <s v="Kelly Williams"/>
  </r>
  <r>
    <x v="1"/>
    <s v="Noel Staavos"/>
  </r>
  <r>
    <x v="1"/>
    <s v="Eudokia Martin"/>
  </r>
  <r>
    <x v="1"/>
    <s v="Eudokia Martin"/>
  </r>
  <r>
    <x v="1"/>
    <s v="Helen Andreada"/>
  </r>
  <r>
    <x v="1"/>
    <s v="Charles Crestani"/>
  </r>
  <r>
    <x v="1"/>
    <s v="Marc Crier"/>
  </r>
  <r>
    <x v="1"/>
    <s v="Lisa Ryan"/>
  </r>
  <r>
    <x v="1"/>
    <s v="Lisa Ryan"/>
  </r>
  <r>
    <x v="1"/>
    <s v="Andy Gerbode"/>
  </r>
  <r>
    <x v="1"/>
    <s v="Andy Gerbode"/>
  </r>
  <r>
    <x v="1"/>
    <s v="Andy Gerbode"/>
  </r>
  <r>
    <x v="1"/>
    <s v="Andy Gerbode"/>
  </r>
  <r>
    <x v="1"/>
    <s v="Karen Bern"/>
  </r>
  <r>
    <x v="1"/>
    <s v="Mike Caudle"/>
  </r>
  <r>
    <x v="1"/>
    <s v="Mike Caudle"/>
  </r>
  <r>
    <x v="1"/>
    <s v="Karen Bern"/>
  </r>
  <r>
    <x v="1"/>
    <s v="Christine Phan"/>
  </r>
  <r>
    <x v="1"/>
    <s v="Doug O'Connell"/>
  </r>
  <r>
    <x v="1"/>
    <s v="Adrian Barton"/>
  </r>
  <r>
    <x v="1"/>
    <s v="Adrian Barton"/>
  </r>
  <r>
    <x v="1"/>
    <s v="Adrian Barton"/>
  </r>
  <r>
    <x v="1"/>
    <s v="Adrian Barton"/>
  </r>
  <r>
    <x v="1"/>
    <s v="Jeremy Farry"/>
  </r>
  <r>
    <x v="1"/>
    <s v="Alan Hwang"/>
  </r>
  <r>
    <x v="1"/>
    <s v="Alan Hwang"/>
  </r>
  <r>
    <x v="1"/>
    <s v="Alan Hwang"/>
  </r>
  <r>
    <x v="1"/>
    <s v="Kristen Hastings"/>
  </r>
  <r>
    <x v="1"/>
    <s v="Brosina Hoffman"/>
  </r>
  <r>
    <x v="1"/>
    <s v="Brosina Hoffman"/>
  </r>
  <r>
    <x v="1"/>
    <s v="Brosina Hoffman"/>
  </r>
  <r>
    <x v="1"/>
    <s v="Dana Kaydos"/>
  </r>
  <r>
    <x v="1"/>
    <s v="Dana Kaydos"/>
  </r>
  <r>
    <x v="1"/>
    <s v="Dana Kaydos"/>
  </r>
  <r>
    <x v="1"/>
    <s v="Dana Kaydos"/>
  </r>
  <r>
    <x v="1"/>
    <s v="Anthony Rawles"/>
  </r>
  <r>
    <x v="1"/>
    <s v="Daniel Lacy"/>
  </r>
  <r>
    <x v="1"/>
    <s v="Natalie Webber"/>
  </r>
  <r>
    <x v="1"/>
    <s v="Maureen Gnade"/>
  </r>
  <r>
    <x v="1"/>
    <s v="Andrew Gjertsen"/>
  </r>
  <r>
    <x v="1"/>
    <s v="Andrew Gjertsen"/>
  </r>
  <r>
    <x v="1"/>
    <s v="Andrew Gjertsen"/>
  </r>
  <r>
    <x v="1"/>
    <s v="Andrew Gjertsen"/>
  </r>
  <r>
    <x v="1"/>
    <s v="Andrew Gjertsen"/>
  </r>
  <r>
    <x v="1"/>
    <s v="Thomas Thornton"/>
  </r>
  <r>
    <x v="1"/>
    <s v="Denny Blanton"/>
  </r>
  <r>
    <x v="1"/>
    <s v="Denny Blanton"/>
  </r>
  <r>
    <x v="1"/>
    <s v="Victoria Wilson"/>
  </r>
  <r>
    <x v="1"/>
    <s v="Brian Thompson"/>
  </r>
  <r>
    <x v="1"/>
    <s v="Gene Hale"/>
  </r>
  <r>
    <x v="1"/>
    <s v="Helen Abelman"/>
  </r>
  <r>
    <x v="1"/>
    <s v="Sanjit Chand"/>
  </r>
  <r>
    <x v="1"/>
    <s v="Sanjit Chand"/>
  </r>
  <r>
    <x v="1"/>
    <s v="Shaun Weien"/>
  </r>
  <r>
    <x v="1"/>
    <s v="Rob Haberlin"/>
  </r>
  <r>
    <x v="1"/>
    <s v="Keith Dawkins"/>
  </r>
  <r>
    <x v="1"/>
    <s v="Keith Dawkins"/>
  </r>
  <r>
    <x v="1"/>
    <s v="Keith Dawkins"/>
  </r>
  <r>
    <x v="1"/>
    <s v="Noel Staavos"/>
  </r>
  <r>
    <x v="1"/>
    <s v="Noel Staavos"/>
  </r>
  <r>
    <x v="1"/>
    <s v="Quincy Jones"/>
  </r>
  <r>
    <x v="1"/>
    <s v="Joel Jenkins"/>
  </r>
  <r>
    <x v="1"/>
    <s v="Yana Sorensen"/>
  </r>
  <r>
    <x v="1"/>
    <s v="Craig Carroll"/>
  </r>
  <r>
    <x v="1"/>
    <s v="Craig Carroll"/>
  </r>
  <r>
    <x v="1"/>
    <s v="Craig Carroll"/>
  </r>
  <r>
    <x v="1"/>
    <s v="Jay Kimmel"/>
  </r>
  <r>
    <x v="1"/>
    <s v="Ivan Gibson"/>
  </r>
  <r>
    <x v="1"/>
    <s v="Trudy Glocke"/>
  </r>
  <r>
    <x v="1"/>
    <s v="Max Jones"/>
  </r>
  <r>
    <x v="1"/>
    <s v="Max Jones"/>
  </r>
  <r>
    <x v="1"/>
    <s v="Claudia Bergmann"/>
  </r>
  <r>
    <x v="1"/>
    <s v="Brian Thompson"/>
  </r>
  <r>
    <x v="1"/>
    <s v="Brian Thompson"/>
  </r>
  <r>
    <x v="1"/>
    <s v="Brian Thompson"/>
  </r>
  <r>
    <x v="1"/>
    <s v="Brian Thompson"/>
  </r>
  <r>
    <x v="1"/>
    <s v="Brian Thompson"/>
  </r>
  <r>
    <x v="1"/>
    <s v="Brian Thompson"/>
  </r>
  <r>
    <x v="1"/>
    <s v="Brian Thompson"/>
  </r>
  <r>
    <x v="1"/>
    <s v="Matt Collins"/>
  </r>
  <r>
    <x v="1"/>
    <s v="Kean Nguyen"/>
  </r>
  <r>
    <x v="1"/>
    <s v="David Smith"/>
  </r>
  <r>
    <x v="1"/>
    <s v="Naresj Patel"/>
  </r>
  <r>
    <x v="1"/>
    <s v="Naresj Patel"/>
  </r>
  <r>
    <x v="1"/>
    <s v="Naresj Patel"/>
  </r>
  <r>
    <x v="1"/>
    <s v="Ruben Ausman"/>
  </r>
  <r>
    <x v="1"/>
    <s v="Hallie Redmond"/>
  </r>
  <r>
    <x v="1"/>
    <s v="Monica Federle"/>
  </r>
  <r>
    <x v="1"/>
    <s v="Brian Moss"/>
  </r>
  <r>
    <x v="1"/>
    <s v="Sonia Cooley"/>
  </r>
  <r>
    <x v="1"/>
    <s v="Sonia Cooley"/>
  </r>
  <r>
    <x v="1"/>
    <s v="Fred McMath"/>
  </r>
  <r>
    <x v="1"/>
    <s v="Fred McMath"/>
  </r>
  <r>
    <x v="1"/>
    <s v="Charlotte Melton"/>
  </r>
  <r>
    <x v="1"/>
    <s v="Adam Shillingsburg"/>
  </r>
  <r>
    <x v="1"/>
    <s v="Adam Shillingsburg"/>
  </r>
  <r>
    <x v="1"/>
    <s v="Adam Shillingsburg"/>
  </r>
  <r>
    <x v="1"/>
    <s v="Dianna Vittorini"/>
  </r>
  <r>
    <x v="1"/>
    <s v="Dianna Vittorini"/>
  </r>
  <r>
    <x v="1"/>
    <s v="Jesus Ocampo"/>
  </r>
  <r>
    <x v="1"/>
    <s v="Michael Moore"/>
  </r>
  <r>
    <x v="1"/>
    <s v="Toby Swindell"/>
  </r>
  <r>
    <x v="1"/>
    <s v="Eugene Hildebrand"/>
  </r>
  <r>
    <x v="1"/>
    <s v="Eugene Hildebrand"/>
  </r>
  <r>
    <x v="1"/>
    <s v="Dennis Pardue"/>
  </r>
  <r>
    <x v="1"/>
    <s v="Julie Kriz"/>
  </r>
  <r>
    <x v="1"/>
    <s v="Julie Kriz"/>
  </r>
  <r>
    <x v="1"/>
    <s v="Bill Donatelli"/>
  </r>
  <r>
    <x v="1"/>
    <s v="Aimee Bixby"/>
  </r>
  <r>
    <x v="1"/>
    <s v="Matt Collins"/>
  </r>
  <r>
    <x v="1"/>
    <s v="Bobby Odegard"/>
  </r>
  <r>
    <x v="1"/>
    <s v="Frank Atkinson"/>
  </r>
  <r>
    <x v="1"/>
    <s v="Alex Russell"/>
  </r>
  <r>
    <x v="1"/>
    <s v="Denny Joy"/>
  </r>
  <r>
    <x v="1"/>
    <s v="Katherine Nockton"/>
  </r>
  <r>
    <x v="1"/>
    <s v="Katherine Nockton"/>
  </r>
  <r>
    <x v="1"/>
    <s v="Steve Chapman"/>
  </r>
  <r>
    <x v="1"/>
    <s v="Keith Dawkins"/>
  </r>
  <r>
    <x v="1"/>
    <s v="Khloe Miller"/>
  </r>
  <r>
    <x v="1"/>
    <s v="Khloe Miller"/>
  </r>
  <r>
    <x v="1"/>
    <s v="Khloe Miller"/>
  </r>
  <r>
    <x v="1"/>
    <s v="Matt Abelman"/>
  </r>
  <r>
    <x v="1"/>
    <s v="Matt Abelman"/>
  </r>
  <r>
    <x v="1"/>
    <s v="Matt Abelman"/>
  </r>
  <r>
    <x v="1"/>
    <s v="Julia West"/>
  </r>
  <r>
    <x v="1"/>
    <s v="Sanjit Engle"/>
  </r>
  <r>
    <x v="1"/>
    <s v="Sanjit Engle"/>
  </r>
  <r>
    <x v="1"/>
    <s v="Patrick Ryan"/>
  </r>
  <r>
    <x v="1"/>
    <s v="Patrick Ryan"/>
  </r>
  <r>
    <x v="1"/>
    <s v="Andy Reiter"/>
  </r>
  <r>
    <x v="1"/>
    <s v="Paul Stevenson"/>
  </r>
  <r>
    <x v="1"/>
    <s v="Brian Dahlen"/>
  </r>
  <r>
    <x v="1"/>
    <s v="Brian Dahlen"/>
  </r>
  <r>
    <x v="1"/>
    <s v="Jim Epp"/>
  </r>
  <r>
    <x v="1"/>
    <s v="Jim Epp"/>
  </r>
  <r>
    <x v="1"/>
    <s v="Jim Epp"/>
  </r>
  <r>
    <x v="1"/>
    <s v="Clytie Kelty"/>
  </r>
  <r>
    <x v="1"/>
    <s v="Clytie Kelty"/>
  </r>
  <r>
    <x v="1"/>
    <s v="Clytie Kelty"/>
  </r>
  <r>
    <x v="1"/>
    <s v="Shahid Collister"/>
  </r>
  <r>
    <x v="1"/>
    <s v="Todd Sumrall"/>
  </r>
  <r>
    <x v="1"/>
    <s v="Todd Sumrall"/>
  </r>
  <r>
    <x v="1"/>
    <s v="Philisse Overcash"/>
  </r>
  <r>
    <x v="1"/>
    <s v="Steven Cartwright"/>
  </r>
  <r>
    <x v="1"/>
    <s v="Steven Cartwright"/>
  </r>
  <r>
    <x v="1"/>
    <s v="Don Miller"/>
  </r>
  <r>
    <x v="1"/>
    <s v="Don Miller"/>
  </r>
  <r>
    <x v="1"/>
    <s v="Don Miller"/>
  </r>
  <r>
    <x v="1"/>
    <s v="George Bell"/>
  </r>
  <r>
    <x v="1"/>
    <s v="Skye Norling"/>
  </r>
  <r>
    <x v="1"/>
    <s v="Skye Norling"/>
  </r>
  <r>
    <x v="1"/>
    <s v="Sean O'Donnell"/>
  </r>
  <r>
    <x v="1"/>
    <s v="Sean O'Donnell"/>
  </r>
  <r>
    <x v="1"/>
    <s v="Shahid Hopkins"/>
  </r>
  <r>
    <x v="1"/>
    <s v="Andrew Gjertsen"/>
  </r>
  <r>
    <x v="1"/>
    <s v="Irene Maddox"/>
  </r>
  <r>
    <x v="1"/>
    <s v="Irene Maddox"/>
  </r>
  <r>
    <x v="1"/>
    <s v="Irene Maddox"/>
  </r>
  <r>
    <x v="1"/>
    <s v="Irene Maddox"/>
  </r>
  <r>
    <x v="1"/>
    <s v="Irene Maddox"/>
  </r>
  <r>
    <x v="1"/>
    <s v="Cynthia Arntzen"/>
  </r>
  <r>
    <x v="1"/>
    <s v="Yana Sorensen"/>
  </r>
  <r>
    <x v="1"/>
    <s v="Cindy Schnelling"/>
  </r>
  <r>
    <x v="1"/>
    <s v="Cindy Schnelling"/>
  </r>
  <r>
    <x v="1"/>
    <s v="Cindy Schnelling"/>
  </r>
  <r>
    <x v="1"/>
    <s v="Edward Becker"/>
  </r>
  <r>
    <x v="1"/>
    <s v="Robert Dilbeck"/>
  </r>
  <r>
    <x v="1"/>
    <s v="Cindy Stewart"/>
  </r>
  <r>
    <x v="1"/>
    <s v="Cindy Stewart"/>
  </r>
  <r>
    <x v="1"/>
    <s v="Rob Lucas"/>
  </r>
  <r>
    <x v="1"/>
    <s v="Rob Lucas"/>
  </r>
  <r>
    <x v="1"/>
    <s v="Paul Gonzalez"/>
  </r>
  <r>
    <x v="1"/>
    <s v="Paul Gonzalez"/>
  </r>
  <r>
    <x v="1"/>
    <s v="Tamara Manning"/>
  </r>
  <r>
    <x v="1"/>
    <s v="Tamara Manning"/>
  </r>
  <r>
    <x v="1"/>
    <s v="Mark Packer"/>
  </r>
  <r>
    <x v="1"/>
    <s v="Mark Packer"/>
  </r>
  <r>
    <x v="1"/>
    <s v="Monica Federle"/>
  </r>
  <r>
    <x v="1"/>
    <s v="Dennis Kane"/>
  </r>
  <r>
    <x v="1"/>
    <s v="Xylona Preis"/>
  </r>
  <r>
    <x v="1"/>
    <s v="Xylona Preis"/>
  </r>
  <r>
    <x v="1"/>
    <s v="Helen Abelman"/>
  </r>
  <r>
    <x v="1"/>
    <s v="Jonathan Doherty"/>
  </r>
  <r>
    <x v="2"/>
    <s v="Karen Daniels"/>
  </r>
  <r>
    <x v="2"/>
    <s v="Odella Nelson"/>
  </r>
  <r>
    <x v="2"/>
    <s v="Raymond Buch"/>
  </r>
  <r>
    <x v="2"/>
    <s v="Raymond Buch"/>
  </r>
  <r>
    <x v="2"/>
    <s v="Barry Blumstein"/>
  </r>
  <r>
    <x v="2"/>
    <s v="Don Weiss"/>
  </r>
  <r>
    <x v="2"/>
    <s v="Thomas Boland"/>
  </r>
  <r>
    <x v="2"/>
    <s v="Daniel Byrd"/>
  </r>
  <r>
    <x v="2"/>
    <s v="Muhammed Yedwab"/>
  </r>
  <r>
    <x v="2"/>
    <s v="Chris McAfee"/>
  </r>
  <r>
    <x v="2"/>
    <s v="Chris McAfee"/>
  </r>
  <r>
    <x v="2"/>
    <s v="Jay Fein"/>
  </r>
  <r>
    <x v="2"/>
    <s v="Stephanie Ulpright"/>
  </r>
  <r>
    <x v="2"/>
    <s v="Stephanie Ulpright"/>
  </r>
  <r>
    <x v="2"/>
    <s v="Stephanie Ulpright"/>
  </r>
  <r>
    <x v="2"/>
    <s v="Thomas Seio"/>
  </r>
  <r>
    <x v="2"/>
    <s v="Khloe Miller"/>
  </r>
  <r>
    <x v="2"/>
    <s v="Adam Bellavance"/>
  </r>
  <r>
    <x v="2"/>
    <s v="Adam Bellavance"/>
  </r>
  <r>
    <x v="2"/>
    <s v="Dean Katz"/>
  </r>
  <r>
    <x v="2"/>
    <s v="Dean Katz"/>
  </r>
  <r>
    <x v="2"/>
    <s v="Joseph Airdo"/>
  </r>
  <r>
    <x v="2"/>
    <s v="Joseph Airdo"/>
  </r>
  <r>
    <x v="2"/>
    <s v="Cindy Schnelling"/>
  </r>
  <r>
    <x v="2"/>
    <s v="Gary Zandusky"/>
  </r>
  <r>
    <x v="2"/>
    <s v="Eva Jacobs"/>
  </r>
  <r>
    <x v="2"/>
    <s v="Jonathan Doherty"/>
  </r>
  <r>
    <x v="2"/>
    <s v="Laurel Beltran"/>
  </r>
  <r>
    <x v="2"/>
    <s v="Laurel Beltran"/>
  </r>
  <r>
    <x v="2"/>
    <s v="Brendan Murry"/>
  </r>
  <r>
    <x v="2"/>
    <s v="Brendan Murry"/>
  </r>
  <r>
    <x v="2"/>
    <s v="Sanjit Engle"/>
  </r>
  <r>
    <x v="2"/>
    <s v="Noel Staavos"/>
  </r>
  <r>
    <x v="2"/>
    <s v="Denny Joy"/>
  </r>
  <r>
    <x v="2"/>
    <s v="Cindy Chapman"/>
  </r>
  <r>
    <x v="2"/>
    <s v="Dan Lawera"/>
  </r>
  <r>
    <x v="2"/>
    <s v="Adam Shillingsburg"/>
  </r>
  <r>
    <x v="2"/>
    <s v="Adam Shillingsburg"/>
  </r>
  <r>
    <x v="2"/>
    <s v="Edward Hooks"/>
  </r>
  <r>
    <x v="2"/>
    <s v="Katherine Hughes"/>
  </r>
  <r>
    <x v="2"/>
    <s v="Barry FranzÃ¶sisch"/>
  </r>
  <r>
    <x v="2"/>
    <s v="Barry FranzÃ¶sisch"/>
  </r>
  <r>
    <x v="2"/>
    <s v="Barry FranzÃ¶sisch"/>
  </r>
  <r>
    <x v="2"/>
    <s v="Rob Lucas"/>
  </r>
  <r>
    <x v="2"/>
    <s v="Joe Elijah"/>
  </r>
  <r>
    <x v="2"/>
    <s v="Joe Elijah"/>
  </r>
  <r>
    <x v="2"/>
    <s v="Joe Elijah"/>
  </r>
  <r>
    <x v="2"/>
    <s v="Ross DeVincentis"/>
  </r>
  <r>
    <x v="2"/>
    <s v="Becky Martin"/>
  </r>
  <r>
    <x v="2"/>
    <s v="Becky Martin"/>
  </r>
  <r>
    <x v="2"/>
    <s v="Lena Radford"/>
  </r>
  <r>
    <x v="2"/>
    <s v="Lena Radford"/>
  </r>
  <r>
    <x v="2"/>
    <s v="Tamara Chand"/>
  </r>
  <r>
    <x v="2"/>
    <s v="Tamara Chand"/>
  </r>
  <r>
    <x v="2"/>
    <s v="Keith Dawkins"/>
  </r>
  <r>
    <x v="2"/>
    <s v="Keith Dawkins"/>
  </r>
  <r>
    <x v="2"/>
    <s v="Deborah Brumfield"/>
  </r>
  <r>
    <x v="2"/>
    <s v="Jamie Frazer"/>
  </r>
  <r>
    <x v="2"/>
    <s v="Muhammed Yedwab"/>
  </r>
  <r>
    <x v="2"/>
    <s v="Christine Abelman"/>
  </r>
  <r>
    <x v="2"/>
    <s v="Bill Overfelt"/>
  </r>
  <r>
    <x v="2"/>
    <s v="Jason Gross"/>
  </r>
  <r>
    <x v="2"/>
    <s v="Craig Carreira"/>
  </r>
  <r>
    <x v="2"/>
    <s v="Chris Cortes"/>
  </r>
  <r>
    <x v="2"/>
    <s v="Theresa Swint"/>
  </r>
  <r>
    <x v="2"/>
    <s v="Alex Avila"/>
  </r>
  <r>
    <x v="2"/>
    <s v="Carlos Soltero"/>
  </r>
  <r>
    <x v="2"/>
    <s v="Christy Brittain"/>
  </r>
  <r>
    <x v="2"/>
    <s v="Susan MacKendrick"/>
  </r>
  <r>
    <x v="2"/>
    <s v="Susan MacKendrick"/>
  </r>
  <r>
    <x v="2"/>
    <s v="Susan MacKendrick"/>
  </r>
  <r>
    <x v="2"/>
    <s v="Christine Phan"/>
  </r>
  <r>
    <x v="2"/>
    <s v="Dean Katz"/>
  </r>
  <r>
    <x v="2"/>
    <s v="Filia McAdams"/>
  </r>
  <r>
    <x v="2"/>
    <s v="Alex Grayson"/>
  </r>
  <r>
    <x v="2"/>
    <s v="Julie Kriz"/>
  </r>
  <r>
    <x v="2"/>
    <s v="Jennifer Jackson"/>
  </r>
  <r>
    <x v="2"/>
    <s v="Rob Beeghly"/>
  </r>
  <r>
    <x v="2"/>
    <s v="Matt Hagelstein"/>
  </r>
  <r>
    <x v="2"/>
    <s v="Emily Burns"/>
  </r>
  <r>
    <x v="2"/>
    <s v="Tracy Poddar"/>
  </r>
  <r>
    <x v="2"/>
    <s v="Daniel Byrd"/>
  </r>
  <r>
    <x v="2"/>
    <s v="Sarah Foster"/>
  </r>
  <r>
    <x v="2"/>
    <s v="Phillip Flathmann"/>
  </r>
  <r>
    <x v="2"/>
    <s v="Phillip Flathmann"/>
  </r>
  <r>
    <x v="2"/>
    <s v="Phillip Flathmann"/>
  </r>
  <r>
    <x v="2"/>
    <s v="Arthur Prichep"/>
  </r>
  <r>
    <x v="2"/>
    <s v="Arthur Prichep"/>
  </r>
  <r>
    <x v="2"/>
    <s v="Arthur Prichep"/>
  </r>
  <r>
    <x v="2"/>
    <s v="Xylona Preis"/>
  </r>
  <r>
    <x v="2"/>
    <s v="Xylona Preis"/>
  </r>
  <r>
    <x v="2"/>
    <s v="Xylona Preis"/>
  </r>
  <r>
    <x v="2"/>
    <s v="Xylona Preis"/>
  </r>
  <r>
    <x v="2"/>
    <s v="Xylona Preis"/>
  </r>
  <r>
    <x v="2"/>
    <s v="Natalie Webber"/>
  </r>
  <r>
    <x v="2"/>
    <s v="Julie Prescott"/>
  </r>
  <r>
    <x v="2"/>
    <s v="Emily Grady"/>
  </r>
  <r>
    <x v="2"/>
    <s v="Neoma Murray"/>
  </r>
  <r>
    <x v="2"/>
    <s v="Roger Demir"/>
  </r>
  <r>
    <x v="2"/>
    <s v="Michael Granlund"/>
  </r>
  <r>
    <x v="2"/>
    <s v="Maria Etezadi"/>
  </r>
  <r>
    <x v="2"/>
    <s v="Ken Lonsdale"/>
  </r>
  <r>
    <x v="2"/>
    <s v="Ken Lonsdale"/>
  </r>
  <r>
    <x v="2"/>
    <s v="Ken Lonsdale"/>
  </r>
  <r>
    <x v="2"/>
    <s v="Edward Nazzal"/>
  </r>
  <r>
    <x v="2"/>
    <s v="Edward Nazzal"/>
  </r>
  <r>
    <x v="2"/>
    <s v="Rick Bensley"/>
  </r>
  <r>
    <x v="2"/>
    <s v="Rick Bensley"/>
  </r>
  <r>
    <x v="2"/>
    <s v="Max Ludwig"/>
  </r>
  <r>
    <x v="2"/>
    <s v="Linda Cazamias"/>
  </r>
  <r>
    <x v="2"/>
    <s v="Christina VanderZanden"/>
  </r>
  <r>
    <x v="2"/>
    <s v="Christina VanderZanden"/>
  </r>
  <r>
    <x v="2"/>
    <s v="Ionia McGrath"/>
  </r>
  <r>
    <x v="2"/>
    <s v="Mary O'Rourke"/>
  </r>
  <r>
    <x v="2"/>
    <s v="Daniel Raglin"/>
  </r>
  <r>
    <x v="2"/>
    <s v="Daniel Raglin"/>
  </r>
  <r>
    <x v="2"/>
    <s v="Melanie Seite"/>
  </r>
  <r>
    <x v="2"/>
    <s v="Roy Collins"/>
  </r>
  <r>
    <x v="2"/>
    <s v="Tracy Poddar"/>
  </r>
  <r>
    <x v="2"/>
    <s v="Tracy Poddar"/>
  </r>
  <r>
    <x v="2"/>
    <s v="Elpida Rittenbach"/>
  </r>
  <r>
    <x v="2"/>
    <s v="Elpida Rittenbach"/>
  </r>
  <r>
    <x v="2"/>
    <s v="Cindy Chapman"/>
  </r>
  <r>
    <x v="2"/>
    <s v="Becky Martin"/>
  </r>
  <r>
    <x v="2"/>
    <s v="Becky Martin"/>
  </r>
  <r>
    <x v="2"/>
    <s v="Becky Martin"/>
  </r>
  <r>
    <x v="2"/>
    <s v="Ellis Ballard"/>
  </r>
  <r>
    <x v="2"/>
    <s v="Liz MacKendrick"/>
  </r>
  <r>
    <x v="2"/>
    <s v="Kean Takahito"/>
  </r>
  <r>
    <x v="2"/>
    <s v="Anthony Johnson"/>
  </r>
  <r>
    <x v="2"/>
    <s v="Paul Prost"/>
  </r>
  <r>
    <x v="2"/>
    <s v="Paul Prost"/>
  </r>
  <r>
    <x v="2"/>
    <s v="Paul Prost"/>
  </r>
  <r>
    <x v="2"/>
    <s v="Paul Prost"/>
  </r>
  <r>
    <x v="2"/>
    <s v="Paul Prost"/>
  </r>
  <r>
    <x v="2"/>
    <s v="Annie Zypern"/>
  </r>
  <r>
    <x v="2"/>
    <s v="Justin Hirsh"/>
  </r>
  <r>
    <x v="2"/>
    <s v="Justin Hirsh"/>
  </r>
  <r>
    <x v="2"/>
    <s v="Patrick Jones"/>
  </r>
  <r>
    <x v="2"/>
    <s v="Barry Franz"/>
  </r>
  <r>
    <x v="2"/>
    <s v="Darrin Martin"/>
  </r>
  <r>
    <x v="2"/>
    <s v="Rick Bensley"/>
  </r>
  <r>
    <x v="2"/>
    <s v="Joni Sundaresam"/>
  </r>
  <r>
    <x v="2"/>
    <s v="Maureen Fritzler"/>
  </r>
  <r>
    <x v="2"/>
    <s v="Pete Kriz"/>
  </r>
  <r>
    <x v="2"/>
    <s v="Pete Kriz"/>
  </r>
  <r>
    <x v="2"/>
    <s v="Jasper Cacioppo"/>
  </r>
  <r>
    <x v="2"/>
    <s v="Darrin Martin"/>
  </r>
  <r>
    <x v="2"/>
    <s v="Joseph Holt"/>
  </r>
  <r>
    <x v="2"/>
    <s v="Joseph Holt"/>
  </r>
  <r>
    <x v="2"/>
    <s v="Stephanie Ulpright"/>
  </r>
  <r>
    <x v="2"/>
    <s v="Maribeth Dona"/>
  </r>
  <r>
    <x v="2"/>
    <s v="Dean Braden"/>
  </r>
  <r>
    <x v="2"/>
    <s v="Dean Braden"/>
  </r>
  <r>
    <x v="2"/>
    <s v="Christopher Schild"/>
  </r>
  <r>
    <x v="2"/>
    <s v="Alejandro Savely"/>
  </r>
  <r>
    <x v="2"/>
    <s v="Emily Phan"/>
  </r>
  <r>
    <x v="2"/>
    <s v="Emily Phan"/>
  </r>
  <r>
    <x v="2"/>
    <s v="Emily Phan"/>
  </r>
  <r>
    <x v="2"/>
    <s v="Joseph Holt"/>
  </r>
  <r>
    <x v="2"/>
    <s v="Nora Preis"/>
  </r>
  <r>
    <x v="2"/>
    <s v="Logan Haushalter"/>
  </r>
  <r>
    <x v="2"/>
    <s v="Liz Willingham"/>
  </r>
  <r>
    <x v="2"/>
    <s v="Irene Maddox"/>
  </r>
  <r>
    <x v="2"/>
    <s v="Aleksandra Gannaway"/>
  </r>
  <r>
    <x v="2"/>
    <s v="Harold Engle"/>
  </r>
  <r>
    <x v="2"/>
    <s v="Julia Barnett"/>
  </r>
  <r>
    <x v="2"/>
    <s v="Lena Cacioppo"/>
  </r>
  <r>
    <x v="2"/>
    <s v="Valerie Mitchum"/>
  </r>
  <r>
    <x v="2"/>
    <s v="Brad Eason"/>
  </r>
  <r>
    <x v="2"/>
    <s v="Brad Eason"/>
  </r>
  <r>
    <x v="2"/>
    <s v="Gene McClure"/>
  </r>
  <r>
    <x v="2"/>
    <s v="Clytie Kelty"/>
  </r>
  <r>
    <x v="2"/>
    <s v="Clytie Kelty"/>
  </r>
  <r>
    <x v="2"/>
    <s v="Clytie Kelty"/>
  </r>
  <r>
    <x v="2"/>
    <s v="Clytie Kelty"/>
  </r>
  <r>
    <x v="2"/>
    <s v="Clytie Kelty"/>
  </r>
  <r>
    <x v="2"/>
    <s v="Ross Baird"/>
  </r>
  <r>
    <x v="2"/>
    <s v="Maria Etezadi"/>
  </r>
  <r>
    <x v="2"/>
    <s v="Liz Preis"/>
  </r>
  <r>
    <x v="2"/>
    <s v="Liz Preis"/>
  </r>
  <r>
    <x v="2"/>
    <s v="Elpida Rittenbach"/>
  </r>
  <r>
    <x v="2"/>
    <s v="Yoseph Carroll"/>
  </r>
  <r>
    <x v="2"/>
    <s v="Laurel Beltran"/>
  </r>
  <r>
    <x v="2"/>
    <s v="Laurel Beltran"/>
  </r>
  <r>
    <x v="2"/>
    <s v="Kelly Lampkin"/>
  </r>
  <r>
    <x v="2"/>
    <s v="Greg Tran"/>
  </r>
  <r>
    <x v="2"/>
    <s v="Greg Tran"/>
  </r>
  <r>
    <x v="2"/>
    <s v="Greg Tran"/>
  </r>
  <r>
    <x v="2"/>
    <s v="Greg Tran"/>
  </r>
  <r>
    <x v="2"/>
    <s v="Anne Pryor"/>
  </r>
  <r>
    <x v="2"/>
    <s v="Anne Pryor"/>
  </r>
  <r>
    <x v="2"/>
    <s v="Neoma Murray"/>
  </r>
  <r>
    <x v="2"/>
    <s v="Christina Anderson"/>
  </r>
  <r>
    <x v="2"/>
    <s v="Erica Bern"/>
  </r>
  <r>
    <x v="2"/>
    <s v="Erin Smith"/>
  </r>
  <r>
    <x v="2"/>
    <s v="Alan Shonely"/>
  </r>
  <r>
    <x v="2"/>
    <s v="Alan Shonely"/>
  </r>
  <r>
    <x v="2"/>
    <s v="Caroline Jumper"/>
  </r>
  <r>
    <x v="2"/>
    <s v="Barry FranzÃ¶sisch"/>
  </r>
  <r>
    <x v="2"/>
    <s v="Chad Cunningham"/>
  </r>
  <r>
    <x v="2"/>
    <s v="Dorothy Wardle"/>
  </r>
  <r>
    <x v="2"/>
    <s v="Arthur Wiediger"/>
  </r>
  <r>
    <x v="2"/>
    <s v="Max Jones"/>
  </r>
  <r>
    <x v="2"/>
    <s v="Claudia Bergmann"/>
  </r>
  <r>
    <x v="2"/>
    <s v="Luke Weiss"/>
  </r>
  <r>
    <x v="2"/>
    <s v="Michael Chen"/>
  </r>
  <r>
    <x v="2"/>
    <s v="Michael Chen"/>
  </r>
  <r>
    <x v="2"/>
    <s v="Lisa DeCherney"/>
  </r>
  <r>
    <x v="2"/>
    <s v="Cathy Hwang"/>
  </r>
  <r>
    <x v="2"/>
    <s v="Giulietta Baptist"/>
  </r>
  <r>
    <x v="2"/>
    <s v="Sanjit Jacobs"/>
  </r>
  <r>
    <x v="2"/>
    <s v="Sanjit Jacobs"/>
  </r>
  <r>
    <x v="2"/>
    <s v="Stephanie Phelps"/>
  </r>
  <r>
    <x v="2"/>
    <s v="Jeremy Lonsdale"/>
  </r>
  <r>
    <x v="2"/>
    <s v="Logan Currie"/>
  </r>
  <r>
    <x v="2"/>
    <s v="Zuschuss Carroll"/>
  </r>
  <r>
    <x v="2"/>
    <s v="Eugene Hildebrand"/>
  </r>
  <r>
    <x v="2"/>
    <s v="Patrick Gardner"/>
  </r>
  <r>
    <x v="2"/>
    <s v="Raymond Messe"/>
  </r>
  <r>
    <x v="2"/>
    <s v="Christine Kargatis"/>
  </r>
  <r>
    <x v="2"/>
    <s v="George Bell"/>
  </r>
  <r>
    <x v="2"/>
    <s v="Scot Coram"/>
  </r>
  <r>
    <x v="2"/>
    <s v="Chris Cortes"/>
  </r>
  <r>
    <x v="2"/>
    <s v="Zuschuss Donatelli"/>
  </r>
  <r>
    <x v="2"/>
    <s v="Zuschuss Donatelli"/>
  </r>
  <r>
    <x v="2"/>
    <s v="Jill Fjeld"/>
  </r>
  <r>
    <x v="2"/>
    <s v="Cathy Armstrong"/>
  </r>
  <r>
    <x v="2"/>
    <s v="Charles Crestani"/>
  </r>
  <r>
    <x v="2"/>
    <s v="Anna Gayman"/>
  </r>
  <r>
    <x v="2"/>
    <s v="Valerie Mitchum"/>
  </r>
  <r>
    <x v="2"/>
    <s v="Anne Pryor"/>
  </r>
  <r>
    <x v="2"/>
    <s v="Michael Grace"/>
  </r>
  <r>
    <x v="2"/>
    <s v="Ken Black"/>
  </r>
  <r>
    <x v="2"/>
    <s v="Jill Matthias"/>
  </r>
  <r>
    <x v="2"/>
    <s v="Pauline Johnson"/>
  </r>
  <r>
    <x v="2"/>
    <s v="Toby Ritter"/>
  </r>
  <r>
    <x v="2"/>
    <s v="Liz Preis"/>
  </r>
  <r>
    <x v="2"/>
    <s v="Claire Gute"/>
  </r>
  <r>
    <x v="2"/>
    <s v="Gene Hale"/>
  </r>
  <r>
    <x v="2"/>
    <s v="Quincy Jones"/>
  </r>
  <r>
    <x v="2"/>
    <s v="Stefania Perrino"/>
  </r>
  <r>
    <x v="2"/>
    <s v="Stefania Perrino"/>
  </r>
  <r>
    <x v="2"/>
    <s v="Doug Bickford"/>
  </r>
  <r>
    <x v="2"/>
    <s v="Lena Hernandez"/>
  </r>
  <r>
    <x v="2"/>
    <s v="Laura Armstrong"/>
  </r>
  <r>
    <x v="2"/>
    <s v="Pamela Stobb"/>
  </r>
  <r>
    <x v="2"/>
    <s v="Sean Wendt"/>
  </r>
  <r>
    <x v="2"/>
    <s v="Sonia Sunley"/>
  </r>
  <r>
    <x v="2"/>
    <s v="Paul Stevenson"/>
  </r>
  <r>
    <x v="2"/>
    <s v="Ricardo Sperren"/>
  </r>
  <r>
    <x v="2"/>
    <s v="Cynthia Voltz"/>
  </r>
  <r>
    <x v="2"/>
    <s v="Cynthia Voltz"/>
  </r>
  <r>
    <x v="2"/>
    <s v="Toby Carlisle"/>
  </r>
  <r>
    <x v="2"/>
    <s v="Benjamin Farhat"/>
  </r>
  <r>
    <x v="2"/>
    <s v="Helen Andreada"/>
  </r>
  <r>
    <x v="2"/>
    <s v="Gary Hansen"/>
  </r>
  <r>
    <x v="2"/>
    <s v="Daniel Byrd"/>
  </r>
  <r>
    <x v="2"/>
    <s v="Michael Paige"/>
  </r>
  <r>
    <x v="2"/>
    <s v="Sibella Parks"/>
  </r>
  <r>
    <x v="2"/>
    <s v="Ken Black"/>
  </r>
  <r>
    <x v="2"/>
    <s v="Fred McMath"/>
  </r>
  <r>
    <x v="2"/>
    <s v="Emily Burns"/>
  </r>
  <r>
    <x v="2"/>
    <s v="Ken Black"/>
  </r>
  <r>
    <x v="2"/>
    <s v="Karen Ferguson"/>
  </r>
  <r>
    <x v="2"/>
    <s v="Rick Huthwaite"/>
  </r>
  <r>
    <x v="2"/>
    <s v="Filia McAdams"/>
  </r>
  <r>
    <x v="2"/>
    <s v="Filia McAdams"/>
  </r>
  <r>
    <x v="2"/>
    <s v="Brian Thompson"/>
  </r>
  <r>
    <x v="2"/>
    <s v="Gene McClure"/>
  </r>
  <r>
    <x v="2"/>
    <s v="Olvera Toch"/>
  </r>
  <r>
    <x v="2"/>
    <s v="Joy Bell-"/>
  </r>
  <r>
    <x v="2"/>
    <s v="Erin Ashbrook"/>
  </r>
  <r>
    <x v="2"/>
    <s v="Parhena Norris"/>
  </r>
  <r>
    <x v="2"/>
    <s v="Parhena Norris"/>
  </r>
  <r>
    <x v="2"/>
    <s v="Bryan Davis"/>
  </r>
  <r>
    <x v="2"/>
    <s v="Corey Catlett"/>
  </r>
  <r>
    <x v="2"/>
    <s v="Corey Catlett"/>
  </r>
  <r>
    <x v="2"/>
    <s v="William Brown"/>
  </r>
  <r>
    <x v="2"/>
    <s v="Chuck Clark"/>
  </r>
  <r>
    <x v="2"/>
    <s v="Paul Prost"/>
  </r>
  <r>
    <x v="2"/>
    <s v="Sally Hughsby"/>
  </r>
  <r>
    <x v="2"/>
    <s v="Arianne Irving"/>
  </r>
  <r>
    <x v="2"/>
    <s v="Arianne Irving"/>
  </r>
  <r>
    <x v="2"/>
    <s v="Ben Ferrer"/>
  </r>
  <r>
    <x v="2"/>
    <s v="Aaron Bergman"/>
  </r>
  <r>
    <x v="2"/>
    <s v="Arthur Prichep"/>
  </r>
  <r>
    <x v="2"/>
    <s v="Arthur Prichep"/>
  </r>
  <r>
    <x v="2"/>
    <s v="Sara Luxemburg"/>
  </r>
  <r>
    <x v="2"/>
    <s v="Deanra Eno"/>
  </r>
  <r>
    <x v="2"/>
    <s v="Sanjit Engle"/>
  </r>
  <r>
    <x v="2"/>
    <s v="Michelle Tran"/>
  </r>
  <r>
    <x v="2"/>
    <s v="Kelly Collister"/>
  </r>
  <r>
    <x v="2"/>
    <s v="Giulietta Dortch"/>
  </r>
  <r>
    <x v="2"/>
    <s v="Adam Shillingsburg"/>
  </r>
  <r>
    <x v="2"/>
    <s v="Linda Cazamias"/>
  </r>
  <r>
    <x v="2"/>
    <s v="Linda Cazamias"/>
  </r>
  <r>
    <x v="2"/>
    <s v="Emily Phan"/>
  </r>
  <r>
    <x v="2"/>
    <s v="Bryan Davis"/>
  </r>
  <r>
    <x v="2"/>
    <s v="Laurel Beltran"/>
  </r>
  <r>
    <x v="2"/>
    <s v="Edward Becker"/>
  </r>
  <r>
    <x v="2"/>
    <s v="Liz Pelletier"/>
  </r>
  <r>
    <x v="2"/>
    <s v="Alejandro Savely"/>
  </r>
  <r>
    <x v="2"/>
    <s v="Fred McMath"/>
  </r>
  <r>
    <x v="2"/>
    <s v="Anthony Rawles"/>
  </r>
  <r>
    <x v="2"/>
    <s v="William Brown"/>
  </r>
  <r>
    <x v="2"/>
    <s v="William Brown"/>
  </r>
  <r>
    <x v="2"/>
    <s v="William Brown"/>
  </r>
  <r>
    <x v="2"/>
    <s v="Dean Katz"/>
  </r>
  <r>
    <x v="2"/>
    <s v="Scot Wooten"/>
  </r>
  <r>
    <x v="2"/>
    <s v="Jason Fortune-"/>
  </r>
  <r>
    <x v="2"/>
    <s v="Thomas Boland"/>
  </r>
  <r>
    <x v="2"/>
    <s v="Jill Matthias"/>
  </r>
  <r>
    <x v="2"/>
    <s v="Vivian Mathis"/>
  </r>
  <r>
    <x v="2"/>
    <s v="Stewart Carmichael"/>
  </r>
  <r>
    <x v="2"/>
    <s v="Stewart Carmichael"/>
  </r>
  <r>
    <x v="2"/>
    <s v="Philisse Overcash"/>
  </r>
  <r>
    <x v="2"/>
    <s v="Erin Ashbrook"/>
  </r>
  <r>
    <x v="2"/>
    <s v="Arthur Wiediger"/>
  </r>
  <r>
    <x v="2"/>
    <s v="Arthur Wiediger"/>
  </r>
  <r>
    <x v="2"/>
    <s v="Chris McAfee"/>
  </r>
  <r>
    <x v="2"/>
    <s v="Steve Chapman"/>
  </r>
  <r>
    <x v="2"/>
    <s v="Matt Collister"/>
  </r>
  <r>
    <x v="2"/>
    <s v="Maurice Satty"/>
  </r>
  <r>
    <x v="2"/>
    <s v="Frank Hawley"/>
  </r>
  <r>
    <x v="2"/>
    <s v="Dianna Wilson"/>
  </r>
  <r>
    <x v="2"/>
    <s v="Erin Creighton"/>
  </r>
  <r>
    <x v="2"/>
    <s v="Erin Creighton"/>
  </r>
  <r>
    <x v="2"/>
    <s v="Noel Staavos"/>
  </r>
  <r>
    <x v="3"/>
    <s v="Steven Cartwright"/>
  </r>
  <r>
    <x v="3"/>
    <s v="Dennis Pardue"/>
  </r>
  <r>
    <x v="3"/>
    <s v="Maribeth Schnelling"/>
  </r>
  <r>
    <x v="3"/>
    <s v="Nick Crebassa"/>
  </r>
  <r>
    <x v="3"/>
    <s v="Caroline Jumper"/>
  </r>
  <r>
    <x v="3"/>
    <s v="Barry Blumstein"/>
  </r>
  <r>
    <x v="3"/>
    <s v="Helen Wasserman"/>
  </r>
  <r>
    <x v="3"/>
    <s v="Aaron Smayling"/>
  </r>
  <r>
    <x v="3"/>
    <s v="Bradley Nguyen"/>
  </r>
  <r>
    <x v="3"/>
    <s v="Sung Shariari"/>
  </r>
  <r>
    <x v="3"/>
    <s v="Ken Heidel"/>
  </r>
  <r>
    <x v="3"/>
    <s v="Ellis Ballard"/>
  </r>
  <r>
    <x v="3"/>
    <s v="Tanja Norvell"/>
  </r>
  <r>
    <x v="3"/>
    <s v="Craig Carreira"/>
  </r>
  <r>
    <x v="3"/>
    <s v="Craig Carreira"/>
  </r>
  <r>
    <x v="3"/>
    <s v="Dianna Vittorini"/>
  </r>
  <r>
    <x v="3"/>
    <s v="Erica Hernandez"/>
  </r>
  <r>
    <x v="3"/>
    <s v="Clay Cheatham"/>
  </r>
  <r>
    <x v="3"/>
    <s v="Ralph Arnett"/>
  </r>
  <r>
    <x v="3"/>
    <s v="Ralph Arnett"/>
  </r>
  <r>
    <x v="3"/>
    <s v="Sean Christensen"/>
  </r>
  <r>
    <x v="3"/>
    <s v="Aaron Smayling"/>
  </r>
  <r>
    <x v="3"/>
    <s v="Trudy Schmidt"/>
  </r>
  <r>
    <x v="3"/>
    <s v="Bill Overfelt"/>
  </r>
  <r>
    <x v="3"/>
    <s v="Bill Overfelt"/>
  </r>
  <r>
    <x v="3"/>
    <s v="Maribeth Yedwab"/>
  </r>
  <r>
    <x v="3"/>
    <s v="Dorris liebe"/>
  </r>
  <r>
    <x v="3"/>
    <s v="Bill Eplett"/>
  </r>
  <r>
    <x v="3"/>
    <s v="Bill Eplett"/>
  </r>
  <r>
    <x v="3"/>
    <s v="Phillip Flathmann"/>
  </r>
  <r>
    <x v="3"/>
    <s v="Ann Chong"/>
  </r>
  <r>
    <x v="3"/>
    <s v="Anthony Witt"/>
  </r>
  <r>
    <x v="3"/>
    <s v="Ted Butterfield"/>
  </r>
  <r>
    <x v="3"/>
    <s v="Janet Lee"/>
  </r>
  <r>
    <x v="3"/>
    <s v="Marc Harrigan"/>
  </r>
  <r>
    <x v="3"/>
    <s v="Roland Fjeld"/>
  </r>
  <r>
    <x v="3"/>
    <s v="Rob Williams"/>
  </r>
  <r>
    <x v="3"/>
    <s v="Frank Gastineau"/>
  </r>
  <r>
    <x v="3"/>
    <s v="Dean percer"/>
  </r>
  <r>
    <x v="3"/>
    <s v="Dean percer"/>
  </r>
  <r>
    <x v="3"/>
    <s v="Jane Waco"/>
  </r>
  <r>
    <x v="3"/>
    <s v="Chad McGuire"/>
  </r>
  <r>
    <x v="3"/>
    <s v="Steve Chapman"/>
  </r>
  <r>
    <x v="3"/>
    <s v="Nancy Lomonaco"/>
  </r>
  <r>
    <x v="3"/>
    <s v="Nancy Lomonaco"/>
  </r>
  <r>
    <x v="3"/>
    <s v="Thea Hudgings"/>
  </r>
  <r>
    <x v="3"/>
    <s v="Thea Hudgings"/>
  </r>
  <r>
    <x v="3"/>
    <s v="Cindy Stewart"/>
  </r>
  <r>
    <x v="3"/>
    <s v="Victoria Wilson"/>
  </r>
  <r>
    <x v="3"/>
    <s v="Bill Stewart"/>
  </r>
  <r>
    <x v="3"/>
    <s v="Bill Stewart"/>
  </r>
  <r>
    <x v="3"/>
    <s v="Bill Stewart"/>
  </r>
  <r>
    <x v="3"/>
    <s v="Erin Smith"/>
  </r>
  <r>
    <x v="3"/>
    <s v="Christopher Martinez"/>
  </r>
  <r>
    <x v="3"/>
    <s v="Ross DeVincentis"/>
  </r>
  <r>
    <x v="3"/>
    <s v="Ed Jacobs"/>
  </r>
  <r>
    <x v="3"/>
    <s v="Darren Budd"/>
  </r>
  <r>
    <x v="3"/>
    <s v="Bill Overfelt"/>
  </r>
  <r>
    <x v="3"/>
    <s v="Giulietta Dortch"/>
  </r>
  <r>
    <x v="3"/>
    <s v="Katherine Nockton"/>
  </r>
  <r>
    <x v="3"/>
    <s v="Chuck Sachs"/>
  </r>
  <r>
    <x v="3"/>
    <s v="Frank Hawley"/>
  </r>
  <r>
    <x v="3"/>
    <s v="Jim Kriz"/>
  </r>
  <r>
    <x v="3"/>
    <s v="Jim Kriz"/>
  </r>
  <r>
    <x v="3"/>
    <s v="Charlotte Melton"/>
  </r>
  <r>
    <x v="3"/>
    <s v="George Ashbrook"/>
  </r>
  <r>
    <x v="3"/>
    <s v="Scot Coram"/>
  </r>
  <r>
    <x v="3"/>
    <s v="Sample Company A"/>
  </r>
  <r>
    <x v="3"/>
    <s v="Katrina Bavinger"/>
  </r>
  <r>
    <x v="3"/>
    <s v="Muhammed Yedwab"/>
  </r>
  <r>
    <x v="3"/>
    <s v="Patrick O'Brill"/>
  </r>
  <r>
    <x v="3"/>
    <s v="Chuck Clark"/>
  </r>
  <r>
    <x v="3"/>
    <s v="Kimberly Carter"/>
  </r>
  <r>
    <x v="3"/>
    <s v="Darrin Martin"/>
  </r>
  <r>
    <x v="3"/>
    <s v="Paul Gonzalez"/>
  </r>
  <r>
    <x v="3"/>
    <s v="Justin MacKendrick"/>
  </r>
  <r>
    <x v="3"/>
    <s v="Dave Kipp"/>
  </r>
  <r>
    <x v="3"/>
    <s v="Toby Carlisle"/>
  </r>
  <r>
    <x v="3"/>
    <s v="Lena Cacioppo"/>
  </r>
  <r>
    <x v="3"/>
    <s v="Lena Cacioppo"/>
  </r>
  <r>
    <x v="3"/>
    <s v="Tonja Turnell"/>
  </r>
  <r>
    <x v="3"/>
    <s v="Darrin Sayre"/>
  </r>
  <r>
    <x v="3"/>
    <s v="Lindsay Williams"/>
  </r>
  <r>
    <x v="3"/>
    <s v="Mike Kennedy"/>
  </r>
  <r>
    <x v="3"/>
    <s v="Lindsay Williams"/>
  </r>
  <r>
    <x v="3"/>
    <s v="Dan Campbell"/>
  </r>
  <r>
    <x v="3"/>
    <s v="Carol Triggs"/>
  </r>
  <r>
    <x v="3"/>
    <s v="Harry Marie"/>
  </r>
  <r>
    <x v="3"/>
    <s v="John Dryer"/>
  </r>
  <r>
    <x v="3"/>
    <s v="Helen Wasserman"/>
  </r>
  <r>
    <x v="3"/>
    <s v="Maribeth Dona"/>
  </r>
  <r>
    <x v="3"/>
    <s v="Ralph Arnett"/>
  </r>
  <r>
    <x v="3"/>
    <s v="Eva Jacobs"/>
  </r>
  <r>
    <x v="3"/>
    <s v="Aaron Smayling"/>
  </r>
  <r>
    <x v="3"/>
    <s v="Grant Thornton"/>
  </r>
  <r>
    <x v="3"/>
    <s v="James Lanier"/>
  </r>
  <r>
    <x v="3"/>
    <s v="Kelly Lampkin"/>
  </r>
  <r>
    <x v="3"/>
    <s v="Christina Anderson"/>
  </r>
  <r>
    <x v="3"/>
    <s v="Michael Stewart"/>
  </r>
  <r>
    <x v="3"/>
    <s v="Theone Pippenger"/>
  </r>
  <r>
    <x v="3"/>
    <s v="Theone Pippenger"/>
  </r>
  <r>
    <x v="3"/>
    <s v="Doug O'Connell"/>
  </r>
  <r>
    <x v="3"/>
    <s v="Fred Chung"/>
  </r>
  <r>
    <x v="3"/>
    <s v="Pete Kriz"/>
  </r>
  <r>
    <x v="3"/>
    <s v="Claudia Bergmann"/>
  </r>
  <r>
    <x v="3"/>
    <s v="Darren Koutras"/>
  </r>
  <r>
    <x v="3"/>
    <s v="Nick Zandusky"/>
  </r>
  <r>
    <x v="3"/>
    <s v="Todd Sumrall"/>
  </r>
  <r>
    <x v="3"/>
    <s v="Greg Guthrie"/>
  </r>
  <r>
    <x v="3"/>
    <s v="Suzanne McNair"/>
  </r>
  <r>
    <x v="3"/>
    <s v="Carlos Soltero"/>
  </r>
  <r>
    <x v="3"/>
    <s v="Sibella Parks"/>
  </r>
  <r>
    <x v="3"/>
    <s v="Ben Ferrer"/>
  </r>
  <r>
    <x v="3"/>
    <s v="Sally Hughsby"/>
  </r>
  <r>
    <x v="3"/>
    <s v="Mick Brown"/>
  </r>
  <r>
    <x v="3"/>
    <s v="Gary Hansen"/>
  </r>
  <r>
    <x v="3"/>
    <s v="Fred Hopkins"/>
  </r>
  <r>
    <x v="3"/>
    <s v="Cyra Reiten"/>
  </r>
  <r>
    <x v="3"/>
    <s v="Xylona Preis"/>
  </r>
  <r>
    <x v="3"/>
    <s v="Roger Barcio"/>
  </r>
  <r>
    <x v="3"/>
    <s v="Valerie Mitchum"/>
  </r>
  <r>
    <x v="3"/>
    <s v="Chuck Clark"/>
  </r>
  <r>
    <x v="3"/>
    <s v="Jamie Frazer"/>
  </r>
  <r>
    <x v="3"/>
    <s v="Jamie Frazer"/>
  </r>
  <r>
    <x v="3"/>
    <s v="Christopher Schild"/>
  </r>
  <r>
    <x v="3"/>
    <s v="Christopher Schild"/>
  </r>
  <r>
    <x v="3"/>
    <s v="Rick Wilson"/>
  </r>
  <r>
    <x v="3"/>
    <s v="Rick Wilson"/>
  </r>
  <r>
    <x v="3"/>
    <s v="Carlos Soltero"/>
  </r>
  <r>
    <x v="3"/>
    <s v="Rob Lucas"/>
  </r>
  <r>
    <x v="3"/>
    <s v="Rob Lucas"/>
  </r>
  <r>
    <x v="3"/>
    <s v="Rob Lucas"/>
  </r>
  <r>
    <x v="3"/>
    <s v="Rob Lucas"/>
  </r>
  <r>
    <x v="3"/>
    <s v="Joni Wasserman"/>
  </r>
  <r>
    <x v="3"/>
    <s v="Jay Kimmel"/>
  </r>
  <r>
    <x v="3"/>
    <s v="Jeremy Lonsdale"/>
  </r>
  <r>
    <x v="3"/>
    <s v="Jeremy Lonsdale"/>
  </r>
  <r>
    <x v="3"/>
    <s v="Justin MacKendrick"/>
  </r>
  <r>
    <x v="3"/>
    <s v="Justin MacKendrick"/>
  </r>
  <r>
    <x v="3"/>
    <s v="Phillip Flathmann"/>
  </r>
  <r>
    <x v="3"/>
    <s v="Joe Kamberova"/>
  </r>
  <r>
    <x v="3"/>
    <s v="Frank Preis"/>
  </r>
  <r>
    <x v="3"/>
    <s v="Henry Goldwyn"/>
  </r>
  <r>
    <x v="3"/>
    <s v="Brosina Hoffman"/>
  </r>
  <r>
    <x v="3"/>
    <s v="Tracy Collins"/>
  </r>
  <r>
    <x v="3"/>
    <s v="Victoria Brennan"/>
  </r>
  <r>
    <x v="3"/>
    <s v="Victoria Brennan"/>
  </r>
  <r>
    <x v="3"/>
    <s v="Alan Hwang"/>
  </r>
  <r>
    <x v="3"/>
    <s v="Dorris liebe"/>
  </r>
  <r>
    <x v="3"/>
    <s v="Tiffany House"/>
  </r>
  <r>
    <x v="3"/>
    <s v="Tiffany House"/>
  </r>
  <r>
    <x v="3"/>
    <s v="Frank Olsen"/>
  </r>
  <r>
    <x v="3"/>
    <s v="Tamara Dahlen"/>
  </r>
  <r>
    <x v="3"/>
    <s v="Vivek Gonzalez"/>
  </r>
  <r>
    <x v="3"/>
    <s v="Harold Engle"/>
  </r>
  <r>
    <x v="3"/>
    <s v="Harold Engle"/>
  </r>
  <r>
    <x v="3"/>
    <s v="Dorothy Badders"/>
  </r>
  <r>
    <x v="3"/>
    <s v="Alex Russell"/>
  </r>
  <r>
    <x v="3"/>
    <s v="Sharelle Roach"/>
  </r>
  <r>
    <x v="3"/>
    <s v="Kean Nguyen"/>
  </r>
  <r>
    <x v="3"/>
    <s v="Keith Herrera"/>
  </r>
  <r>
    <x v="3"/>
    <s v="Delfina Latchford"/>
  </r>
  <r>
    <x v="3"/>
    <s v="Delfina Latchford"/>
  </r>
  <r>
    <x v="3"/>
    <s v="Luke Foster"/>
  </r>
  <r>
    <x v="3"/>
    <s v="Luke Foster"/>
  </r>
  <r>
    <x v="3"/>
    <s v="Alan Schoenberger"/>
  </r>
  <r>
    <x v="3"/>
    <s v="Denise Monton"/>
  </r>
  <r>
    <x v="3"/>
    <s v="Max Jones"/>
  </r>
  <r>
    <x v="3"/>
    <s v="Tom Prescott"/>
  </r>
  <r>
    <x v="3"/>
    <s v="Bryan Spruell"/>
  </r>
  <r>
    <x v="3"/>
    <s v="Bryan Spruell"/>
  </r>
  <r>
    <x v="3"/>
    <s v="Bryan Spruell"/>
  </r>
  <r>
    <x v="3"/>
    <s v="Sue Ann Reed"/>
  </r>
  <r>
    <x v="3"/>
    <s v="Laurel Beltran"/>
  </r>
  <r>
    <x v="3"/>
    <s v="Stefania Perrino"/>
  </r>
  <r>
    <x v="3"/>
    <s v="Sean Braxton"/>
  </r>
  <r>
    <x v="3"/>
    <s v="Arianne Irving"/>
  </r>
  <r>
    <x v="3"/>
    <s v="Liz Carlisle"/>
  </r>
  <r>
    <x v="3"/>
    <s v="Matt Connell"/>
  </r>
  <r>
    <x v="3"/>
    <s v="Joy Daniels"/>
  </r>
  <r>
    <x v="3"/>
    <s v="Harry Greene"/>
  </r>
  <r>
    <x v="3"/>
    <s v="Maria Bertelson"/>
  </r>
  <r>
    <x v="3"/>
    <s v="Xylona Preis"/>
  </r>
  <r>
    <x v="3"/>
    <s v="Christine Abelman"/>
  </r>
  <r>
    <x v="3"/>
    <s v="Dean Braden"/>
  </r>
  <r>
    <x v="3"/>
    <s v="Dean Braden"/>
  </r>
  <r>
    <x v="3"/>
    <s v="Alyssa Tate"/>
  </r>
  <r>
    <x v="3"/>
    <s v="Luke Weiss"/>
  </r>
  <r>
    <x v="3"/>
    <s v="Bruce Stewart"/>
  </r>
  <r>
    <x v="3"/>
    <s v="Ben Wallace"/>
  </r>
  <r>
    <x v="3"/>
    <s v="George Zrebassa"/>
  </r>
  <r>
    <x v="3"/>
    <s v="Becky Pak"/>
  </r>
  <r>
    <x v="3"/>
    <s v="Robert Waldorf"/>
  </r>
  <r>
    <x v="3"/>
    <s v="Shahid Hopkins"/>
  </r>
  <r>
    <x v="3"/>
    <s v="Shahid Shariari"/>
  </r>
  <r>
    <x v="3"/>
    <s v="Ann Blume"/>
  </r>
  <r>
    <x v="3"/>
    <s v="Frank Hawley"/>
  </r>
  <r>
    <x v="3"/>
    <s v="Thomas Brumley"/>
  </r>
  <r>
    <x v="3"/>
    <s v="Gary Hwang"/>
  </r>
  <r>
    <x v="3"/>
    <s v="Ben Peterman"/>
  </r>
  <r>
    <x v="3"/>
    <s v="Max Jones"/>
  </r>
  <r>
    <x v="3"/>
    <s v="Marc Harrigan"/>
  </r>
  <r>
    <x v="3"/>
    <s v="Paul Van Hugh"/>
  </r>
  <r>
    <x v="3"/>
    <s v="Luke Weiss"/>
  </r>
  <r>
    <x v="3"/>
    <s v="Julie Kriz"/>
  </r>
  <r>
    <x v="3"/>
    <s v="Julie Kriz"/>
  </r>
  <r>
    <x v="3"/>
    <s v="Zuschuss Carroll"/>
  </r>
  <r>
    <x v="3"/>
    <s v="Becky Castell"/>
  </r>
  <r>
    <x v="3"/>
    <s v="Tom Boeckenhauer"/>
  </r>
  <r>
    <x v="3"/>
    <s v="Tom Stivers"/>
  </r>
  <r>
    <x v="3"/>
    <s v="Arianne Irving"/>
  </r>
  <r>
    <x v="3"/>
    <s v="Dennis Kane"/>
  </r>
  <r>
    <x v="3"/>
    <s v="Roy Skaria"/>
  </r>
  <r>
    <x v="3"/>
    <s v="Bill Donatelli"/>
  </r>
  <r>
    <x v="3"/>
    <s v="Chloris Kastensmidt"/>
  </r>
  <r>
    <x v="3"/>
    <s v="Julie Prescott"/>
  </r>
  <r>
    <x v="3"/>
    <s v="Charles Sheldon"/>
  </r>
  <r>
    <x v="3"/>
    <s v="Cynthia Arntzen"/>
  </r>
  <r>
    <x v="3"/>
    <s v="Sarah Bern"/>
  </r>
  <r>
    <x v="3"/>
    <s v="Lena Creighton"/>
  </r>
  <r>
    <x v="3"/>
    <s v="Sarah Brown"/>
  </r>
  <r>
    <x v="3"/>
    <s v="Brenda Bowman"/>
  </r>
  <r>
    <x v="3"/>
    <s v="Dana Kaydos"/>
  </r>
  <r>
    <x v="3"/>
    <s v="Dana Kaydos"/>
  </r>
  <r>
    <x v="3"/>
    <s v="Sean Miller"/>
  </r>
  <r>
    <x v="3"/>
    <s v="Neil Knudson"/>
  </r>
  <r>
    <x v="3"/>
    <s v="Nora Paige"/>
  </r>
  <r>
    <x v="3"/>
    <s v="Matthew Grinstein"/>
  </r>
  <r>
    <x v="3"/>
    <s v="Sylvia Foulston"/>
  </r>
  <r>
    <x v="3"/>
    <s v="Christine Sundaresam"/>
  </r>
  <r>
    <x v="3"/>
    <s v="Emily Phan"/>
  </r>
  <r>
    <x v="3"/>
    <s v="Dennis Kane"/>
  </r>
  <r>
    <x v="4"/>
    <s v="Ross DeVincentis"/>
  </r>
  <r>
    <x v="4"/>
    <s v="Stewart Visinsky"/>
  </r>
  <r>
    <x v="4"/>
    <s v="Stewart Visinsky"/>
  </r>
  <r>
    <x v="4"/>
    <s v="Tamara Willingham"/>
  </r>
  <r>
    <x v="4"/>
    <s v="Edward Hooks"/>
  </r>
  <r>
    <x v="4"/>
    <s v="Stephanie Ulpright"/>
  </r>
  <r>
    <x v="4"/>
    <s v="Shahid Collister"/>
  </r>
  <r>
    <x v="4"/>
    <s v="Ben Ferrer"/>
  </r>
  <r>
    <x v="4"/>
    <s v="Heather Jas"/>
  </r>
  <r>
    <x v="4"/>
    <s v="Thea Hendricks"/>
  </r>
  <r>
    <x v="4"/>
    <s v="Frank Preis"/>
  </r>
  <r>
    <x v="4"/>
    <s v="Dave Poirier"/>
  </r>
  <r>
    <x v="4"/>
    <s v="Aaron Hawkins"/>
  </r>
  <r>
    <x v="4"/>
    <s v="Aaron Hawkins"/>
  </r>
  <r>
    <x v="4"/>
    <s v="Dave Hallsten"/>
  </r>
  <r>
    <x v="4"/>
    <s v="Sonia Sunley"/>
  </r>
  <r>
    <x v="4"/>
    <s v="Jessica Myrick"/>
  </r>
  <r>
    <x v="4"/>
    <s v="Odella Nelson"/>
  </r>
  <r>
    <x v="4"/>
    <s v="Ken Dana"/>
  </r>
  <r>
    <x v="4"/>
    <s v="Zuschuss Carroll"/>
  </r>
  <r>
    <x v="4"/>
    <s v="Lena Creighton"/>
  </r>
  <r>
    <x v="4"/>
    <s v="Helen Andreada"/>
  </r>
  <r>
    <x v="4"/>
    <s v="Helen Andreada"/>
  </r>
  <r>
    <x v="4"/>
    <s v="Andrew Gjertsen"/>
  </r>
  <r>
    <x v="4"/>
    <s v="Michelle Huthwaite"/>
  </r>
  <r>
    <x v="4"/>
    <s v="Joe Kamberova"/>
  </r>
  <r>
    <x v="4"/>
    <s v="Helen Abelman"/>
  </r>
  <r>
    <x v="4"/>
    <s v="Russell Applegate"/>
  </r>
  <r>
    <x v="4"/>
    <s v="Allen Armold"/>
  </r>
  <r>
    <x v="4"/>
    <s v="Arthur Wiediger"/>
  </r>
  <r>
    <x v="4"/>
    <s v="Tom Stivers"/>
  </r>
  <r>
    <x v="4"/>
    <s v="Corinna Mitchell"/>
  </r>
  <r>
    <x v="4"/>
    <s v="Alan Dominguez"/>
  </r>
  <r>
    <x v="4"/>
    <s v="Katrina Edelman"/>
  </r>
  <r>
    <x v="4"/>
    <s v="Ken Brennan"/>
  </r>
  <r>
    <x v="4"/>
    <s v="Cassandra Brandow"/>
  </r>
  <r>
    <x v="4"/>
    <s v="Ken Lonsdale"/>
  </r>
  <r>
    <x v="4"/>
    <s v="Katherine Ducich"/>
  </r>
  <r>
    <x v="4"/>
    <s v="Ellis Ballard"/>
  </r>
  <r>
    <x v="4"/>
    <s v="Randy Ferguson"/>
  </r>
  <r>
    <x v="4"/>
    <s v="Randy Ferguson"/>
  </r>
  <r>
    <x v="4"/>
    <s v="Rob Dowd"/>
  </r>
  <r>
    <x v="4"/>
    <s v="Emily Phan"/>
  </r>
  <r>
    <x v="4"/>
    <s v="Brendan Sweed"/>
  </r>
  <r>
    <x v="4"/>
    <s v="Anna Gayman"/>
  </r>
  <r>
    <x v="4"/>
    <s v="Tracy Poddar"/>
  </r>
  <r>
    <x v="4"/>
    <s v="Sean O'Donnell"/>
  </r>
  <r>
    <x v="4"/>
    <s v="Hallie Redmond"/>
  </r>
  <r>
    <x v="4"/>
    <s v="Shui Tom"/>
  </r>
  <r>
    <x v="4"/>
    <s v="Ted Trevino"/>
  </r>
  <r>
    <x v="4"/>
    <s v="Rick Bensley"/>
  </r>
  <r>
    <x v="4"/>
    <s v="Arianne Irving"/>
  </r>
  <r>
    <x v="4"/>
    <s v="Jill Matthias"/>
  </r>
  <r>
    <x v="4"/>
    <s v="Jesus Ocampo"/>
  </r>
  <r>
    <x v="4"/>
    <s v="Jesus Ocampo"/>
  </r>
  <r>
    <x v="4"/>
    <s v="Eva Jacobs"/>
  </r>
  <r>
    <x v="4"/>
    <s v="Ken Black"/>
  </r>
  <r>
    <x v="4"/>
    <s v="Greg Tran"/>
  </r>
  <r>
    <x v="4"/>
    <s v="Greg Tran"/>
  </r>
  <r>
    <x v="4"/>
    <s v="Sharelle Roach"/>
  </r>
  <r>
    <x v="4"/>
    <s v="Paul Van Hugh"/>
  </r>
  <r>
    <x v="4"/>
    <s v="Vivian Mathis"/>
  </r>
  <r>
    <x v="4"/>
    <s v="Shui Tom"/>
  </r>
  <r>
    <x v="4"/>
    <s v="Shirley Schmidt"/>
  </r>
  <r>
    <x v="4"/>
    <s v="John Lee"/>
  </r>
  <r>
    <x v="4"/>
    <s v="Jill Matthias"/>
  </r>
  <r>
    <x v="4"/>
    <s v="Cynthia Arntzen"/>
  </r>
  <r>
    <x v="4"/>
    <s v="Clay Ludtke"/>
  </r>
  <r>
    <x v="4"/>
    <s v="Clay Ludtke"/>
  </r>
  <r>
    <x v="4"/>
    <s v="Roger Barcio"/>
  </r>
  <r>
    <x v="4"/>
    <s v="Henia Zydlo"/>
  </r>
  <r>
    <x v="4"/>
    <s v="Toby Carlisle"/>
  </r>
  <r>
    <x v="4"/>
    <s v="Lycoris Saunders"/>
  </r>
  <r>
    <x v="4"/>
    <s v="Maureen Gastineau"/>
  </r>
  <r>
    <x v="4"/>
    <s v="Ken Black"/>
  </r>
  <r>
    <x v="4"/>
    <s v="Darren Powers"/>
  </r>
  <r>
    <x v="4"/>
    <s v="Xylona Preis"/>
  </r>
  <r>
    <x v="4"/>
    <s v="Sung Shariari"/>
  </r>
  <r>
    <x v="4"/>
    <s v="Doug Jacobs"/>
  </r>
  <r>
    <x v="4"/>
    <s v="Darren Budd"/>
  </r>
  <r>
    <x v="4"/>
    <s v="Pete Kriz"/>
  </r>
  <r>
    <x v="4"/>
    <s v="Dave Brooks"/>
  </r>
  <r>
    <x v="4"/>
    <s v="Ben Ferrer"/>
  </r>
  <r>
    <x v="4"/>
    <s v="Justin MacKendrick"/>
  </r>
  <r>
    <x v="4"/>
    <s v="Alan Shonely"/>
  </r>
  <r>
    <x v="4"/>
    <s v="Joseph Airdo"/>
  </r>
  <r>
    <x v="4"/>
    <s v="Peter Fuller"/>
  </r>
  <r>
    <x v="4"/>
    <s v="Thomas Seio"/>
  </r>
  <r>
    <x v="4"/>
    <s v="Thomas Seio"/>
  </r>
  <r>
    <x v="4"/>
    <s v="Michelle Moray"/>
  </r>
  <r>
    <x v="4"/>
    <s v="Ricardo Sperren"/>
  </r>
  <r>
    <x v="4"/>
    <s v="Dave Brooks"/>
  </r>
  <r>
    <x v="4"/>
    <s v="Claire Gute"/>
  </r>
  <r>
    <x v="4"/>
    <s v="Patrick Bzostek"/>
  </r>
  <r>
    <x v="4"/>
    <s v="Roland Schwarz"/>
  </r>
  <r>
    <x v="4"/>
    <s v="Dana Kaydos"/>
  </r>
  <r>
    <x v="4"/>
    <s v="Joseph Holt"/>
  </r>
  <r>
    <x v="4"/>
    <s v="Tony Chapman"/>
  </r>
  <r>
    <x v="4"/>
    <s v="Giulietta Weimer"/>
  </r>
  <r>
    <x v="4"/>
    <s v="Susan Pistek"/>
  </r>
  <r>
    <x v="4"/>
    <s v="Ken Dana"/>
  </r>
  <r>
    <x v="4"/>
    <s v="James Lanier"/>
  </r>
  <r>
    <x v="4"/>
    <s v="Joel Eaton"/>
  </r>
  <r>
    <x v="4"/>
    <s v="Alejandro Ballentine"/>
  </r>
  <r>
    <x v="4"/>
    <s v="Jonathan Doherty"/>
  </r>
  <r>
    <x v="4"/>
    <s v="Keith Dawkins"/>
  </r>
  <r>
    <x v="4"/>
    <s v="Jay Fein"/>
  </r>
  <r>
    <x v="4"/>
    <s v="Lynn Smith"/>
  </r>
  <r>
    <x v="4"/>
    <s v="Gary Hansen"/>
  </r>
  <r>
    <x v="4"/>
    <s v="Eileen Kiefer"/>
  </r>
  <r>
    <x v="4"/>
    <s v="Steve Chapman"/>
  </r>
  <r>
    <x v="4"/>
    <s v="Sandra Glassco"/>
  </r>
  <r>
    <x v="4"/>
    <s v="Keith Dawkins"/>
  </r>
  <r>
    <x v="4"/>
    <s v="Julie Kriz"/>
  </r>
  <r>
    <x v="4"/>
    <s v="Christine Phan"/>
  </r>
  <r>
    <x v="4"/>
    <s v="Christine Phan"/>
  </r>
  <r>
    <x v="4"/>
    <s v="Christine Phan"/>
  </r>
  <r>
    <x v="4"/>
    <s v="Harold Ryan"/>
  </r>
  <r>
    <x v="4"/>
    <s v="Steven Roelle"/>
  </r>
  <r>
    <x v="4"/>
    <s v="Steven Roelle"/>
  </r>
  <r>
    <x v="4"/>
    <s v="Steven Cartwright"/>
  </r>
  <r>
    <x v="4"/>
    <s v="Joseph Airdo"/>
  </r>
  <r>
    <x v="4"/>
    <s v="Joseph Airdo"/>
  </r>
  <r>
    <x v="4"/>
    <s v="Peter Fuller"/>
  </r>
  <r>
    <x v="4"/>
    <s v="Jim Sink"/>
  </r>
  <r>
    <x v="4"/>
    <s v="Cindy Stewart"/>
  </r>
  <r>
    <x v="4"/>
    <s v="Tom Prescott"/>
  </r>
  <r>
    <x v="4"/>
    <s v="Gary Zandusky"/>
  </r>
  <r>
    <x v="4"/>
    <s v="Evan Bailliet"/>
  </r>
  <r>
    <x v="4"/>
    <s v="Saphhira Shifley"/>
  </r>
  <r>
    <x v="4"/>
    <s v="Thomas Seio"/>
  </r>
  <r>
    <x v="4"/>
    <s v="Frank Gastineau"/>
  </r>
  <r>
    <x v="4"/>
    <s v="Brian Stugart"/>
  </r>
  <r>
    <x v="4"/>
    <s v="Joy Bell-"/>
  </r>
  <r>
    <x v="4"/>
    <s v="Katharine Harms"/>
  </r>
  <r>
    <x v="4"/>
    <s v="Clytie Kelty"/>
  </r>
  <r>
    <x v="4"/>
    <s v="John Lee"/>
  </r>
  <r>
    <x v="4"/>
    <s v="Logan Currie"/>
  </r>
  <r>
    <x v="4"/>
    <s v="Christine Abelman"/>
  </r>
  <r>
    <x v="4"/>
    <s v="Cynthia Voltz"/>
  </r>
  <r>
    <x v="4"/>
    <s v="Sean Miller"/>
  </r>
  <r>
    <x v="4"/>
    <s v="Rose O'Brian"/>
  </r>
  <r>
    <x v="4"/>
    <s v="John Lee"/>
  </r>
  <r>
    <x v="4"/>
    <s v="Michael Paige"/>
  </r>
  <r>
    <x v="4"/>
    <s v="Roy FranzÃ¶sisch"/>
  </r>
  <r>
    <x v="4"/>
    <s v="Skye Norling"/>
  </r>
  <r>
    <x v="4"/>
    <s v="Seth Vernon"/>
  </r>
  <r>
    <x v="4"/>
    <s v="Helen Wasserman"/>
  </r>
  <r>
    <x v="4"/>
    <s v="Trudy Glocke"/>
  </r>
  <r>
    <x v="4"/>
    <s v="Ken Heidel"/>
  </r>
  <r>
    <x v="4"/>
    <s v="Seth Vernon"/>
  </r>
  <r>
    <x v="4"/>
    <s v="Alan Schoenberger"/>
  </r>
  <r>
    <x v="4"/>
    <s v="MaryBeth Skach"/>
  </r>
  <r>
    <x v="4"/>
    <s v="Tracy Collins"/>
  </r>
  <r>
    <x v="4"/>
    <s v="Robert Barroso"/>
  </r>
  <r>
    <x v="4"/>
    <s v="Russell Applegate"/>
  </r>
  <r>
    <x v="4"/>
    <s v="Emily Phan"/>
  </r>
  <r>
    <x v="4"/>
    <s v="Dan Lawera"/>
  </r>
  <r>
    <x v="4"/>
    <s v="Matt Connell"/>
  </r>
  <r>
    <x v="4"/>
    <s v="Kunst Miller"/>
  </r>
  <r>
    <x v="4"/>
    <s v="John Castell"/>
  </r>
  <r>
    <x v="4"/>
    <s v="Paul Prost"/>
  </r>
  <r>
    <x v="4"/>
    <s v="Zuschuss Carroll"/>
  </r>
  <r>
    <x v="4"/>
    <s v="Thais Sissman"/>
  </r>
  <r>
    <x v="4"/>
    <s v="Sean Braxton"/>
  </r>
  <r>
    <x v="4"/>
    <s v="Theone Pippenger"/>
  </r>
  <r>
    <x v="4"/>
    <s v="Dave Poirier"/>
  </r>
  <r>
    <x v="4"/>
    <s v="Rachel Payne"/>
  </r>
  <r>
    <x v="4"/>
    <s v="Christina Anderson"/>
  </r>
  <r>
    <x v="4"/>
    <s v="Alan Dominguez"/>
  </r>
  <r>
    <x v="4"/>
    <s v="Eric Hoffmann"/>
  </r>
  <r>
    <x v="4"/>
    <s v="Nora Pelletier"/>
  </r>
  <r>
    <x v="4"/>
    <s v="Natalie DeCherney"/>
  </r>
  <r>
    <x v="4"/>
    <s v="Aimee Bixby"/>
  </r>
  <r>
    <x v="4"/>
    <s v="Nathan Cano"/>
  </r>
  <r>
    <x v="4"/>
    <s v="Speros Goranitis"/>
  </r>
  <r>
    <x v="4"/>
    <s v="Randy Ferguson"/>
  </r>
  <r>
    <x v="4"/>
    <s v="Matt Collister"/>
  </r>
  <r>
    <x v="4"/>
    <s v="Lindsay Shagiari"/>
  </r>
  <r>
    <x v="4"/>
    <s v="Jamie Kunitz"/>
  </r>
  <r>
    <x v="4"/>
    <s v="Grace Kelly"/>
  </r>
  <r>
    <x v="4"/>
    <s v="Nick Zandusky"/>
  </r>
  <r>
    <x v="4"/>
    <s v="Penelope Sewall"/>
  </r>
  <r>
    <x v="4"/>
    <s v="Gary Zandusky"/>
  </r>
  <r>
    <x v="4"/>
    <s v="Darrin Sayre"/>
  </r>
  <r>
    <x v="4"/>
    <s v="Mick Hernandez"/>
  </r>
  <r>
    <x v="4"/>
    <s v="Dave Kipp"/>
  </r>
  <r>
    <x v="4"/>
    <s v="Dario Medina"/>
  </r>
  <r>
    <x v="4"/>
    <s v="Allen Armold"/>
  </r>
  <r>
    <x v="4"/>
    <s v="Linda Cazamias"/>
  </r>
  <r>
    <x v="4"/>
    <s v="Natalie Webber"/>
  </r>
  <r>
    <x v="4"/>
    <s v="Patrick Gardner"/>
  </r>
  <r>
    <x v="4"/>
    <s v="Tracy Hopkins"/>
  </r>
  <r>
    <x v="4"/>
    <s v="Joel Eaton"/>
  </r>
  <r>
    <x v="4"/>
    <s v="Brenda Bowman"/>
  </r>
  <r>
    <x v="4"/>
    <s v="Chloris Kastensmidt"/>
  </r>
  <r>
    <x v="4"/>
    <s v="Sam Zeldin"/>
  </r>
  <r>
    <x v="4"/>
    <s v="Debra Catini"/>
  </r>
  <r>
    <x v="4"/>
    <s v="Sarah Brown"/>
  </r>
  <r>
    <x v="4"/>
    <s v="Jeremy Pistek"/>
  </r>
  <r>
    <x v="4"/>
    <s v="David Wiener"/>
  </r>
  <r>
    <x v="4"/>
    <s v="Peter BÃ¼hler"/>
  </r>
  <r>
    <x v="4"/>
    <s v="MaryBeth Skach"/>
  </r>
  <r>
    <x v="4"/>
    <s v="Ruben Ausman"/>
  </r>
  <r>
    <x v="4"/>
    <s v="Anne Pryor"/>
  </r>
  <r>
    <x v="4"/>
    <s v="Carl Weiss"/>
  </r>
  <r>
    <x v="4"/>
    <s v="Claudia Bergmann"/>
  </r>
  <r>
    <x v="4"/>
    <s v="Rick Duston"/>
  </r>
  <r>
    <x v="4"/>
    <s v="Randy Ferguson"/>
  </r>
  <r>
    <x v="4"/>
    <s v="Julie Creighton"/>
  </r>
  <r>
    <x v="4"/>
    <s v="Frank Merwin"/>
  </r>
  <r>
    <x v="4"/>
    <s v="Steve Carroll"/>
  </r>
  <r>
    <x v="4"/>
    <s v="Frank Atkinson"/>
  </r>
  <r>
    <x v="4"/>
    <s v="Neola Schneider"/>
  </r>
  <r>
    <x v="4"/>
    <s v="Julia Barnett"/>
  </r>
  <r>
    <x v="4"/>
    <s v="Logan Currie"/>
  </r>
  <r>
    <x v="4"/>
    <s v="Barry Pond"/>
  </r>
  <r>
    <x v="4"/>
    <s v="Cindy Stewart"/>
  </r>
  <r>
    <x v="4"/>
    <s v="Damala Kotsonis"/>
  </r>
  <r>
    <x v="4"/>
    <s v="Alejandro Ballentine"/>
  </r>
  <r>
    <x v="4"/>
    <s v="Kunst Miller"/>
  </r>
  <r>
    <x v="4"/>
    <s v="Mark Cousins"/>
  </r>
  <r>
    <x v="4"/>
    <s v="Roger Barcio"/>
  </r>
  <r>
    <x v="4"/>
    <s v="Greg Tran"/>
  </r>
  <r>
    <x v="4"/>
    <s v="Lena Creighton"/>
  </r>
  <r>
    <x v="4"/>
    <s v="Laurel Elliston"/>
  </r>
  <r>
    <x v="4"/>
    <s v="Bart Watters"/>
  </r>
  <r>
    <x v="4"/>
    <s v="Zuschuss Donatelli"/>
  </r>
  <r>
    <x v="4"/>
    <s v="Elizabeth Moffitt"/>
  </r>
  <r>
    <x v="4"/>
    <s v="Tamara Chand"/>
  </r>
  <r>
    <x v="4"/>
    <s v="Steve Nguyen"/>
  </r>
  <r>
    <x v="4"/>
    <s v="Ryan Akin"/>
  </r>
  <r>
    <x v="4"/>
    <s v="Ann Steele"/>
  </r>
  <r>
    <x v="4"/>
    <s v="Bruce Stewart"/>
  </r>
  <r>
    <x v="4"/>
    <s v="David Flashing"/>
  </r>
  <r>
    <x v="4"/>
    <s v="Tony Molinari"/>
  </r>
  <r>
    <x v="4"/>
    <s v="Neoma Murray"/>
  </r>
  <r>
    <x v="4"/>
    <s v="Edward Nazzal"/>
  </r>
  <r>
    <x v="4"/>
    <s v="Frank Atkinson"/>
  </r>
  <r>
    <x v="4"/>
    <s v="Barry FranzÃ¶sisch"/>
  </r>
  <r>
    <x v="4"/>
    <s v="Jeremy Lonsdale"/>
  </r>
  <r>
    <x v="4"/>
    <s v="Victor Prei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0839AE-ED6F-4180-A6A3-80D89D71B368}" name="PivotTable8"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
  <location ref="A3:E8" firstHeaderRow="1" firstDataRow="2" firstDataCol="1"/>
  <pivotFields count="11">
    <pivotField showAll="0"/>
    <pivotField showAll="0"/>
    <pivotField axis="axisRow" showAll="0">
      <items count="6">
        <item x="0"/>
        <item x="1"/>
        <item x="2"/>
        <item x="3"/>
        <item h="1" x="4"/>
        <item t="default"/>
      </items>
    </pivotField>
    <pivotField showAll="0"/>
    <pivotField showAll="0"/>
    <pivotField axis="axisCol" showAll="0">
      <items count="4">
        <item x="1"/>
        <item x="2"/>
        <item x="0"/>
        <item t="default"/>
      </items>
    </pivotField>
    <pivotField showAll="0"/>
    <pivotField showAll="0"/>
    <pivotField numFmtId="164" showAll="0"/>
    <pivotField numFmtId="1" showAll="0"/>
    <pivotField dataField="1" numFmtId="164" showAll="0"/>
  </pivotFields>
  <rowFields count="1">
    <field x="2"/>
  </rowFields>
  <rowItems count="4">
    <i>
      <x/>
    </i>
    <i>
      <x v="1"/>
    </i>
    <i>
      <x v="2"/>
    </i>
    <i>
      <x v="3"/>
    </i>
  </rowItems>
  <colFields count="1">
    <field x="5"/>
  </colFields>
  <colItems count="4">
    <i>
      <x/>
    </i>
    <i>
      <x v="1"/>
    </i>
    <i>
      <x v="2"/>
    </i>
    <i t="grand">
      <x/>
    </i>
  </colItems>
  <dataFields count="1">
    <dataField name="Sum of Profit" fld="10" baseField="0" baseItem="0"/>
  </dataFields>
  <chartFormats count="6">
    <chartFormat chart="3" format="0" series="1">
      <pivotArea type="data" outline="0" fieldPosition="0">
        <references count="2">
          <reference field="4294967294" count="1" selected="0">
            <x v="0"/>
          </reference>
          <reference field="5" count="1" selected="0">
            <x v="0"/>
          </reference>
        </references>
      </pivotArea>
    </chartFormat>
    <chartFormat chart="3" format="1" series="1">
      <pivotArea type="data" outline="0" fieldPosition="0">
        <references count="2">
          <reference field="4294967294" count="1" selected="0">
            <x v="0"/>
          </reference>
          <reference field="5" count="1" selected="0">
            <x v="1"/>
          </reference>
        </references>
      </pivotArea>
    </chartFormat>
    <chartFormat chart="3" format="2" series="1">
      <pivotArea type="data" outline="0" fieldPosition="0">
        <references count="2">
          <reference field="4294967294" count="1" selected="0">
            <x v="0"/>
          </reference>
          <reference field="5" count="1" selected="0">
            <x v="2"/>
          </reference>
        </references>
      </pivotArea>
    </chartFormat>
    <chartFormat chart="5" format="6" series="1">
      <pivotArea type="data" outline="0" fieldPosition="0">
        <references count="2">
          <reference field="4294967294" count="1" selected="0">
            <x v="0"/>
          </reference>
          <reference field="5" count="1" selected="0">
            <x v="0"/>
          </reference>
        </references>
      </pivotArea>
    </chartFormat>
    <chartFormat chart="5" format="7" series="1">
      <pivotArea type="data" outline="0" fieldPosition="0">
        <references count="2">
          <reference field="4294967294" count="1" selected="0">
            <x v="0"/>
          </reference>
          <reference field="5" count="1" selected="0">
            <x v="1"/>
          </reference>
        </references>
      </pivotArea>
    </chartFormat>
    <chartFormat chart="5" format="8"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1D0931D-10BE-4211-83B0-403061EE8D7E}"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6" firstHeaderRow="1" firstDataRow="1" firstDataCol="1"/>
  <pivotFields count="11">
    <pivotField showAll="0"/>
    <pivotField axis="axisRow" showAll="0">
      <items count="14">
        <item x="0"/>
        <item x="1"/>
        <item x="2"/>
        <item x="3"/>
        <item x="4"/>
        <item x="5"/>
        <item x="6"/>
        <item x="7"/>
        <item x="8"/>
        <item x="9"/>
        <item x="10"/>
        <item x="11"/>
        <item h="1" x="12"/>
        <item t="default"/>
      </items>
    </pivotField>
    <pivotField showAll="0">
      <items count="6">
        <item x="0"/>
        <item x="1"/>
        <item x="2"/>
        <item x="3"/>
        <item h="1" x="4"/>
        <item t="default"/>
      </items>
    </pivotField>
    <pivotField showAll="0"/>
    <pivotField showAll="0"/>
    <pivotField showAll="0">
      <items count="4">
        <item x="1"/>
        <item x="2"/>
        <item x="0"/>
        <item t="default"/>
      </items>
    </pivotField>
    <pivotField showAll="0"/>
    <pivotField showAll="0"/>
    <pivotField dataField="1" numFmtId="164" showAll="0"/>
    <pivotField numFmtId="1" showAll="0"/>
    <pivotField numFmtId="164" showAll="0"/>
  </pivotFields>
  <rowFields count="1">
    <field x="1"/>
  </rowFields>
  <rowItems count="13">
    <i>
      <x/>
    </i>
    <i>
      <x v="1"/>
    </i>
    <i>
      <x v="2"/>
    </i>
    <i>
      <x v="3"/>
    </i>
    <i>
      <x v="4"/>
    </i>
    <i>
      <x v="5"/>
    </i>
    <i>
      <x v="6"/>
    </i>
    <i>
      <x v="7"/>
    </i>
    <i>
      <x v="8"/>
    </i>
    <i>
      <x v="9"/>
    </i>
    <i>
      <x v="10"/>
    </i>
    <i>
      <x v="11"/>
    </i>
    <i t="grand">
      <x/>
    </i>
  </rowItems>
  <colItems count="1">
    <i/>
  </colItems>
  <dataFields count="1">
    <dataField name="Sum of Sales" fld="8" baseField="0" baseItem="0"/>
  </dataFields>
  <chartFormats count="2">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C4E702-52CD-4F88-B9DB-DDFD54F904E0}" name="PivotTable1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5:N22" firstHeaderRow="1" firstDataRow="1" firstDataCol="0"/>
  <pivotFields count="2">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5B71F6B-1833-4EDA-8647-13224E9984D5}"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604" firstHeaderRow="1" firstDataRow="1" firstDataCol="1"/>
  <pivotFields count="11">
    <pivotField showAll="0"/>
    <pivotField showAll="0"/>
    <pivotField showAll="0">
      <items count="6">
        <item x="0"/>
        <item x="1"/>
        <item x="2"/>
        <item x="3"/>
        <item h="1" x="4"/>
        <item t="default"/>
      </items>
    </pivotField>
    <pivotField axis="axisRow" showAll="0" sortType="descending">
      <items count="644">
        <item x="169"/>
        <item x="603"/>
        <item x="538"/>
        <item x="448"/>
        <item x="414"/>
        <item x="388"/>
        <item x="117"/>
        <item x="343"/>
        <item x="353"/>
        <item x="389"/>
        <item x="340"/>
        <item x="498"/>
        <item x="336"/>
        <item x="488"/>
        <item x="489"/>
        <item x="346"/>
        <item x="465"/>
        <item x="421"/>
        <item x="322"/>
        <item x="82"/>
        <item x="85"/>
        <item x="271"/>
        <item x="370"/>
        <item x="321"/>
        <item x="103"/>
        <item x="395"/>
        <item x="42"/>
        <item x="52"/>
        <item x="426"/>
        <item x="153"/>
        <item x="590"/>
        <item x="546"/>
        <item x="16"/>
        <item x="35"/>
        <item x="377"/>
        <item x="41"/>
        <item x="70"/>
        <item x="91"/>
        <item x="481"/>
        <item x="232"/>
        <item x="480"/>
        <item x="392"/>
        <item x="547"/>
        <item x="233"/>
        <item x="234"/>
        <item x="359"/>
        <item x="267"/>
        <item x="502"/>
        <item x="69"/>
        <item x="14"/>
        <item x="319"/>
        <item x="483"/>
        <item x="454"/>
        <item x="166"/>
        <item x="283"/>
        <item x="183"/>
        <item x="640"/>
        <item x="160"/>
        <item x="197"/>
        <item x="341"/>
        <item x="272"/>
        <item x="592"/>
        <item x="276"/>
        <item x="230"/>
        <item x="80"/>
        <item x="84"/>
        <item x="369"/>
        <item x="419"/>
        <item x="545"/>
        <item x="459"/>
        <item x="105"/>
        <item x="337"/>
        <item x="420"/>
        <item x="106"/>
        <item x="311"/>
        <item x="279"/>
        <item x="0"/>
        <item x="539"/>
        <item x="356"/>
        <item x="450"/>
        <item x="141"/>
        <item x="428"/>
        <item x="136"/>
        <item x="219"/>
        <item x="625"/>
        <item x="398"/>
        <item x="351"/>
        <item x="214"/>
        <item x="326"/>
        <item x="79"/>
        <item x="526"/>
        <item x="54"/>
        <item x="585"/>
        <item x="306"/>
        <item x="43"/>
        <item x="215"/>
        <item x="463"/>
        <item x="174"/>
        <item x="499"/>
        <item x="608"/>
        <item x="511"/>
        <item x="504"/>
        <item x="329"/>
        <item x="500"/>
        <item x="555"/>
        <item x="130"/>
        <item x="383"/>
        <item x="275"/>
        <item x="413"/>
        <item x="246"/>
        <item x="111"/>
        <item x="445"/>
        <item x="332"/>
        <item x="496"/>
        <item x="51"/>
        <item x="458"/>
        <item x="44"/>
        <item x="386"/>
        <item x="345"/>
        <item x="558"/>
        <item x="313"/>
        <item x="360"/>
        <item x="528"/>
        <item x="216"/>
        <item x="560"/>
        <item x="451"/>
        <item x="435"/>
        <item x="438"/>
        <item x="514"/>
        <item x="303"/>
        <item x="541"/>
        <item x="49"/>
        <item x="430"/>
        <item x="527"/>
        <item x="9"/>
        <item x="310"/>
        <item x="331"/>
        <item x="461"/>
        <item x="404"/>
        <item x="171"/>
        <item x="287"/>
        <item x="168"/>
        <item x="434"/>
        <item x="518"/>
        <item x="575"/>
        <item x="637"/>
        <item x="126"/>
        <item x="452"/>
        <item x="391"/>
        <item x="443"/>
        <item x="27"/>
        <item x="295"/>
        <item x="231"/>
        <item x="286"/>
        <item x="573"/>
        <item x="67"/>
        <item x="484"/>
        <item x="220"/>
        <item x="1"/>
        <item x="290"/>
        <item x="566"/>
        <item x="602"/>
        <item x="293"/>
        <item x="109"/>
        <item x="142"/>
        <item x="61"/>
        <item x="408"/>
        <item x="128"/>
        <item x="487"/>
        <item x="334"/>
        <item x="261"/>
        <item x="138"/>
        <item x="96"/>
        <item x="633"/>
        <item x="28"/>
        <item x="150"/>
        <item x="583"/>
        <item x="177"/>
        <item x="127"/>
        <item x="397"/>
        <item x="211"/>
        <item x="87"/>
        <item x="237"/>
        <item x="415"/>
        <item x="8"/>
        <item x="129"/>
        <item x="442"/>
        <item x="263"/>
        <item x="501"/>
        <item x="12"/>
        <item x="515"/>
        <item x="613"/>
        <item x="387"/>
        <item x="277"/>
        <item x="207"/>
        <item x="192"/>
        <item x="559"/>
        <item x="436"/>
        <item x="270"/>
        <item x="472"/>
        <item x="619"/>
        <item x="378"/>
        <item x="66"/>
        <item x="478"/>
        <item x="477"/>
        <item x="123"/>
        <item x="221"/>
        <item x="320"/>
        <item x="159"/>
        <item x="36"/>
        <item x="46"/>
        <item x="297"/>
        <item x="497"/>
        <item x="186"/>
        <item x="29"/>
        <item x="535"/>
        <item x="55"/>
        <item x="382"/>
        <item x="418"/>
        <item x="375"/>
        <item x="72"/>
        <item x="623"/>
        <item x="247"/>
        <item x="309"/>
        <item x="553"/>
        <item x="154"/>
        <item x="376"/>
        <item x="217"/>
        <item x="185"/>
        <item x="241"/>
        <item x="333"/>
        <item x="412"/>
        <item x="81"/>
        <item x="373"/>
        <item x="249"/>
        <item x="133"/>
        <item x="399"/>
        <item x="224"/>
        <item x="562"/>
        <item x="362"/>
        <item x="588"/>
        <item x="505"/>
        <item x="124"/>
        <item x="5"/>
        <item x="630"/>
        <item x="156"/>
        <item x="574"/>
        <item x="235"/>
        <item x="119"/>
        <item x="495"/>
        <item x="245"/>
        <item x="2"/>
        <item x="253"/>
        <item x="490"/>
        <item x="339"/>
        <item x="621"/>
        <item x="587"/>
        <item x="350"/>
        <item x="600"/>
        <item x="236"/>
        <item x="400"/>
        <item x="262"/>
        <item x="537"/>
        <item x="611"/>
        <item x="578"/>
        <item x="314"/>
        <item x="475"/>
        <item x="342"/>
        <item x="405"/>
        <item x="15"/>
        <item x="206"/>
        <item x="18"/>
        <item x="25"/>
        <item x="570"/>
        <item x="457"/>
        <item x="257"/>
        <item x="554"/>
        <item x="549"/>
        <item x="316"/>
        <item x="531"/>
        <item x="460"/>
        <item x="486"/>
        <item x="446"/>
        <item x="248"/>
        <item x="292"/>
        <item x="355"/>
        <item x="466"/>
        <item x="312"/>
        <item x="299"/>
        <item x="507"/>
        <item x="229"/>
        <item x="604"/>
        <item x="416"/>
        <item x="260"/>
        <item x="513"/>
        <item x="71"/>
        <item x="429"/>
        <item x="210"/>
        <item x="561"/>
        <item x="187"/>
        <item x="622"/>
        <item x="455"/>
        <item x="33"/>
        <item x="617"/>
        <item x="402"/>
        <item x="627"/>
        <item x="307"/>
        <item x="120"/>
        <item x="330"/>
        <item x="175"/>
        <item x="365"/>
        <item x="189"/>
        <item x="440"/>
        <item x="146"/>
        <item x="74"/>
        <item x="577"/>
        <item x="285"/>
        <item x="223"/>
        <item x="525"/>
        <item x="110"/>
        <item x="491"/>
        <item x="424"/>
        <item x="327"/>
        <item x="58"/>
        <item x="344"/>
        <item x="298"/>
        <item x="48"/>
        <item x="366"/>
        <item x="384"/>
        <item x="199"/>
        <item x="266"/>
        <item x="522"/>
        <item x="7"/>
        <item x="50"/>
        <item x="453"/>
        <item x="374"/>
        <item x="63"/>
        <item x="564"/>
        <item x="73"/>
        <item x="372"/>
        <item x="269"/>
        <item x="203"/>
        <item x="190"/>
        <item x="300"/>
        <item x="137"/>
        <item x="317"/>
        <item x="494"/>
        <item x="380"/>
        <item x="101"/>
        <item x="607"/>
        <item x="605"/>
        <item x="23"/>
        <item x="258"/>
        <item x="423"/>
        <item x="565"/>
        <item x="390"/>
        <item x="37"/>
        <item x="6"/>
        <item x="17"/>
        <item x="254"/>
        <item x="449"/>
        <item x="639"/>
        <item x="13"/>
        <item x="278"/>
        <item x="325"/>
        <item x="594"/>
        <item x="19"/>
        <item x="193"/>
        <item x="474"/>
        <item x="629"/>
        <item x="568"/>
        <item x="503"/>
        <item x="198"/>
        <item x="179"/>
        <item x="57"/>
        <item x="479"/>
        <item x="530"/>
        <item x="492"/>
        <item x="10"/>
        <item x="259"/>
        <item x="226"/>
        <item x="288"/>
        <item x="364"/>
        <item x="352"/>
        <item x="282"/>
        <item x="147"/>
        <item x="618"/>
        <item x="202"/>
        <item x="550"/>
        <item x="194"/>
        <item x="148"/>
        <item x="140"/>
        <item x="182"/>
        <item x="544"/>
        <item x="108"/>
        <item x="638"/>
        <item x="97"/>
        <item x="256"/>
        <item x="335"/>
        <item x="476"/>
        <item x="100"/>
        <item x="113"/>
        <item x="83"/>
        <item x="195"/>
        <item x="64"/>
        <item x="534"/>
        <item x="34"/>
        <item x="361"/>
        <item x="222"/>
        <item x="485"/>
        <item x="612"/>
        <item x="394"/>
        <item x="99"/>
        <item x="273"/>
        <item x="407"/>
        <item x="473"/>
        <item x="89"/>
        <item x="371"/>
        <item x="212"/>
        <item x="125"/>
        <item x="62"/>
        <item x="512"/>
        <item x="471"/>
        <item x="417"/>
        <item x="255"/>
        <item x="305"/>
        <item x="520"/>
        <item x="571"/>
        <item x="606"/>
        <item x="250"/>
        <item x="529"/>
        <item x="116"/>
        <item x="632"/>
        <item x="385"/>
        <item x="328"/>
        <item x="569"/>
        <item x="354"/>
        <item x="358"/>
        <item x="410"/>
        <item x="444"/>
        <item x="556"/>
        <item x="409"/>
        <item x="104"/>
        <item x="22"/>
        <item x="393"/>
        <item x="75"/>
        <item x="94"/>
        <item x="112"/>
        <item x="149"/>
        <item x="20"/>
        <item x="597"/>
        <item x="636"/>
        <item x="470"/>
        <item x="536"/>
        <item x="47"/>
        <item x="227"/>
        <item x="38"/>
        <item x="381"/>
        <item x="144"/>
        <item x="598"/>
        <item x="170"/>
        <item x="134"/>
        <item x="65"/>
        <item x="524"/>
        <item x="516"/>
        <item x="379"/>
        <item x="614"/>
        <item x="213"/>
        <item x="482"/>
        <item x="294"/>
        <item x="135"/>
        <item x="251"/>
        <item x="98"/>
        <item x="26"/>
        <item x="102"/>
        <item x="204"/>
        <item x="427"/>
        <item x="274"/>
        <item x="172"/>
        <item x="324"/>
        <item x="631"/>
        <item x="304"/>
        <item x="264"/>
        <item x="280"/>
        <item x="634"/>
        <item x="122"/>
        <item x="432"/>
        <item x="95"/>
        <item x="469"/>
        <item x="338"/>
        <item x="11"/>
        <item x="368"/>
        <item x="542"/>
        <item x="609"/>
        <item x="441"/>
        <item x="252"/>
        <item x="30"/>
        <item x="132"/>
        <item x="240"/>
        <item x="78"/>
        <item x="178"/>
        <item x="191"/>
        <item x="523"/>
        <item x="225"/>
        <item x="323"/>
        <item x="347"/>
        <item x="467"/>
        <item x="39"/>
        <item x="308"/>
        <item x="145"/>
        <item x="552"/>
        <item x="626"/>
        <item x="437"/>
        <item x="296"/>
        <item x="589"/>
        <item x="576"/>
        <item x="56"/>
        <item x="551"/>
        <item x="165"/>
        <item x="349"/>
        <item x="77"/>
        <item x="456"/>
        <item x="143"/>
        <item x="284"/>
        <item x="593"/>
        <item x="188"/>
        <item x="121"/>
        <item x="21"/>
        <item x="88"/>
        <item x="641"/>
        <item x="164"/>
        <item x="243"/>
        <item x="242"/>
        <item x="40"/>
        <item x="115"/>
        <item x="563"/>
        <item x="238"/>
        <item x="620"/>
        <item x="53"/>
        <item x="425"/>
        <item x="506"/>
        <item x="624"/>
        <item x="86"/>
        <item x="157"/>
        <item x="595"/>
        <item x="468"/>
        <item x="367"/>
        <item x="509"/>
        <item x="318"/>
        <item x="152"/>
        <item x="176"/>
        <item x="543"/>
        <item x="596"/>
        <item x="348"/>
        <item x="517"/>
        <item x="244"/>
        <item x="4"/>
        <item x="59"/>
        <item x="180"/>
        <item x="582"/>
        <item x="401"/>
        <item x="315"/>
        <item x="151"/>
        <item x="228"/>
        <item x="610"/>
        <item x="289"/>
        <item x="521"/>
        <item x="433"/>
        <item x="411"/>
        <item x="131"/>
        <item x="90"/>
        <item x="201"/>
        <item x="92"/>
        <item x="447"/>
        <item x="635"/>
        <item x="422"/>
        <item x="155"/>
        <item x="76"/>
        <item x="139"/>
        <item x="60"/>
        <item x="533"/>
        <item x="45"/>
        <item x="586"/>
        <item x="540"/>
        <item x="464"/>
        <item x="616"/>
        <item x="24"/>
        <item x="599"/>
        <item x="181"/>
        <item x="581"/>
        <item x="439"/>
        <item x="301"/>
        <item x="239"/>
        <item x="548"/>
        <item x="200"/>
        <item x="628"/>
        <item x="601"/>
        <item x="557"/>
        <item x="572"/>
        <item x="462"/>
        <item x="208"/>
        <item x="591"/>
        <item x="218"/>
        <item x="396"/>
        <item x="580"/>
        <item x="209"/>
        <item x="32"/>
        <item x="519"/>
        <item x="31"/>
        <item x="205"/>
        <item x="431"/>
        <item x="281"/>
        <item x="68"/>
        <item x="584"/>
        <item x="268"/>
        <item x="567"/>
        <item x="615"/>
        <item x="642"/>
        <item x="93"/>
        <item x="118"/>
        <item x="291"/>
        <item x="265"/>
        <item x="184"/>
        <item x="161"/>
        <item x="406"/>
        <item x="363"/>
        <item x="107"/>
        <item x="173"/>
        <item x="158"/>
        <item x="3"/>
        <item x="357"/>
        <item x="579"/>
        <item x="162"/>
        <item x="302"/>
        <item x="196"/>
        <item x="167"/>
        <item x="532"/>
        <item x="114"/>
        <item x="163"/>
        <item x="403"/>
        <item x="493"/>
        <item x="508"/>
        <item x="510"/>
        <item t="default"/>
      </items>
      <autoSortScope>
        <pivotArea dataOnly="0" outline="0" fieldPosition="0">
          <references count="1">
            <reference field="4294967294" count="1" selected="0">
              <x v="0"/>
            </reference>
          </references>
        </pivotArea>
      </autoSortScope>
    </pivotField>
    <pivotField showAll="0"/>
    <pivotField showAll="0">
      <items count="4">
        <item x="1"/>
        <item x="2"/>
        <item x="0"/>
        <item t="default"/>
      </items>
    </pivotField>
    <pivotField showAll="0"/>
    <pivotField showAll="0"/>
    <pivotField numFmtId="164" showAll="0"/>
    <pivotField numFmtId="1" showAll="0"/>
    <pivotField dataField="1" numFmtId="164" showAll="0"/>
  </pivotFields>
  <rowFields count="1">
    <field x="3"/>
  </rowFields>
  <rowItems count="601">
    <i>
      <x v="588"/>
    </i>
    <i>
      <x v="539"/>
    </i>
    <i>
      <x v="330"/>
    </i>
    <i>
      <x v="447"/>
    </i>
    <i>
      <x v="343"/>
    </i>
    <i>
      <x v="610"/>
    </i>
    <i>
      <x v="3"/>
    </i>
    <i>
      <x v="98"/>
    </i>
    <i>
      <x v="68"/>
    </i>
    <i>
      <x v="490"/>
    </i>
    <i>
      <x v="626"/>
    </i>
    <i>
      <x v="538"/>
    </i>
    <i>
      <x v="390"/>
    </i>
    <i>
      <x v="400"/>
    </i>
    <i>
      <x v="317"/>
    </i>
    <i>
      <x v="496"/>
    </i>
    <i>
      <x v="345"/>
    </i>
    <i>
      <x v="119"/>
    </i>
    <i>
      <x v="172"/>
    </i>
    <i>
      <x v="148"/>
    </i>
    <i>
      <x v="367"/>
    </i>
    <i>
      <x v="184"/>
    </i>
    <i>
      <x v="229"/>
    </i>
    <i>
      <x v="206"/>
    </i>
    <i>
      <x v="591"/>
    </i>
    <i>
      <x v="518"/>
    </i>
    <i>
      <x v="225"/>
    </i>
    <i>
      <x v="460"/>
    </i>
    <i>
      <x v="384"/>
    </i>
    <i>
      <x v="503"/>
    </i>
    <i>
      <x v="180"/>
    </i>
    <i>
      <x v="612"/>
    </i>
    <i>
      <x v="196"/>
    </i>
    <i>
      <x v="488"/>
    </i>
    <i>
      <x v="627"/>
    </i>
    <i>
      <x v="475"/>
    </i>
    <i>
      <x v="69"/>
    </i>
    <i>
      <x v="59"/>
    </i>
    <i>
      <x v="359"/>
    </i>
    <i>
      <x v="78"/>
    </i>
    <i>
      <x v="310"/>
    </i>
    <i>
      <x v="502"/>
    </i>
    <i>
      <x v="85"/>
    </i>
    <i>
      <x v="414"/>
    </i>
    <i>
      <x v="242"/>
    </i>
    <i>
      <x v="199"/>
    </i>
    <i>
      <x v="577"/>
    </i>
    <i>
      <x v="453"/>
    </i>
    <i>
      <x v="507"/>
    </i>
    <i>
      <x v="570"/>
    </i>
    <i>
      <x v="87"/>
    </i>
    <i>
      <x v="497"/>
    </i>
    <i>
      <x v="301"/>
    </i>
    <i>
      <x v="525"/>
    </i>
    <i>
      <x v="160"/>
    </i>
    <i>
      <x v="461"/>
    </i>
    <i>
      <x v="378"/>
    </i>
    <i>
      <x v="638"/>
    </i>
    <i>
      <x v="6"/>
    </i>
    <i>
      <x v="234"/>
    </i>
    <i>
      <x v="394"/>
    </i>
    <i>
      <x v="454"/>
    </i>
    <i>
      <x v="527"/>
    </i>
    <i>
      <x v="118"/>
    </i>
    <i>
      <x v="259"/>
    </i>
    <i>
      <x v="9"/>
    </i>
    <i>
      <x v="403"/>
    </i>
    <i>
      <x v="4"/>
    </i>
    <i>
      <x v="46"/>
    </i>
    <i>
      <x v="13"/>
    </i>
    <i>
      <x v="25"/>
    </i>
    <i>
      <x v="219"/>
    </i>
    <i>
      <x v="387"/>
    </i>
    <i>
      <x v="97"/>
    </i>
    <i>
      <x v="28"/>
    </i>
    <i>
      <x v="230"/>
    </i>
    <i>
      <x v="298"/>
    </i>
    <i>
      <x v="76"/>
    </i>
    <i>
      <x v="581"/>
    </i>
    <i>
      <x v="131"/>
    </i>
    <i>
      <x v="323"/>
    </i>
    <i>
      <x v="290"/>
    </i>
    <i>
      <x v="227"/>
    </i>
    <i>
      <x v="247"/>
    </i>
    <i>
      <x v="63"/>
    </i>
    <i>
      <x v="462"/>
    </i>
    <i>
      <x v="575"/>
    </i>
    <i>
      <x v="419"/>
    </i>
    <i>
      <x v="521"/>
    </i>
    <i>
      <x v="637"/>
    </i>
    <i>
      <x v="631"/>
    </i>
    <i>
      <x v="80"/>
    </i>
    <i>
      <x v="598"/>
    </i>
    <i>
      <x v="611"/>
    </i>
    <i>
      <x v="249"/>
    </i>
    <i>
      <x v="526"/>
    </i>
    <i>
      <x v="274"/>
    </i>
    <i>
      <x v="639"/>
    </i>
    <i>
      <x v="217"/>
    </i>
    <i>
      <x v="338"/>
    </i>
    <i>
      <x v="132"/>
    </i>
    <i>
      <x v="356"/>
    </i>
    <i>
      <x v="35"/>
    </i>
    <i>
      <x v="268"/>
    </i>
    <i>
      <x v="136"/>
    </i>
    <i>
      <x v="446"/>
    </i>
    <i>
      <x v="438"/>
    </i>
    <i>
      <x v="621"/>
    </i>
    <i>
      <x v="388"/>
    </i>
    <i>
      <x v="257"/>
    </i>
    <i>
      <x v="351"/>
    </i>
    <i>
      <x v="346"/>
    </i>
    <i>
      <x v="228"/>
    </i>
    <i>
      <x v="220"/>
    </i>
    <i>
      <x v="459"/>
    </i>
    <i>
      <x v="151"/>
    </i>
    <i>
      <x v="500"/>
    </i>
    <i>
      <x v="101"/>
    </i>
    <i>
      <x v="216"/>
    </i>
    <i>
      <x v="429"/>
    </i>
    <i>
      <x v="129"/>
    </i>
    <i>
      <x v="398"/>
    </i>
    <i>
      <x v="342"/>
    </i>
    <i>
      <x v="43"/>
    </i>
    <i>
      <x v="341"/>
    </i>
    <i>
      <x v="442"/>
    </i>
    <i>
      <x v="458"/>
    </i>
    <i>
      <x v="213"/>
    </i>
    <i>
      <x v="111"/>
    </i>
    <i>
      <x v="549"/>
    </i>
    <i>
      <x v="547"/>
    </i>
    <i>
      <x v="383"/>
    </i>
    <i>
      <x v="316"/>
    </i>
    <i>
      <x v="501"/>
    </i>
    <i>
      <x v="348"/>
    </i>
    <i>
      <x v="79"/>
    </i>
    <i>
      <x v="134"/>
    </i>
    <i>
      <x v="572"/>
    </i>
    <i>
      <x v="248"/>
    </i>
    <i>
      <x v="284"/>
    </i>
    <i>
      <x v="139"/>
    </i>
    <i>
      <x v="107"/>
    </i>
    <i>
      <x v="205"/>
    </i>
    <i>
      <x v="536"/>
    </i>
    <i>
      <x v="222"/>
    </i>
    <i>
      <x v="379"/>
    </i>
    <i>
      <x v="92"/>
    </i>
    <i>
      <x v="495"/>
    </i>
    <i>
      <x v="293"/>
    </i>
    <i>
      <x v="269"/>
    </i>
    <i>
      <x v="513"/>
    </i>
    <i>
      <x v="250"/>
    </i>
    <i>
      <x v="326"/>
    </i>
    <i>
      <x v="632"/>
    </i>
    <i>
      <x v="594"/>
    </i>
    <i>
      <x v="94"/>
    </i>
    <i>
      <x v="125"/>
    </i>
    <i>
      <x v="102"/>
    </i>
    <i>
      <x v="188"/>
    </i>
    <i>
      <x v="535"/>
    </i>
    <i>
      <x v="23"/>
    </i>
    <i>
      <x v="254"/>
    </i>
    <i>
      <x v="105"/>
    </i>
    <i>
      <x v="623"/>
    </i>
    <i>
      <x v="531"/>
    </i>
    <i>
      <x v="57"/>
    </i>
    <i>
      <x v="91"/>
    </i>
    <i>
      <x v="223"/>
    </i>
    <i>
      <x v="120"/>
    </i>
    <i>
      <x v="138"/>
    </i>
    <i>
      <x v="114"/>
    </i>
    <i>
      <x v="486"/>
    </i>
    <i>
      <x v="641"/>
    </i>
    <i>
      <x v="66"/>
    </i>
    <i>
      <x v="142"/>
    </i>
    <i>
      <x v="164"/>
    </i>
    <i>
      <x v="162"/>
    </i>
    <i>
      <x v="593"/>
    </i>
    <i>
      <x v="313"/>
    </i>
    <i>
      <x v="455"/>
    </i>
    <i>
      <x/>
    </i>
    <i>
      <x v="253"/>
    </i>
    <i>
      <x v="482"/>
    </i>
    <i>
      <x v="362"/>
    </i>
    <i>
      <x v="141"/>
    </i>
    <i>
      <x v="153"/>
    </i>
    <i>
      <x v="504"/>
    </i>
    <i>
      <x v="194"/>
    </i>
    <i>
      <x v="302"/>
    </i>
    <i>
      <x v="22"/>
    </i>
    <i>
      <x v="267"/>
    </i>
    <i>
      <x v="207"/>
    </i>
    <i>
      <x v="289"/>
    </i>
    <i>
      <x v="580"/>
    </i>
    <i>
      <x v="366"/>
    </i>
    <i>
      <x v="322"/>
    </i>
    <i>
      <x v="421"/>
    </i>
    <i>
      <x v="235"/>
    </i>
    <i>
      <x v="18"/>
    </i>
    <i>
      <x v="49"/>
    </i>
    <i>
      <x v="127"/>
    </i>
    <i>
      <x v="452"/>
    </i>
    <i>
      <x v="409"/>
    </i>
    <i>
      <x v="401"/>
    </i>
    <i>
      <x v="540"/>
    </i>
    <i>
      <x v="185"/>
    </i>
    <i>
      <x v="573"/>
    </i>
    <i>
      <x v="517"/>
    </i>
    <i>
      <x v="642"/>
    </i>
    <i>
      <x v="62"/>
    </i>
    <i>
      <x v="602"/>
    </i>
    <i>
      <x v="618"/>
    </i>
    <i>
      <x v="520"/>
    </i>
    <i>
      <x v="36"/>
    </i>
    <i>
      <x v="116"/>
    </i>
    <i>
      <x v="233"/>
    </i>
    <i>
      <x v="393"/>
    </i>
    <i>
      <x v="239"/>
    </i>
    <i>
      <x v="408"/>
    </i>
    <i>
      <x v="607"/>
    </i>
    <i>
      <x v="278"/>
    </i>
    <i>
      <x v="404"/>
    </i>
    <i>
      <x v="158"/>
    </i>
    <i>
      <x v="481"/>
    </i>
    <i>
      <x v="137"/>
    </i>
    <i>
      <x v="265"/>
    </i>
    <i>
      <x v="38"/>
    </i>
    <i>
      <x v="294"/>
    </i>
    <i>
      <x v="251"/>
    </i>
    <i>
      <x v="448"/>
    </i>
    <i>
      <x v="174"/>
    </i>
    <i>
      <x v="467"/>
    </i>
    <i>
      <x v="567"/>
    </i>
    <i>
      <x v="275"/>
    </i>
    <i>
      <x v="232"/>
    </i>
    <i>
      <x v="218"/>
    </i>
    <i>
      <x v="347"/>
    </i>
    <i>
      <x v="67"/>
    </i>
    <i>
      <x v="424"/>
    </i>
    <i>
      <x v="636"/>
    </i>
    <i>
      <x v="109"/>
    </i>
    <i>
      <x v="370"/>
    </i>
    <i>
      <x v="287"/>
    </i>
    <i>
      <x v="203"/>
    </i>
    <i>
      <x v="179"/>
    </i>
    <i>
      <x v="431"/>
    </i>
    <i>
      <x v="135"/>
    </i>
    <i>
      <x v="560"/>
    </i>
    <i>
      <x v="50"/>
    </i>
    <i>
      <x v="215"/>
    </i>
    <i>
      <x v="608"/>
    </i>
    <i>
      <x v="532"/>
    </i>
    <i>
      <x v="183"/>
    </i>
    <i>
      <x v="128"/>
    </i>
    <i>
      <x v="41"/>
    </i>
    <i>
      <x v="176"/>
    </i>
    <i>
      <x v="344"/>
    </i>
    <i>
      <x v="516"/>
    </i>
    <i>
      <x v="231"/>
    </i>
    <i>
      <x v="77"/>
    </i>
    <i>
      <x v="212"/>
    </i>
    <i>
      <x v="283"/>
    </i>
    <i>
      <x v="377"/>
    </i>
    <i>
      <x v="163"/>
    </i>
    <i>
      <x v="29"/>
    </i>
    <i>
      <x v="353"/>
    </i>
    <i>
      <x v="640"/>
    </i>
    <i>
      <x v="60"/>
    </i>
    <i>
      <x v="157"/>
    </i>
    <i>
      <x v="430"/>
    </i>
    <i>
      <x v="10"/>
    </i>
    <i>
      <x v="456"/>
    </i>
    <i>
      <x v="440"/>
    </i>
    <i>
      <x v="74"/>
    </i>
    <i>
      <x v="559"/>
    </i>
    <i>
      <x v="104"/>
    </i>
    <i>
      <x v="193"/>
    </i>
    <i>
      <x v="406"/>
    </i>
    <i>
      <x v="473"/>
    </i>
    <i>
      <x v="73"/>
    </i>
    <i>
      <x v="604"/>
    </i>
    <i>
      <x v="509"/>
    </i>
    <i>
      <x v="397"/>
    </i>
    <i>
      <x v="592"/>
    </i>
    <i>
      <x v="628"/>
    </i>
    <i>
      <x v="197"/>
    </i>
    <i>
      <x v="90"/>
    </i>
    <i>
      <x v="48"/>
    </i>
    <i>
      <x v="192"/>
    </i>
    <i>
      <x v="569"/>
    </i>
    <i>
      <x v="306"/>
    </i>
    <i>
      <x v="282"/>
    </i>
    <i>
      <x v="373"/>
    </i>
    <i>
      <x v="312"/>
    </i>
    <i>
      <x v="634"/>
    </i>
    <i>
      <x v="565"/>
    </i>
    <i>
      <x v="590"/>
    </i>
    <i>
      <x v="354"/>
    </i>
    <i>
      <x v="619"/>
    </i>
    <i>
      <x v="470"/>
    </i>
    <i>
      <x v="272"/>
    </i>
    <i>
      <x v="81"/>
    </i>
    <i>
      <x v="52"/>
    </i>
    <i>
      <x v="407"/>
    </i>
    <i>
      <x v="260"/>
    </i>
    <i>
      <x v="155"/>
    </i>
    <i>
      <x v="238"/>
    </i>
    <i>
      <x v="16"/>
    </i>
    <i>
      <x v="586"/>
    </i>
    <i>
      <x v="70"/>
    </i>
    <i>
      <x v="186"/>
    </i>
    <i>
      <x v="412"/>
    </i>
    <i>
      <x v="39"/>
    </i>
    <i>
      <x v="82"/>
    </i>
    <i>
      <x v="122"/>
    </i>
    <i>
      <x v="210"/>
    </i>
    <i>
      <x v="130"/>
    </i>
    <i>
      <x v="51"/>
    </i>
    <i>
      <x v="474"/>
    </i>
    <i>
      <x v="297"/>
    </i>
    <i>
      <x v="14"/>
    </i>
    <i>
      <x v="357"/>
    </i>
    <i>
      <x v="198"/>
    </i>
    <i>
      <x v="476"/>
    </i>
    <i>
      <x v="371"/>
    </i>
    <i>
      <x v="328"/>
    </i>
    <i>
      <x v="579"/>
    </i>
    <i>
      <x v="381"/>
    </i>
    <i>
      <x v="600"/>
    </i>
    <i>
      <x v="399"/>
    </i>
    <i>
      <x v="237"/>
    </i>
    <i>
      <x v="175"/>
    </i>
    <i>
      <x v="33"/>
    </i>
    <i>
      <x v="445"/>
    </i>
    <i>
      <x v="465"/>
    </i>
    <i>
      <x v="307"/>
    </i>
    <i>
      <x v="492"/>
    </i>
    <i>
      <x v="17"/>
    </i>
    <i>
      <x v="340"/>
    </i>
    <i>
      <x v="510"/>
    </i>
    <i>
      <x v="95"/>
    </i>
    <i>
      <x v="55"/>
    </i>
    <i>
      <x v="83"/>
    </i>
    <i>
      <x v="115"/>
    </i>
    <i>
      <x v="413"/>
    </i>
    <i>
      <x v="578"/>
    </i>
    <i>
      <x v="333"/>
    </i>
    <i>
      <x v="469"/>
    </i>
    <i>
      <x v="358"/>
    </i>
    <i>
      <x v="280"/>
    </i>
    <i>
      <x v="86"/>
    </i>
    <i>
      <x v="479"/>
    </i>
    <i>
      <x v="335"/>
    </i>
    <i>
      <x v="405"/>
    </i>
    <i>
      <x v="171"/>
    </i>
    <i>
      <x v="286"/>
    </i>
    <i>
      <x v="337"/>
    </i>
    <i>
      <x v="543"/>
    </i>
    <i>
      <x v="20"/>
    </i>
    <i>
      <x v="53"/>
    </i>
    <i>
      <x v="382"/>
    </i>
    <i>
      <x v="561"/>
    </i>
    <i>
      <x v="471"/>
    </i>
    <i>
      <x v="329"/>
    </i>
    <i>
      <x v="100"/>
    </i>
    <i>
      <x v="42"/>
    </i>
    <i>
      <x v="434"/>
    </i>
    <i>
      <x v="368"/>
    </i>
    <i>
      <x v="522"/>
    </i>
    <i>
      <x v="309"/>
    </i>
    <i>
      <x v="304"/>
    </i>
    <i>
      <x v="494"/>
    </i>
    <i>
      <x v="147"/>
    </i>
    <i>
      <x v="154"/>
    </i>
    <i>
      <x v="534"/>
    </i>
    <i>
      <x v="376"/>
    </i>
    <i>
      <x v="603"/>
    </i>
    <i>
      <x v="123"/>
    </i>
    <i>
      <x v="12"/>
    </i>
    <i>
      <x v="24"/>
    </i>
    <i>
      <x v="332"/>
    </i>
    <i>
      <x v="606"/>
    </i>
    <i>
      <x v="402"/>
    </i>
    <i>
      <x v="190"/>
    </i>
    <i>
      <x v="385"/>
    </i>
    <i>
      <x v="544"/>
    </i>
    <i>
      <x v="279"/>
    </i>
    <i>
      <x v="472"/>
    </i>
    <i>
      <x v="622"/>
    </i>
    <i>
      <x v="630"/>
    </i>
    <i>
      <x v="256"/>
    </i>
    <i>
      <x v="464"/>
    </i>
    <i>
      <x v="624"/>
    </i>
    <i>
      <x v="266"/>
    </i>
    <i>
      <x v="427"/>
    </i>
    <i>
      <x v="542"/>
    </i>
    <i>
      <x v="583"/>
    </i>
    <i>
      <x v="202"/>
    </i>
    <i>
      <x v="318"/>
    </i>
    <i>
      <x v="144"/>
    </i>
    <i>
      <x v="599"/>
    </i>
    <i>
      <x v="514"/>
    </i>
    <i>
      <x v="331"/>
    </i>
    <i>
      <x v="19"/>
    </i>
    <i>
      <x v="299"/>
    </i>
    <i>
      <x v="363"/>
    </i>
    <i>
      <x v="189"/>
    </i>
    <i>
      <x v="285"/>
    </i>
    <i>
      <x v="620"/>
    </i>
    <i>
      <x v="241"/>
    </i>
    <i>
      <x v="355"/>
    </i>
    <i>
      <x v="11"/>
    </i>
    <i>
      <x v="396"/>
    </i>
    <i>
      <x v="75"/>
    </i>
    <i>
      <x v="375"/>
    </i>
    <i>
      <x v="187"/>
    </i>
    <i>
      <x v="181"/>
    </i>
    <i>
      <x v="124"/>
    </i>
    <i>
      <x v="315"/>
    </i>
    <i>
      <x v="61"/>
    </i>
    <i>
      <x v="468"/>
    </i>
    <i>
      <x v="88"/>
    </i>
    <i>
      <x v="523"/>
    </i>
    <i>
      <x v="422"/>
    </i>
    <i>
      <x v="582"/>
    </i>
    <i>
      <x v="271"/>
    </i>
    <i>
      <x v="415"/>
    </i>
    <i>
      <x v="182"/>
    </i>
    <i>
      <x v="530"/>
    </i>
    <i>
      <x v="435"/>
    </i>
    <i>
      <x v="7"/>
    </i>
    <i>
      <x v="240"/>
    </i>
    <i>
      <x v="246"/>
    </i>
    <i>
      <x v="433"/>
    </i>
    <i>
      <x v="308"/>
    </i>
    <i>
      <x v="597"/>
    </i>
    <i>
      <x v="524"/>
    </i>
    <i>
      <x v="276"/>
    </i>
    <i>
      <x v="273"/>
    </i>
    <i>
      <x v="334"/>
    </i>
    <i>
      <x v="589"/>
    </i>
    <i>
      <x v="555"/>
    </i>
    <i>
      <x v="587"/>
    </i>
    <i>
      <x v="47"/>
    </i>
    <i>
      <x v="576"/>
    </i>
    <i>
      <x v="106"/>
    </i>
    <i>
      <x v="552"/>
    </i>
    <i>
      <x v="201"/>
    </i>
    <i>
      <x v="327"/>
    </i>
    <i>
      <x v="54"/>
    </i>
    <i>
      <x v="417"/>
    </i>
    <i>
      <x v="554"/>
    </i>
    <i>
      <x v="436"/>
    </i>
    <i>
      <x v="545"/>
    </i>
    <i>
      <x v="31"/>
    </i>
    <i>
      <x v="437"/>
    </i>
    <i>
      <x v="112"/>
    </i>
    <i>
      <x v="601"/>
    </i>
    <i>
      <x v="72"/>
    </i>
    <i>
      <x v="26"/>
    </i>
    <i>
      <x v="605"/>
    </i>
    <i>
      <x v="156"/>
    </i>
    <i>
      <x v="209"/>
    </i>
    <i>
      <x v="562"/>
    </i>
    <i>
      <x v="37"/>
    </i>
    <i>
      <x v="292"/>
    </i>
    <i>
      <x v="609"/>
    </i>
    <i>
      <x v="365"/>
    </i>
    <i>
      <x v="226"/>
    </i>
    <i>
      <x v="477"/>
    </i>
    <i>
      <x v="166"/>
    </i>
    <i>
      <x v="615"/>
    </i>
    <i>
      <x v="411"/>
    </i>
    <i>
      <x v="40"/>
    </i>
    <i>
      <x v="450"/>
    </i>
    <i>
      <x v="512"/>
    </i>
    <i>
      <x v="167"/>
    </i>
    <i>
      <x v="449"/>
    </i>
    <i>
      <x v="506"/>
    </i>
    <i>
      <x v="121"/>
    </i>
    <i>
      <x v="558"/>
    </i>
    <i>
      <x v="568"/>
    </i>
    <i>
      <x v="152"/>
    </i>
    <i>
      <x v="211"/>
    </i>
    <i>
      <x v="548"/>
    </i>
    <i>
      <x v="613"/>
    </i>
    <i>
      <x v="277"/>
    </i>
    <i>
      <x v="563"/>
    </i>
    <i>
      <x v="515"/>
    </i>
    <i>
      <x v="103"/>
    </i>
    <i>
      <x v="324"/>
    </i>
    <i>
      <x v="339"/>
    </i>
    <i>
      <x v="149"/>
    </i>
    <i>
      <x v="319"/>
    </i>
    <i>
      <x v="8"/>
    </i>
    <i>
      <x v="551"/>
    </i>
    <i>
      <x v="505"/>
    </i>
    <i>
      <x v="281"/>
    </i>
    <i>
      <x v="483"/>
    </i>
    <i>
      <x v="64"/>
    </i>
    <i>
      <x v="32"/>
    </i>
    <i>
      <x v="566"/>
    </i>
    <i>
      <x v="126"/>
    </i>
    <i>
      <x v="478"/>
    </i>
    <i>
      <x v="113"/>
    </i>
    <i>
      <x v="320"/>
    </i>
    <i>
      <x v="314"/>
    </i>
    <i>
      <x v="418"/>
    </i>
    <i>
      <x v="93"/>
    </i>
    <i>
      <x v="625"/>
    </i>
    <i>
      <x v="117"/>
    </i>
    <i>
      <x v="426"/>
    </i>
    <i>
      <x v="45"/>
    </i>
    <i>
      <x v="208"/>
    </i>
    <i>
      <x v="380"/>
    </i>
    <i>
      <x v="546"/>
    </i>
    <i>
      <x v="21"/>
    </i>
    <i>
      <x v="195"/>
    </i>
    <i>
      <x v="528"/>
    </i>
    <i>
      <x v="224"/>
    </i>
    <i>
      <x v="159"/>
    </i>
    <i>
      <x v="96"/>
    </i>
    <i>
      <x v="168"/>
    </i>
    <i>
      <x v="489"/>
    </i>
    <i>
      <x v="499"/>
    </i>
    <i>
      <x v="34"/>
    </i>
    <i>
      <x v="261"/>
    </i>
    <i>
      <x v="108"/>
    </i>
    <i>
      <x v="457"/>
    </i>
    <i>
      <x v="243"/>
    </i>
    <i>
      <x v="443"/>
    </i>
    <i>
      <x v="165"/>
    </i>
    <i>
      <x v="389"/>
    </i>
    <i>
      <x v="420"/>
    </i>
    <i>
      <x v="556"/>
    </i>
    <i>
      <x v="416"/>
    </i>
    <i>
      <x v="177"/>
    </i>
    <i>
      <x v="2"/>
    </i>
    <i>
      <x v="270"/>
    </i>
    <i>
      <x v="30"/>
    </i>
    <i>
      <x v="487"/>
    </i>
    <i>
      <x v="336"/>
    </i>
    <i>
      <x v="65"/>
    </i>
    <i>
      <x v="635"/>
    </i>
    <i>
      <x v="146"/>
    </i>
    <i>
      <x v="425"/>
    </i>
    <i>
      <x v="372"/>
    </i>
    <i>
      <x v="498"/>
    </i>
    <i>
      <x v="508"/>
    </i>
    <i>
      <x v="288"/>
    </i>
    <i>
      <x v="178"/>
    </i>
    <i>
      <x v="311"/>
    </i>
    <i>
      <x v="491"/>
    </i>
    <i>
      <x v="391"/>
    </i>
    <i>
      <x v="5"/>
    </i>
    <i>
      <x v="441"/>
    </i>
    <i>
      <x v="110"/>
    </i>
    <i>
      <x v="262"/>
    </i>
    <i>
      <x v="143"/>
    </i>
    <i>
      <x v="321"/>
    </i>
    <i>
      <x v="169"/>
    </i>
    <i>
      <x v="374"/>
    </i>
    <i>
      <x v="296"/>
    </i>
    <i>
      <x v="439"/>
    </i>
    <i>
      <x v="89"/>
    </i>
    <i>
      <x v="364"/>
    </i>
    <i>
      <x v="584"/>
    </i>
    <i>
      <x v="71"/>
    </i>
    <i>
      <x v="629"/>
    </i>
    <i>
      <x v="325"/>
    </i>
    <i>
      <x v="252"/>
    </i>
    <i>
      <x v="133"/>
    </i>
    <i>
      <x v="27"/>
    </i>
    <i>
      <x v="295"/>
    </i>
    <i>
      <x v="44"/>
    </i>
    <i>
      <x v="463"/>
    </i>
    <i>
      <x v="236"/>
    </i>
    <i>
      <x v="150"/>
    </i>
    <i>
      <x v="614"/>
    </i>
    <i>
      <x v="557"/>
    </i>
    <i>
      <x v="444"/>
    </i>
    <i>
      <x v="204"/>
    </i>
    <i>
      <x v="533"/>
    </i>
    <i>
      <x v="392"/>
    </i>
    <i>
      <x v="352"/>
    </i>
    <i>
      <x v="140"/>
    </i>
    <i>
      <x v="214"/>
    </i>
    <i>
      <x v="553"/>
    </i>
    <i>
      <x v="423"/>
    </i>
    <i>
      <x v="550"/>
    </i>
    <i>
      <x v="571"/>
    </i>
    <i>
      <x v="360"/>
    </i>
    <i>
      <x v="15"/>
    </i>
    <i>
      <x v="170"/>
    </i>
    <i>
      <x v="519"/>
    </i>
    <i>
      <x v="485"/>
    </i>
    <i>
      <x v="633"/>
    </i>
    <i>
      <x v="58"/>
    </i>
    <i>
      <x v="264"/>
    </i>
    <i>
      <x v="245"/>
    </i>
    <i t="grand">
      <x/>
    </i>
  </rowItems>
  <colItems count="1">
    <i/>
  </colItems>
  <dataFields count="1">
    <dataField name="Sum of Profit"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329EF28-A211-4F9F-9D7A-C7F06FAF2FD5}"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8" firstHeaderRow="1" firstDataRow="1" firstDataCol="1"/>
  <pivotFields count="11">
    <pivotField showAll="0"/>
    <pivotField showAll="0"/>
    <pivotField showAll="0">
      <items count="6">
        <item x="0"/>
        <item x="1"/>
        <item x="2"/>
        <item x="3"/>
        <item h="1" x="4"/>
        <item t="default"/>
      </items>
    </pivotField>
    <pivotField showAll="0"/>
    <pivotField axis="axisRow" showAll="0">
      <items count="46">
        <item x="34"/>
        <item x="23"/>
        <item x="9"/>
        <item x="5"/>
        <item x="15"/>
        <item x="25"/>
        <item x="37"/>
        <item x="44"/>
        <item x="11"/>
        <item x="19"/>
        <item x="36"/>
        <item x="3"/>
        <item x="33"/>
        <item x="43"/>
        <item x="39"/>
        <item x="17"/>
        <item x="30"/>
        <item x="31"/>
        <item x="24"/>
        <item x="6"/>
        <item x="10"/>
        <item x="7"/>
        <item x="32"/>
        <item x="22"/>
        <item x="38"/>
        <item x="27"/>
        <item x="14"/>
        <item x="41"/>
        <item x="8"/>
        <item x="35"/>
        <item x="2"/>
        <item x="12"/>
        <item x="18"/>
        <item x="28"/>
        <item x="16"/>
        <item x="13"/>
        <item x="40"/>
        <item x="29"/>
        <item x="26"/>
        <item x="4"/>
        <item x="21"/>
        <item x="42"/>
        <item x="20"/>
        <item x="1"/>
        <item x="0"/>
        <item t="default"/>
      </items>
    </pivotField>
    <pivotField showAll="0">
      <items count="4">
        <item x="1"/>
        <item x="2"/>
        <item x="0"/>
        <item t="default"/>
      </items>
    </pivotField>
    <pivotField showAll="0"/>
    <pivotField showAll="0"/>
    <pivotField dataField="1" numFmtId="164" showAll="0"/>
    <pivotField numFmtId="1" showAll="0"/>
    <pivotField numFmtId="164" showAll="0"/>
  </pivotFields>
  <rowFields count="1">
    <field x="4"/>
  </rowFields>
  <rowItems count="45">
    <i>
      <x/>
    </i>
    <i>
      <x v="1"/>
    </i>
    <i>
      <x v="2"/>
    </i>
    <i>
      <x v="3"/>
    </i>
    <i>
      <x v="4"/>
    </i>
    <i>
      <x v="5"/>
    </i>
    <i>
      <x v="6"/>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Items count="1">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A0EE28A-532B-4925-B432-BFDFA496F4B5}" name="PivotTable15"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
  <location ref="F9:G13" firstHeaderRow="1" firstDataRow="1" firstDataCol="1"/>
  <pivotFields count="2">
    <pivotField axis="axisRow" showAll="0">
      <items count="6">
        <item x="0"/>
        <item x="1"/>
        <item x="2"/>
        <item x="3"/>
        <item h="1" x="4"/>
        <item t="default"/>
      </items>
    </pivotField>
    <pivotField dataField="1" showAll="0"/>
  </pivotFields>
  <rowFields count="1">
    <field x="0"/>
  </rowFields>
  <rowItems count="4">
    <i>
      <x/>
    </i>
    <i>
      <x v="1"/>
    </i>
    <i>
      <x v="2"/>
    </i>
    <i>
      <x v="3"/>
    </i>
  </rowItems>
  <colItems count="1">
    <i/>
  </colItems>
  <dataFields count="1">
    <dataField name="Count of Customer Name" fld="1" subtotal="count"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E8F8954-25D1-42CE-AB1F-FE523EC83C51}"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21" firstHeaderRow="1" firstDataRow="1" firstDataCol="1"/>
  <pivotFields count="11">
    <pivotField showAll="0"/>
    <pivotField showAll="0"/>
    <pivotField showAll="0">
      <items count="6">
        <item x="0"/>
        <item x="1"/>
        <item x="2"/>
        <item x="3"/>
        <item h="1" x="4"/>
        <item t="default"/>
      </items>
    </pivotField>
    <pivotField showAll="0"/>
    <pivotField showAll="0"/>
    <pivotField showAll="0">
      <items count="4">
        <item x="1"/>
        <item x="2"/>
        <item x="0"/>
        <item t="default"/>
      </items>
    </pivotField>
    <pivotField axis="axisRow" showAll="0" sortType="descending">
      <items count="18">
        <item x="0"/>
        <item x="10"/>
        <item x="11"/>
        <item x="9"/>
        <item x="16"/>
        <item x="1"/>
        <item x="12"/>
        <item x="13"/>
        <item x="4"/>
        <item x="5"/>
        <item x="8"/>
        <item x="14"/>
        <item x="3"/>
        <item x="2"/>
        <item x="6"/>
        <item x="15"/>
        <item x="7"/>
        <item t="default"/>
      </items>
      <autoSortScope>
        <pivotArea dataOnly="0" outline="0" fieldPosition="0">
          <references count="1">
            <reference field="4294967294" count="1" selected="0">
              <x v="0"/>
            </reference>
          </references>
        </pivotArea>
      </autoSortScope>
    </pivotField>
    <pivotField showAll="0"/>
    <pivotField dataField="1" numFmtId="164" showAll="0"/>
    <pivotField numFmtId="1" showAll="0"/>
    <pivotField numFmtId="164" showAll="0"/>
  </pivotFields>
  <rowFields count="1">
    <field x="6"/>
  </rowFields>
  <rowItems count="18">
    <i>
      <x v="11"/>
    </i>
    <i>
      <x v="13"/>
    </i>
    <i>
      <x v="5"/>
    </i>
    <i>
      <x v="16"/>
    </i>
    <i>
      <x/>
    </i>
    <i>
      <x v="14"/>
    </i>
    <i>
      <x v="6"/>
    </i>
    <i>
      <x v="3"/>
    </i>
    <i>
      <x v="4"/>
    </i>
    <i>
      <x v="1"/>
    </i>
    <i>
      <x v="9"/>
    </i>
    <i>
      <x v="12"/>
    </i>
    <i>
      <x v="15"/>
    </i>
    <i>
      <x v="2"/>
    </i>
    <i>
      <x v="7"/>
    </i>
    <i>
      <x v="10"/>
    </i>
    <i>
      <x v="8"/>
    </i>
    <i t="grand">
      <x/>
    </i>
  </rowItems>
  <colItems count="1">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48F5DBE-6229-47EE-8A2F-716FAEC62B9D}" sourceName="Year">
  <pivotTables>
    <pivotTable tabId="5" name="PivotTable9"/>
    <pivotTable tabId="4" name="PivotTable8"/>
    <pivotTable tabId="3" name="PivotTable7"/>
    <pivotTable tabId="7" name="PivotTable12"/>
    <pivotTable tabId="6" name="PivotTable10"/>
  </pivotTables>
  <data>
    <tabular pivotCacheId="1535991198">
      <items count="5">
        <i x="0" s="1"/>
        <i x="1" s="1"/>
        <i x="2" s="1"/>
        <i x="3" s="1"/>
        <i x="4"/>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2D2A98D-FB77-4C73-BBC0-D72BA1A058B8}" sourceName="Category">
  <pivotTables>
    <pivotTable tabId="7" name="PivotTable12"/>
    <pivotTable tabId="5" name="PivotTable9"/>
    <pivotTable tabId="4" name="PivotTable8"/>
    <pivotTable tabId="3" name="PivotTable7"/>
    <pivotTable tabId="6" name="PivotTable10"/>
  </pivotTables>
  <data>
    <tabular pivotCacheId="1535991198">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A6ABE61-614B-4547-AB35-09855637AFA9}" cache="Slicer_Year" caption="Year"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67AD0957-DED8-4271-830F-C922F33B54F3}" cache="Slicer_Category" caption="Category"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F347B174-273E-46A9-9FBE-824C24FB82B4}" cache="Slicer_Year" caption="Year" columnCount="4" style="SlicerStyleDark1" rowHeight="247650"/>
  <slicer name="Category 1" xr10:uid="{8AF0AEBB-4F13-42E8-AE5A-4E65387B4326}" cache="Slicer_Category" caption="Category" columnCount="4" style="SlicerStyleDark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8D6B414-3B09-4769-AF8E-2EAEE9C5DA6E}" name="Table1" displayName="Table1" ref="A1:K1851" totalsRowShown="0">
  <autoFilter ref="A1:K1851" xr:uid="{58D6B414-3B09-4769-AF8E-2EAEE9C5DA6E}"/>
  <sortState xmlns:xlrd2="http://schemas.microsoft.com/office/spreadsheetml/2017/richdata2" ref="A2:K1851">
    <sortCondition ref="A2:A1851"/>
  </sortState>
  <tableColumns count="11">
    <tableColumn id="1" xr3:uid="{AA502470-2113-4F8D-A693-2FF303A75376}" name="Order Date" dataDxfId="5"/>
    <tableColumn id="11" xr3:uid="{9DB66BC2-8C40-41AA-9258-DD99C1D6C11B}" name="Month" dataDxfId="4">
      <calculatedColumnFormula>MONTH(Table1[[#This Row],[Order Date]])</calculatedColumnFormula>
    </tableColumn>
    <tableColumn id="10" xr3:uid="{BE397B48-7BE1-4879-9473-45CAB8A89204}" name="Year" dataDxfId="3">
      <calculatedColumnFormula>YEAR(Table1[[#This Row],[Order Date]])</calculatedColumnFormula>
    </tableColumn>
    <tableColumn id="2" xr3:uid="{704AD182-363A-4B67-8ACD-3F8C9829F244}" name="Customer Name"/>
    <tableColumn id="3" xr3:uid="{AC33D05A-B3B1-43AD-B8AF-B83C6E7F8238}" name="State"/>
    <tableColumn id="4" xr3:uid="{E01CEEB1-3A82-4798-A057-46EA5410D367}" name="Category"/>
    <tableColumn id="5" xr3:uid="{9F2D2826-1633-4E7B-8A13-71086D65563C}" name="Sub-Category"/>
    <tableColumn id="6" xr3:uid="{65919CE3-8B58-4CAB-8298-D453FB745A2A}" name="Product Name"/>
    <tableColumn id="7" xr3:uid="{9909EE76-E42C-4A4D-BFAE-E0AD9D83116A}" name="Sales" dataDxfId="2"/>
    <tableColumn id="8" xr3:uid="{411CC11A-419C-43B3-8174-A2FA73306CFC}" name="Quantity" dataDxfId="1"/>
    <tableColumn id="9" xr3:uid="{F4C85B1A-5501-4599-89A7-1F08D0316647}" name="Profi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CD0B1-E2B9-4B38-B004-2D697D365809}">
  <dimension ref="A3:E8"/>
  <sheetViews>
    <sheetView workbookViewId="0">
      <selection activeCell="B17" sqref="B17"/>
    </sheetView>
  </sheetViews>
  <sheetFormatPr defaultRowHeight="14.4" x14ac:dyDescent="0.3"/>
  <cols>
    <col min="1" max="1" width="12.44140625" customWidth="1"/>
    <col min="2" max="2" width="15.5546875" customWidth="1"/>
    <col min="3" max="3" width="13.77734375" bestFit="1" customWidth="1"/>
    <col min="4" max="4" width="10.21875" bestFit="1" customWidth="1"/>
    <col min="5" max="5" width="10.5546875" customWidth="1"/>
  </cols>
  <sheetData>
    <row r="3" spans="1:5" x14ac:dyDescent="0.3">
      <c r="A3" s="19" t="s">
        <v>2748</v>
      </c>
      <c r="B3" s="19" t="s">
        <v>2749</v>
      </c>
    </row>
    <row r="4" spans="1:5" x14ac:dyDescent="0.3">
      <c r="A4" s="19" t="s">
        <v>2745</v>
      </c>
      <c r="B4" t="s">
        <v>34</v>
      </c>
      <c r="C4" t="s">
        <v>11</v>
      </c>
      <c r="D4" t="s">
        <v>39</v>
      </c>
      <c r="E4" t="s">
        <v>2746</v>
      </c>
    </row>
    <row r="5" spans="1:5" x14ac:dyDescent="0.3">
      <c r="A5" s="3">
        <v>2014</v>
      </c>
      <c r="B5" s="20">
        <v>2227.5799999999995</v>
      </c>
      <c r="C5" s="20">
        <v>8263.1799999999912</v>
      </c>
      <c r="D5" s="20">
        <v>6647.7699999999977</v>
      </c>
      <c r="E5" s="20">
        <v>17138.529999999988</v>
      </c>
    </row>
    <row r="6" spans="1:5" x14ac:dyDescent="0.3">
      <c r="A6" s="3">
        <v>2015</v>
      </c>
      <c r="B6" s="20">
        <v>1341.1299999999999</v>
      </c>
      <c r="C6" s="20">
        <v>657.19999999999993</v>
      </c>
      <c r="D6" s="20">
        <v>5824.4599999999991</v>
      </c>
      <c r="E6" s="20">
        <v>7822.7899999999991</v>
      </c>
    </row>
    <row r="7" spans="1:5" x14ac:dyDescent="0.3">
      <c r="A7" s="3">
        <v>2016</v>
      </c>
      <c r="B7" s="20">
        <v>-359.2399999999999</v>
      </c>
      <c r="C7" s="20">
        <v>4711.08</v>
      </c>
      <c r="D7" s="20">
        <v>17079.959999999995</v>
      </c>
      <c r="E7" s="20">
        <v>21431.799999999996</v>
      </c>
    </row>
    <row r="8" spans="1:5" x14ac:dyDescent="0.3">
      <c r="A8" s="3">
        <v>2017</v>
      </c>
      <c r="B8" s="20">
        <v>-283.20000000000005</v>
      </c>
      <c r="C8" s="20">
        <v>808.64999999999861</v>
      </c>
      <c r="D8" s="20">
        <v>1035.5399999999997</v>
      </c>
      <c r="E8" s="20">
        <v>1560.9899999999984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4536E-80DC-4F91-B519-6064849789EA}">
  <dimension ref="A3:B16"/>
  <sheetViews>
    <sheetView workbookViewId="0">
      <selection activeCell="D24" sqref="D24"/>
    </sheetView>
  </sheetViews>
  <sheetFormatPr defaultRowHeight="14.4" x14ac:dyDescent="0.3"/>
  <cols>
    <col min="1" max="1" width="12.44140625" customWidth="1"/>
    <col min="2" max="2" width="11.5546875" customWidth="1"/>
  </cols>
  <sheetData>
    <row r="3" spans="1:2" x14ac:dyDescent="0.3">
      <c r="A3" s="19" t="s">
        <v>2745</v>
      </c>
      <c r="B3" t="s">
        <v>2747</v>
      </c>
    </row>
    <row r="4" spans="1:2" x14ac:dyDescent="0.3">
      <c r="A4" s="3">
        <v>1</v>
      </c>
      <c r="B4" s="20">
        <v>46220.69000000001</v>
      </c>
    </row>
    <row r="5" spans="1:2" x14ac:dyDescent="0.3">
      <c r="A5" s="3">
        <v>2</v>
      </c>
      <c r="B5" s="20">
        <v>66761.310000000012</v>
      </c>
    </row>
    <row r="6" spans="1:2" x14ac:dyDescent="0.3">
      <c r="A6" s="3">
        <v>3</v>
      </c>
      <c r="B6" s="20">
        <v>38382.949999999997</v>
      </c>
    </row>
    <row r="7" spans="1:2" x14ac:dyDescent="0.3">
      <c r="A7" s="3">
        <v>4</v>
      </c>
      <c r="B7" s="20">
        <v>36177.239999999991</v>
      </c>
    </row>
    <row r="8" spans="1:2" x14ac:dyDescent="0.3">
      <c r="A8" s="3">
        <v>5</v>
      </c>
      <c r="B8" s="20">
        <v>31837.86</v>
      </c>
    </row>
    <row r="9" spans="1:2" x14ac:dyDescent="0.3">
      <c r="A9" s="3">
        <v>6</v>
      </c>
      <c r="B9" s="20">
        <v>22485.700000000008</v>
      </c>
    </row>
    <row r="10" spans="1:2" x14ac:dyDescent="0.3">
      <c r="A10" s="3">
        <v>7</v>
      </c>
      <c r="B10" s="20">
        <v>25412.140000000007</v>
      </c>
    </row>
    <row r="11" spans="1:2" x14ac:dyDescent="0.3">
      <c r="A11" s="3">
        <v>8</v>
      </c>
      <c r="B11" s="20">
        <v>46825.88</v>
      </c>
    </row>
    <row r="12" spans="1:2" x14ac:dyDescent="0.3">
      <c r="A12" s="3">
        <v>9</v>
      </c>
      <c r="B12" s="20">
        <v>28545.370000000003</v>
      </c>
    </row>
    <row r="13" spans="1:2" x14ac:dyDescent="0.3">
      <c r="A13" s="3">
        <v>10</v>
      </c>
      <c r="B13" s="20">
        <v>19197.989999999994</v>
      </c>
    </row>
    <row r="14" spans="1:2" x14ac:dyDescent="0.3">
      <c r="A14" s="3">
        <v>11</v>
      </c>
      <c r="B14" s="20">
        <v>29434.32</v>
      </c>
    </row>
    <row r="15" spans="1:2" x14ac:dyDescent="0.3">
      <c r="A15" s="3">
        <v>12</v>
      </c>
      <c r="B15" s="20">
        <v>28113.139999999996</v>
      </c>
    </row>
    <row r="16" spans="1:2" x14ac:dyDescent="0.3">
      <c r="A16" s="3" t="s">
        <v>2746</v>
      </c>
      <c r="B16" s="20">
        <v>419394.59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8407A-9285-471F-BFF9-68C8586353EC}">
  <dimension ref="A3:N604"/>
  <sheetViews>
    <sheetView workbookViewId="0">
      <selection activeCell="J4" sqref="J4"/>
    </sheetView>
  </sheetViews>
  <sheetFormatPr defaultRowHeight="14.4" x14ac:dyDescent="0.3"/>
  <cols>
    <col min="1" max="1" width="20.44140625" bestFit="1" customWidth="1"/>
    <col min="2" max="2" width="11.5546875" customWidth="1"/>
  </cols>
  <sheetData>
    <row r="3" spans="1:14" x14ac:dyDescent="0.3">
      <c r="A3" s="19" t="s">
        <v>2745</v>
      </c>
      <c r="B3" t="s">
        <v>2748</v>
      </c>
    </row>
    <row r="4" spans="1:14" x14ac:dyDescent="0.3">
      <c r="A4" s="3" t="s">
        <v>1540</v>
      </c>
      <c r="B4" s="20">
        <v>8365.2099999999991</v>
      </c>
      <c r="C4" t="str">
        <f>A4</f>
        <v>Tamara Chand</v>
      </c>
      <c r="D4">
        <f>B4</f>
        <v>8365.2099999999991</v>
      </c>
    </row>
    <row r="5" spans="1:14" x14ac:dyDescent="0.3">
      <c r="A5" s="3" t="s">
        <v>494</v>
      </c>
      <c r="B5" s="20">
        <v>3056.98</v>
      </c>
      <c r="C5" t="str">
        <f t="shared" ref="C5:C8" si="0">A5</f>
        <v>Sanjit Engle</v>
      </c>
      <c r="D5">
        <f t="shared" ref="D5:D8" si="1">B5</f>
        <v>3056.98</v>
      </c>
      <c r="L5" s="10"/>
      <c r="M5" s="11"/>
      <c r="N5" s="12"/>
    </row>
    <row r="6" spans="1:14" x14ac:dyDescent="0.3">
      <c r="A6" s="3" t="s">
        <v>1562</v>
      </c>
      <c r="B6" s="20">
        <v>2445.3999999999996</v>
      </c>
      <c r="C6" t="str">
        <f t="shared" si="0"/>
        <v>Karen Daniels</v>
      </c>
      <c r="D6">
        <f t="shared" si="1"/>
        <v>2445.3999999999996</v>
      </c>
      <c r="L6" s="13"/>
      <c r="M6" s="14"/>
      <c r="N6" s="15"/>
    </row>
    <row r="7" spans="1:14" x14ac:dyDescent="0.3">
      <c r="A7" s="3" t="s">
        <v>174</v>
      </c>
      <c r="B7" s="20">
        <v>2390.8500000000004</v>
      </c>
      <c r="C7" t="str">
        <f t="shared" si="0"/>
        <v>Nathan Mautz</v>
      </c>
      <c r="D7">
        <f t="shared" si="1"/>
        <v>2390.8500000000004</v>
      </c>
      <c r="L7" s="13"/>
      <c r="M7" s="14"/>
      <c r="N7" s="15"/>
    </row>
    <row r="8" spans="1:14" x14ac:dyDescent="0.3">
      <c r="A8" s="3" t="s">
        <v>1361</v>
      </c>
      <c r="B8" s="20">
        <v>2297.3599999999997</v>
      </c>
      <c r="C8" t="str">
        <f t="shared" si="0"/>
        <v>Keith Dawkins</v>
      </c>
      <c r="D8">
        <f t="shared" si="1"/>
        <v>2297.3599999999997</v>
      </c>
      <c r="L8" s="13"/>
      <c r="M8" s="14"/>
      <c r="N8" s="15"/>
    </row>
    <row r="9" spans="1:14" x14ac:dyDescent="0.3">
      <c r="A9" s="3" t="s">
        <v>1482</v>
      </c>
      <c r="B9" s="20">
        <v>1418.78</v>
      </c>
      <c r="L9" s="13"/>
      <c r="M9" s="14"/>
      <c r="N9" s="15"/>
    </row>
    <row r="10" spans="1:14" x14ac:dyDescent="0.3">
      <c r="A10" s="3" t="s">
        <v>2208</v>
      </c>
      <c r="B10" s="20">
        <v>1417.74</v>
      </c>
      <c r="L10" s="13"/>
      <c r="M10" s="14"/>
      <c r="N10" s="15"/>
    </row>
    <row r="11" spans="1:14" x14ac:dyDescent="0.3">
      <c r="A11" s="3" t="s">
        <v>2420</v>
      </c>
      <c r="B11" s="20">
        <v>1160.4100000000001</v>
      </c>
      <c r="L11" s="13"/>
      <c r="M11" s="14"/>
      <c r="N11" s="15"/>
    </row>
    <row r="12" spans="1:14" x14ac:dyDescent="0.3">
      <c r="A12" s="3" t="s">
        <v>2396</v>
      </c>
      <c r="B12" s="20">
        <v>1153.33</v>
      </c>
      <c r="L12" s="13"/>
      <c r="M12" s="14"/>
      <c r="N12" s="15"/>
    </row>
    <row r="13" spans="1:14" x14ac:dyDescent="0.3">
      <c r="A13" s="3" t="s">
        <v>327</v>
      </c>
      <c r="B13" s="20">
        <v>1095.6599999999999</v>
      </c>
      <c r="L13" s="13"/>
      <c r="M13" s="14"/>
      <c r="N13" s="15"/>
    </row>
    <row r="14" spans="1:14" x14ac:dyDescent="0.3">
      <c r="A14" s="3" t="s">
        <v>1031</v>
      </c>
      <c r="B14" s="20">
        <v>990.80000000000007</v>
      </c>
      <c r="L14" s="13"/>
      <c r="M14" s="14"/>
      <c r="N14" s="15"/>
    </row>
    <row r="15" spans="1:14" x14ac:dyDescent="0.3">
      <c r="A15" s="3" t="s">
        <v>186</v>
      </c>
      <c r="B15" s="20">
        <v>863.23000000000013</v>
      </c>
      <c r="L15" s="13"/>
      <c r="M15" s="14"/>
      <c r="N15" s="15"/>
    </row>
    <row r="16" spans="1:14" x14ac:dyDescent="0.3">
      <c r="A16" s="3" t="s">
        <v>32</v>
      </c>
      <c r="B16" s="20">
        <v>829.8599999999999</v>
      </c>
      <c r="L16" s="13"/>
      <c r="M16" s="14"/>
      <c r="N16" s="15"/>
    </row>
    <row r="17" spans="1:14" x14ac:dyDescent="0.3">
      <c r="A17" s="3" t="s">
        <v>438</v>
      </c>
      <c r="B17" s="20">
        <v>764.84</v>
      </c>
      <c r="L17" s="13"/>
      <c r="M17" s="14"/>
      <c r="N17" s="15"/>
    </row>
    <row r="18" spans="1:14" x14ac:dyDescent="0.3">
      <c r="A18" s="3" t="s">
        <v>1078</v>
      </c>
      <c r="B18" s="20">
        <v>711.86</v>
      </c>
      <c r="L18" s="13"/>
      <c r="M18" s="14"/>
      <c r="N18" s="15"/>
    </row>
    <row r="19" spans="1:14" x14ac:dyDescent="0.3">
      <c r="A19" s="3" t="s">
        <v>697</v>
      </c>
      <c r="B19" s="20">
        <v>702.73000000000013</v>
      </c>
      <c r="L19" s="13"/>
      <c r="M19" s="14"/>
      <c r="N19" s="15"/>
    </row>
    <row r="20" spans="1:14" x14ac:dyDescent="0.3">
      <c r="A20" s="3" t="s">
        <v>2264</v>
      </c>
      <c r="B20" s="20">
        <v>685.27</v>
      </c>
      <c r="L20" s="13"/>
      <c r="M20" s="14"/>
      <c r="N20" s="15"/>
    </row>
    <row r="21" spans="1:14" x14ac:dyDescent="0.3">
      <c r="A21" s="3" t="s">
        <v>1903</v>
      </c>
      <c r="B21" s="20">
        <v>682.52</v>
      </c>
      <c r="L21" s="13"/>
      <c r="M21" s="14"/>
      <c r="N21" s="15"/>
    </row>
    <row r="22" spans="1:14" x14ac:dyDescent="0.3">
      <c r="A22" s="3" t="s">
        <v>161</v>
      </c>
      <c r="B22" s="20">
        <v>627.33000000000004</v>
      </c>
      <c r="L22" s="16"/>
      <c r="M22" s="17"/>
      <c r="N22" s="18"/>
    </row>
    <row r="23" spans="1:14" x14ac:dyDescent="0.3">
      <c r="A23" s="3" t="s">
        <v>1896</v>
      </c>
      <c r="B23" s="20">
        <v>619.13</v>
      </c>
    </row>
    <row r="24" spans="1:14" x14ac:dyDescent="0.3">
      <c r="A24" s="3" t="s">
        <v>1055</v>
      </c>
      <c r="B24" s="20">
        <v>618.98</v>
      </c>
    </row>
    <row r="25" spans="1:14" x14ac:dyDescent="0.3">
      <c r="A25" s="3" t="s">
        <v>733</v>
      </c>
      <c r="B25" s="20">
        <v>599.63000000000011</v>
      </c>
    </row>
    <row r="26" spans="1:14" x14ac:dyDescent="0.3">
      <c r="A26" s="3" t="s">
        <v>1412</v>
      </c>
      <c r="B26" s="20">
        <v>571.97</v>
      </c>
    </row>
    <row r="27" spans="1:14" x14ac:dyDescent="0.3">
      <c r="A27" s="3" t="s">
        <v>1073</v>
      </c>
      <c r="B27" s="20">
        <v>562.99</v>
      </c>
    </row>
    <row r="28" spans="1:14" x14ac:dyDescent="0.3">
      <c r="A28" s="3" t="s">
        <v>1782</v>
      </c>
      <c r="B28" s="20">
        <v>557.77</v>
      </c>
    </row>
    <row r="29" spans="1:14" x14ac:dyDescent="0.3">
      <c r="A29" s="3" t="s">
        <v>476</v>
      </c>
      <c r="B29" s="20">
        <v>552</v>
      </c>
    </row>
    <row r="30" spans="1:14" x14ac:dyDescent="0.3">
      <c r="A30" s="3" t="s">
        <v>469</v>
      </c>
      <c r="B30" s="20">
        <v>517.17999999999995</v>
      </c>
    </row>
    <row r="31" spans="1:14" x14ac:dyDescent="0.3">
      <c r="A31" s="3" t="s">
        <v>260</v>
      </c>
      <c r="B31" s="20">
        <v>478.22</v>
      </c>
    </row>
    <row r="32" spans="1:14" x14ac:dyDescent="0.3">
      <c r="A32" s="3" t="s">
        <v>1258</v>
      </c>
      <c r="B32" s="20">
        <v>467.94</v>
      </c>
    </row>
    <row r="33" spans="1:2" x14ac:dyDescent="0.3">
      <c r="A33" s="3" t="s">
        <v>1232</v>
      </c>
      <c r="B33" s="20">
        <v>463.68</v>
      </c>
    </row>
    <row r="34" spans="1:2" x14ac:dyDescent="0.3">
      <c r="A34" s="3" t="s">
        <v>1720</v>
      </c>
      <c r="B34" s="20">
        <v>454.42999999999995</v>
      </c>
    </row>
    <row r="35" spans="1:2" x14ac:dyDescent="0.3">
      <c r="A35" s="3" t="s">
        <v>119</v>
      </c>
      <c r="B35" s="20">
        <v>447.53999999999996</v>
      </c>
    </row>
    <row r="36" spans="1:2" x14ac:dyDescent="0.3">
      <c r="A36" s="3" t="s">
        <v>138</v>
      </c>
      <c r="B36" s="20">
        <v>440.76</v>
      </c>
    </row>
    <row r="37" spans="1:2" x14ac:dyDescent="0.3">
      <c r="A37" s="3" t="s">
        <v>2528</v>
      </c>
      <c r="B37" s="20">
        <v>437.72999999999996</v>
      </c>
    </row>
    <row r="38" spans="1:2" x14ac:dyDescent="0.3">
      <c r="A38" s="3" t="s">
        <v>478</v>
      </c>
      <c r="B38" s="20">
        <v>434.65999999999997</v>
      </c>
    </row>
    <row r="39" spans="1:2" x14ac:dyDescent="0.3">
      <c r="A39" s="3" t="s">
        <v>1152</v>
      </c>
      <c r="B39" s="20">
        <v>430.3</v>
      </c>
    </row>
    <row r="40" spans="1:2" x14ac:dyDescent="0.3">
      <c r="A40" s="3" t="s">
        <v>2386</v>
      </c>
      <c r="B40" s="20">
        <v>406.79</v>
      </c>
    </row>
    <row r="41" spans="1:2" x14ac:dyDescent="0.3">
      <c r="A41" s="3" t="s">
        <v>2054</v>
      </c>
      <c r="B41" s="20">
        <v>403.90000000000003</v>
      </c>
    </row>
    <row r="42" spans="1:2" x14ac:dyDescent="0.3">
      <c r="A42" s="3" t="s">
        <v>580</v>
      </c>
      <c r="B42" s="20">
        <v>381.21</v>
      </c>
    </row>
    <row r="43" spans="1:2" x14ac:dyDescent="0.3">
      <c r="A43" s="3" t="s">
        <v>2056</v>
      </c>
      <c r="B43" s="20">
        <v>378.53</v>
      </c>
    </row>
    <row r="44" spans="1:2" x14ac:dyDescent="0.3">
      <c r="A44" s="3" t="s">
        <v>980</v>
      </c>
      <c r="B44" s="20">
        <v>377.99</v>
      </c>
    </row>
    <row r="45" spans="1:2" x14ac:dyDescent="0.3">
      <c r="A45" s="3" t="s">
        <v>1591</v>
      </c>
      <c r="B45" s="20">
        <v>377.73</v>
      </c>
    </row>
    <row r="46" spans="1:2" x14ac:dyDescent="0.3">
      <c r="A46" s="3" t="s">
        <v>1673</v>
      </c>
      <c r="B46" s="20">
        <v>376.62</v>
      </c>
    </row>
    <row r="47" spans="1:2" x14ac:dyDescent="0.3">
      <c r="A47" s="3" t="s">
        <v>2060</v>
      </c>
      <c r="B47" s="20">
        <v>374.64</v>
      </c>
    </row>
    <row r="48" spans="1:2" x14ac:dyDescent="0.3">
      <c r="A48" s="3" t="s">
        <v>611</v>
      </c>
      <c r="B48" s="20">
        <v>370.83</v>
      </c>
    </row>
    <row r="49" spans="1:2" x14ac:dyDescent="0.3">
      <c r="A49" s="3" t="s">
        <v>2044</v>
      </c>
      <c r="B49" s="20">
        <v>369.59</v>
      </c>
    </row>
    <row r="50" spans="1:2" x14ac:dyDescent="0.3">
      <c r="A50" s="3" t="s">
        <v>749</v>
      </c>
      <c r="B50" s="20">
        <v>367.28999999999996</v>
      </c>
    </row>
    <row r="51" spans="1:2" x14ac:dyDescent="0.3">
      <c r="A51" s="3" t="s">
        <v>985</v>
      </c>
      <c r="B51" s="20">
        <v>360</v>
      </c>
    </row>
    <row r="52" spans="1:2" x14ac:dyDescent="0.3">
      <c r="A52" s="3" t="s">
        <v>425</v>
      </c>
      <c r="B52" s="20">
        <v>341.38</v>
      </c>
    </row>
    <row r="53" spans="1:2" x14ac:dyDescent="0.3">
      <c r="A53" s="3" t="s">
        <v>125</v>
      </c>
      <c r="B53" s="20">
        <v>340.05999999999995</v>
      </c>
    </row>
    <row r="54" spans="1:2" x14ac:dyDescent="0.3">
      <c r="A54" s="3" t="s">
        <v>776</v>
      </c>
      <c r="B54" s="20">
        <v>339.81</v>
      </c>
    </row>
    <row r="55" spans="1:2" x14ac:dyDescent="0.3">
      <c r="A55" s="3" t="s">
        <v>1046</v>
      </c>
      <c r="B55" s="20">
        <v>333.35</v>
      </c>
    </row>
    <row r="56" spans="1:2" x14ac:dyDescent="0.3">
      <c r="A56" s="3" t="s">
        <v>1145</v>
      </c>
      <c r="B56" s="20">
        <v>321.04000000000002</v>
      </c>
    </row>
    <row r="57" spans="1:2" x14ac:dyDescent="0.3">
      <c r="A57" s="3" t="s">
        <v>484</v>
      </c>
      <c r="B57" s="20">
        <v>317.81</v>
      </c>
    </row>
    <row r="58" spans="1:2" x14ac:dyDescent="0.3">
      <c r="A58" s="3" t="s">
        <v>1888</v>
      </c>
      <c r="B58" s="20">
        <v>311.99</v>
      </c>
    </row>
    <row r="59" spans="1:2" x14ac:dyDescent="0.3">
      <c r="A59" s="3" t="s">
        <v>1183</v>
      </c>
      <c r="B59" s="20">
        <v>303.58999999999997</v>
      </c>
    </row>
    <row r="60" spans="1:2" x14ac:dyDescent="0.3">
      <c r="A60" s="3" t="s">
        <v>741</v>
      </c>
      <c r="B60" s="20">
        <v>283.31000000000006</v>
      </c>
    </row>
    <row r="61" spans="1:2" x14ac:dyDescent="0.3">
      <c r="A61" s="3" t="s">
        <v>107</v>
      </c>
      <c r="B61" s="20">
        <v>273.17</v>
      </c>
    </row>
    <row r="62" spans="1:2" x14ac:dyDescent="0.3">
      <c r="A62" s="3" t="s">
        <v>251</v>
      </c>
      <c r="B62" s="20">
        <v>268.21999999999997</v>
      </c>
    </row>
    <row r="63" spans="1:2" x14ac:dyDescent="0.3">
      <c r="A63" s="3" t="s">
        <v>497</v>
      </c>
      <c r="B63" s="20">
        <v>265.42</v>
      </c>
    </row>
    <row r="64" spans="1:2" x14ac:dyDescent="0.3">
      <c r="A64" s="3" t="s">
        <v>191</v>
      </c>
      <c r="B64" s="20">
        <v>256.93</v>
      </c>
    </row>
    <row r="65" spans="1:2" x14ac:dyDescent="0.3">
      <c r="A65" s="3" t="s">
        <v>1022</v>
      </c>
      <c r="B65" s="20">
        <v>255.58000000000004</v>
      </c>
    </row>
    <row r="66" spans="1:2" x14ac:dyDescent="0.3">
      <c r="A66" s="3" t="s">
        <v>868</v>
      </c>
      <c r="B66" s="20">
        <v>252.32</v>
      </c>
    </row>
    <row r="67" spans="1:2" x14ac:dyDescent="0.3">
      <c r="A67" s="3" t="s">
        <v>1098</v>
      </c>
      <c r="B67" s="20">
        <v>251.04000000000002</v>
      </c>
    </row>
    <row r="68" spans="1:2" x14ac:dyDescent="0.3">
      <c r="A68" s="3" t="s">
        <v>793</v>
      </c>
      <c r="B68" s="20">
        <v>240.86</v>
      </c>
    </row>
    <row r="69" spans="1:2" x14ac:dyDescent="0.3">
      <c r="A69" s="3" t="s">
        <v>1676</v>
      </c>
      <c r="B69" s="20">
        <v>234.86</v>
      </c>
    </row>
    <row r="70" spans="1:2" x14ac:dyDescent="0.3">
      <c r="A70" s="3" t="s">
        <v>1064</v>
      </c>
      <c r="B70" s="20">
        <v>227.95999999999998</v>
      </c>
    </row>
    <row r="71" spans="1:2" x14ac:dyDescent="0.3">
      <c r="A71" s="3" t="s">
        <v>1330</v>
      </c>
      <c r="B71" s="20">
        <v>226.89</v>
      </c>
    </row>
    <row r="72" spans="1:2" x14ac:dyDescent="0.3">
      <c r="A72" s="3" t="s">
        <v>1125</v>
      </c>
      <c r="B72" s="20">
        <v>226.29</v>
      </c>
    </row>
    <row r="73" spans="1:2" x14ac:dyDescent="0.3">
      <c r="A73" s="3" t="s">
        <v>2493</v>
      </c>
      <c r="B73" s="20">
        <v>225.10999999999999</v>
      </c>
    </row>
    <row r="74" spans="1:2" x14ac:dyDescent="0.3">
      <c r="A74" s="3" t="s">
        <v>1841</v>
      </c>
      <c r="B74" s="20">
        <v>223.89</v>
      </c>
    </row>
    <row r="75" spans="1:2" x14ac:dyDescent="0.3">
      <c r="A75" s="3" t="s">
        <v>948</v>
      </c>
      <c r="B75" s="20">
        <v>223.23999999999998</v>
      </c>
    </row>
    <row r="76" spans="1:2" x14ac:dyDescent="0.3">
      <c r="A76" s="3" t="s">
        <v>1223</v>
      </c>
      <c r="B76" s="20">
        <v>218.42</v>
      </c>
    </row>
    <row r="77" spans="1:2" x14ac:dyDescent="0.3">
      <c r="A77" s="3" t="s">
        <v>617</v>
      </c>
      <c r="B77" s="20">
        <v>218.32999999999998</v>
      </c>
    </row>
    <row r="78" spans="1:2" x14ac:dyDescent="0.3">
      <c r="A78" s="3" t="s">
        <v>1660</v>
      </c>
      <c r="B78" s="20">
        <v>215.99</v>
      </c>
    </row>
    <row r="79" spans="1:2" x14ac:dyDescent="0.3">
      <c r="A79" s="3" t="s">
        <v>1464</v>
      </c>
      <c r="B79" s="20">
        <v>215.09</v>
      </c>
    </row>
    <row r="80" spans="1:2" x14ac:dyDescent="0.3">
      <c r="A80" s="3" t="s">
        <v>1306</v>
      </c>
      <c r="B80" s="20">
        <v>212.28</v>
      </c>
    </row>
    <row r="81" spans="1:2" x14ac:dyDescent="0.3">
      <c r="A81" s="3" t="s">
        <v>151</v>
      </c>
      <c r="B81" s="20">
        <v>206.32</v>
      </c>
    </row>
    <row r="82" spans="1:2" x14ac:dyDescent="0.3">
      <c r="A82" s="3" t="s">
        <v>508</v>
      </c>
      <c r="B82" s="20">
        <v>201.5</v>
      </c>
    </row>
    <row r="83" spans="1:2" x14ac:dyDescent="0.3">
      <c r="A83" s="3" t="s">
        <v>248</v>
      </c>
      <c r="B83" s="20">
        <v>199.77</v>
      </c>
    </row>
    <row r="84" spans="1:2" x14ac:dyDescent="0.3">
      <c r="A84" s="3" t="s">
        <v>1511</v>
      </c>
      <c r="B84" s="20">
        <v>198.58999999999995</v>
      </c>
    </row>
    <row r="85" spans="1:2" x14ac:dyDescent="0.3">
      <c r="A85" s="3" t="s">
        <v>1119</v>
      </c>
      <c r="B85" s="20">
        <v>197.81</v>
      </c>
    </row>
    <row r="86" spans="1:2" x14ac:dyDescent="0.3">
      <c r="A86" s="3" t="s">
        <v>789</v>
      </c>
      <c r="B86" s="20">
        <v>196.63</v>
      </c>
    </row>
    <row r="87" spans="1:2" x14ac:dyDescent="0.3">
      <c r="A87" s="3" t="s">
        <v>633</v>
      </c>
      <c r="B87" s="20">
        <v>195.35</v>
      </c>
    </row>
    <row r="88" spans="1:2" x14ac:dyDescent="0.3">
      <c r="A88" s="3" t="s">
        <v>1548</v>
      </c>
      <c r="B88" s="20">
        <v>194.72</v>
      </c>
    </row>
    <row r="89" spans="1:2" x14ac:dyDescent="0.3">
      <c r="A89" s="3" t="s">
        <v>1262</v>
      </c>
      <c r="B89" s="20">
        <v>185.77</v>
      </c>
    </row>
    <row r="90" spans="1:2" x14ac:dyDescent="0.3">
      <c r="A90" s="3" t="s">
        <v>1753</v>
      </c>
      <c r="B90" s="20">
        <v>182.61</v>
      </c>
    </row>
    <row r="91" spans="1:2" x14ac:dyDescent="0.3">
      <c r="A91" s="3" t="s">
        <v>882</v>
      </c>
      <c r="B91" s="20">
        <v>181.24</v>
      </c>
    </row>
    <row r="92" spans="1:2" x14ac:dyDescent="0.3">
      <c r="A92" s="3" t="s">
        <v>1481</v>
      </c>
      <c r="B92" s="20">
        <v>180.7</v>
      </c>
    </row>
    <row r="93" spans="1:2" x14ac:dyDescent="0.3">
      <c r="A93" s="3" t="s">
        <v>1527</v>
      </c>
      <c r="B93" s="20">
        <v>179.79999999999998</v>
      </c>
    </row>
    <row r="94" spans="1:2" x14ac:dyDescent="0.3">
      <c r="A94" s="3" t="s">
        <v>2118</v>
      </c>
      <c r="B94" s="20">
        <v>178.38</v>
      </c>
    </row>
    <row r="95" spans="1:2" x14ac:dyDescent="0.3">
      <c r="A95" s="3" t="s">
        <v>82</v>
      </c>
      <c r="B95" s="20">
        <v>174.29</v>
      </c>
    </row>
    <row r="96" spans="1:2" x14ac:dyDescent="0.3">
      <c r="A96" s="3" t="s">
        <v>1975</v>
      </c>
      <c r="B96" s="20">
        <v>173.97</v>
      </c>
    </row>
    <row r="97" spans="1:2" x14ac:dyDescent="0.3">
      <c r="A97" s="3" t="s">
        <v>1254</v>
      </c>
      <c r="B97" s="20">
        <v>173.26999999999998</v>
      </c>
    </row>
    <row r="98" spans="1:2" x14ac:dyDescent="0.3">
      <c r="A98" s="3" t="s">
        <v>694</v>
      </c>
      <c r="B98" s="20">
        <v>172.66</v>
      </c>
    </row>
    <row r="99" spans="1:2" x14ac:dyDescent="0.3">
      <c r="A99" s="3" t="s">
        <v>453</v>
      </c>
      <c r="B99" s="20">
        <v>172.23000000000002</v>
      </c>
    </row>
    <row r="100" spans="1:2" x14ac:dyDescent="0.3">
      <c r="A100" s="3" t="s">
        <v>1585</v>
      </c>
      <c r="B100" s="20">
        <v>167.47000000000003</v>
      </c>
    </row>
    <row r="101" spans="1:2" x14ac:dyDescent="0.3">
      <c r="A101" s="3" t="s">
        <v>1846</v>
      </c>
      <c r="B101" s="20">
        <v>161.07</v>
      </c>
    </row>
    <row r="102" spans="1:2" x14ac:dyDescent="0.3">
      <c r="A102" s="3" t="s">
        <v>2135</v>
      </c>
      <c r="B102" s="20">
        <v>160.27000000000001</v>
      </c>
    </row>
    <row r="103" spans="1:2" x14ac:dyDescent="0.3">
      <c r="A103" s="3" t="s">
        <v>433</v>
      </c>
      <c r="B103" s="20">
        <v>160.09000000000003</v>
      </c>
    </row>
    <row r="104" spans="1:2" x14ac:dyDescent="0.3">
      <c r="A104" s="3" t="s">
        <v>1796</v>
      </c>
      <c r="B104" s="20">
        <v>158.42999999999998</v>
      </c>
    </row>
    <row r="105" spans="1:2" x14ac:dyDescent="0.3">
      <c r="A105" s="3" t="s">
        <v>231</v>
      </c>
      <c r="B105" s="20">
        <v>156.5</v>
      </c>
    </row>
    <row r="106" spans="1:2" x14ac:dyDescent="0.3">
      <c r="A106" s="3" t="s">
        <v>431</v>
      </c>
      <c r="B106" s="20">
        <v>153.05000000000001</v>
      </c>
    </row>
    <row r="107" spans="1:2" x14ac:dyDescent="0.3">
      <c r="A107" s="3" t="s">
        <v>1452</v>
      </c>
      <c r="B107" s="20">
        <v>144.35</v>
      </c>
    </row>
    <row r="108" spans="1:2" x14ac:dyDescent="0.3">
      <c r="A108" s="3" t="s">
        <v>1917</v>
      </c>
      <c r="B108" s="20">
        <v>143.91</v>
      </c>
    </row>
    <row r="109" spans="1:2" x14ac:dyDescent="0.3">
      <c r="A109" s="3" t="s">
        <v>1643</v>
      </c>
      <c r="B109" s="20">
        <v>140.82999999999998</v>
      </c>
    </row>
    <row r="110" spans="1:2" x14ac:dyDescent="0.3">
      <c r="A110" s="3" t="s">
        <v>1283</v>
      </c>
      <c r="B110" s="20">
        <v>139.15</v>
      </c>
    </row>
    <row r="111" spans="1:2" x14ac:dyDescent="0.3">
      <c r="A111" s="3" t="s">
        <v>1559</v>
      </c>
      <c r="B111" s="20">
        <v>138.55000000000001</v>
      </c>
    </row>
    <row r="112" spans="1:2" x14ac:dyDescent="0.3">
      <c r="A112" s="3" t="s">
        <v>563</v>
      </c>
      <c r="B112" s="20">
        <v>136.24</v>
      </c>
    </row>
    <row r="113" spans="1:2" x14ac:dyDescent="0.3">
      <c r="A113" s="3" t="s">
        <v>969</v>
      </c>
      <c r="B113" s="20">
        <v>133.32</v>
      </c>
    </row>
    <row r="114" spans="1:2" x14ac:dyDescent="0.3">
      <c r="A114" s="3" t="s">
        <v>1502</v>
      </c>
      <c r="B114" s="20">
        <v>132.57</v>
      </c>
    </row>
    <row r="115" spans="1:2" x14ac:dyDescent="0.3">
      <c r="A115" s="3" t="s">
        <v>798</v>
      </c>
      <c r="B115" s="20">
        <v>131.63999999999999</v>
      </c>
    </row>
    <row r="116" spans="1:2" x14ac:dyDescent="0.3">
      <c r="A116" s="3" t="s">
        <v>1712</v>
      </c>
      <c r="B116" s="20">
        <v>130.94</v>
      </c>
    </row>
    <row r="117" spans="1:2" x14ac:dyDescent="0.3">
      <c r="A117" s="3" t="s">
        <v>246</v>
      </c>
      <c r="B117" s="20">
        <v>130.69999999999999</v>
      </c>
    </row>
    <row r="118" spans="1:2" x14ac:dyDescent="0.3">
      <c r="A118" s="3" t="s">
        <v>1881</v>
      </c>
      <c r="B118" s="20">
        <v>129.29</v>
      </c>
    </row>
    <row r="119" spans="1:2" x14ac:dyDescent="0.3">
      <c r="A119" s="3" t="s">
        <v>389</v>
      </c>
      <c r="B119" s="20">
        <v>127.45000000000002</v>
      </c>
    </row>
    <row r="120" spans="1:2" x14ac:dyDescent="0.3">
      <c r="A120" s="3" t="s">
        <v>292</v>
      </c>
      <c r="B120" s="20">
        <v>126.94</v>
      </c>
    </row>
    <row r="121" spans="1:2" x14ac:dyDescent="0.3">
      <c r="A121" s="3" t="s">
        <v>2087</v>
      </c>
      <c r="B121" s="20">
        <v>126.9</v>
      </c>
    </row>
    <row r="122" spans="1:2" x14ac:dyDescent="0.3">
      <c r="A122" s="3" t="s">
        <v>1384</v>
      </c>
      <c r="B122" s="20">
        <v>125.31999999999998</v>
      </c>
    </row>
    <row r="123" spans="1:2" x14ac:dyDescent="0.3">
      <c r="A123" s="3" t="s">
        <v>499</v>
      </c>
      <c r="B123" s="20">
        <v>124.94</v>
      </c>
    </row>
    <row r="124" spans="1:2" x14ac:dyDescent="0.3">
      <c r="A124" s="3" t="s">
        <v>1838</v>
      </c>
      <c r="B124" s="20">
        <v>122.44</v>
      </c>
    </row>
    <row r="125" spans="1:2" x14ac:dyDescent="0.3">
      <c r="A125" s="3" t="s">
        <v>402</v>
      </c>
      <c r="B125" s="20">
        <v>122.32</v>
      </c>
    </row>
    <row r="126" spans="1:2" x14ac:dyDescent="0.3">
      <c r="A126" s="3" t="s">
        <v>268</v>
      </c>
      <c r="B126" s="20">
        <v>119.35000000000002</v>
      </c>
    </row>
    <row r="127" spans="1:2" x14ac:dyDescent="0.3">
      <c r="A127" s="3" t="s">
        <v>574</v>
      </c>
      <c r="B127" s="20">
        <v>118.08</v>
      </c>
    </row>
    <row r="128" spans="1:2" x14ac:dyDescent="0.3">
      <c r="A128" s="3" t="s">
        <v>1226</v>
      </c>
      <c r="B128" s="20">
        <v>118.06</v>
      </c>
    </row>
    <row r="129" spans="1:2" x14ac:dyDescent="0.3">
      <c r="A129" s="3" t="s">
        <v>406</v>
      </c>
      <c r="B129" s="20">
        <v>117.91</v>
      </c>
    </row>
    <row r="130" spans="1:2" x14ac:dyDescent="0.3">
      <c r="A130" s="3" t="s">
        <v>1702</v>
      </c>
      <c r="B130" s="20">
        <v>117.61</v>
      </c>
    </row>
    <row r="131" spans="1:2" x14ac:dyDescent="0.3">
      <c r="A131" s="3" t="s">
        <v>652</v>
      </c>
      <c r="B131" s="20">
        <v>116.12</v>
      </c>
    </row>
    <row r="132" spans="1:2" x14ac:dyDescent="0.3">
      <c r="A132" s="3" t="s">
        <v>2470</v>
      </c>
      <c r="B132" s="20">
        <v>115.69</v>
      </c>
    </row>
    <row r="133" spans="1:2" x14ac:dyDescent="0.3">
      <c r="A133" s="3" t="s">
        <v>461</v>
      </c>
      <c r="B133" s="20">
        <v>113.13</v>
      </c>
    </row>
    <row r="134" spans="1:2" x14ac:dyDescent="0.3">
      <c r="A134" s="3" t="s">
        <v>2504</v>
      </c>
      <c r="B134" s="20">
        <v>112.13999999999999</v>
      </c>
    </row>
    <row r="135" spans="1:2" x14ac:dyDescent="0.3">
      <c r="A135" s="3" t="s">
        <v>1003</v>
      </c>
      <c r="B135" s="20">
        <v>111.94</v>
      </c>
    </row>
    <row r="136" spans="1:2" x14ac:dyDescent="0.3">
      <c r="A136" s="3" t="s">
        <v>1293</v>
      </c>
      <c r="B136" s="20">
        <v>111.46</v>
      </c>
    </row>
    <row r="137" spans="1:2" x14ac:dyDescent="0.3">
      <c r="A137" s="3" t="s">
        <v>774</v>
      </c>
      <c r="B137" s="20">
        <v>109.52000000000001</v>
      </c>
    </row>
    <row r="138" spans="1:2" x14ac:dyDescent="0.3">
      <c r="A138" s="3" t="s">
        <v>440</v>
      </c>
      <c r="B138" s="20">
        <v>108.07</v>
      </c>
    </row>
    <row r="139" spans="1:2" x14ac:dyDescent="0.3">
      <c r="A139" s="3" t="s">
        <v>2199</v>
      </c>
      <c r="B139" s="20">
        <v>105.53999999999999</v>
      </c>
    </row>
    <row r="140" spans="1:2" x14ac:dyDescent="0.3">
      <c r="A140" s="3" t="s">
        <v>738</v>
      </c>
      <c r="B140" s="20">
        <v>104.79</v>
      </c>
    </row>
    <row r="141" spans="1:2" x14ac:dyDescent="0.3">
      <c r="A141" s="3" t="s">
        <v>522</v>
      </c>
      <c r="B141" s="20">
        <v>103.94</v>
      </c>
    </row>
    <row r="142" spans="1:2" x14ac:dyDescent="0.3">
      <c r="A142" s="3" t="s">
        <v>446</v>
      </c>
      <c r="B142" s="20">
        <v>103.87</v>
      </c>
    </row>
    <row r="143" spans="1:2" x14ac:dyDescent="0.3">
      <c r="A143" s="3" t="s">
        <v>1269</v>
      </c>
      <c r="B143" s="20">
        <v>102.93</v>
      </c>
    </row>
    <row r="144" spans="1:2" x14ac:dyDescent="0.3">
      <c r="A144" s="3" t="s">
        <v>262</v>
      </c>
      <c r="B144" s="20">
        <v>102.6</v>
      </c>
    </row>
    <row r="145" spans="1:2" x14ac:dyDescent="0.3">
      <c r="A145" s="3" t="s">
        <v>1087</v>
      </c>
      <c r="B145" s="20">
        <v>100.21</v>
      </c>
    </row>
    <row r="146" spans="1:2" x14ac:dyDescent="0.3">
      <c r="A146" s="3" t="s">
        <v>609</v>
      </c>
      <c r="B146" s="20">
        <v>99.96</v>
      </c>
    </row>
    <row r="147" spans="1:2" x14ac:dyDescent="0.3">
      <c r="A147" s="3" t="s">
        <v>1245</v>
      </c>
      <c r="B147" s="20">
        <v>98.59</v>
      </c>
    </row>
    <row r="148" spans="1:2" x14ac:dyDescent="0.3">
      <c r="A148" s="3" t="s">
        <v>275</v>
      </c>
      <c r="B148" s="20">
        <v>98.25</v>
      </c>
    </row>
    <row r="149" spans="1:2" x14ac:dyDescent="0.3">
      <c r="A149" s="3" t="s">
        <v>1247</v>
      </c>
      <c r="B149" s="20">
        <v>97.43</v>
      </c>
    </row>
    <row r="150" spans="1:2" x14ac:dyDescent="0.3">
      <c r="A150" s="3" t="s">
        <v>2224</v>
      </c>
      <c r="B150" s="20">
        <v>96.78</v>
      </c>
    </row>
    <row r="151" spans="1:2" x14ac:dyDescent="0.3">
      <c r="A151" s="3" t="s">
        <v>642</v>
      </c>
      <c r="B151" s="20">
        <v>96.350000000000009</v>
      </c>
    </row>
    <row r="152" spans="1:2" x14ac:dyDescent="0.3">
      <c r="A152" s="3" t="s">
        <v>1414</v>
      </c>
      <c r="B152" s="20">
        <v>96.080000000000013</v>
      </c>
    </row>
    <row r="153" spans="1:2" x14ac:dyDescent="0.3">
      <c r="A153" s="3" t="s">
        <v>1018</v>
      </c>
      <c r="B153" s="20">
        <v>94.12</v>
      </c>
    </row>
    <row r="154" spans="1:2" x14ac:dyDescent="0.3">
      <c r="A154" s="3" t="s">
        <v>1582</v>
      </c>
      <c r="B154" s="20">
        <v>93.59</v>
      </c>
    </row>
    <row r="155" spans="1:2" x14ac:dyDescent="0.3">
      <c r="A155" s="3" t="s">
        <v>178</v>
      </c>
      <c r="B155" s="20">
        <v>93.33</v>
      </c>
    </row>
    <row r="156" spans="1:2" x14ac:dyDescent="0.3">
      <c r="A156" s="3" t="s">
        <v>586</v>
      </c>
      <c r="B156" s="20">
        <v>92.93</v>
      </c>
    </row>
    <row r="157" spans="1:2" x14ac:dyDescent="0.3">
      <c r="A157" s="3" t="s">
        <v>1186</v>
      </c>
      <c r="B157" s="20">
        <v>90.73</v>
      </c>
    </row>
    <row r="158" spans="1:2" x14ac:dyDescent="0.3">
      <c r="A158" s="3" t="s">
        <v>664</v>
      </c>
      <c r="B158" s="20">
        <v>90.29</v>
      </c>
    </row>
    <row r="159" spans="1:2" x14ac:dyDescent="0.3">
      <c r="A159" s="3" t="s">
        <v>589</v>
      </c>
      <c r="B159" s="20">
        <v>90</v>
      </c>
    </row>
    <row r="160" spans="1:2" x14ac:dyDescent="0.3">
      <c r="A160" s="3" t="s">
        <v>659</v>
      </c>
      <c r="B160" s="20">
        <v>89.8</v>
      </c>
    </row>
    <row r="161" spans="1:2" x14ac:dyDescent="0.3">
      <c r="A161" s="3" t="s">
        <v>1698</v>
      </c>
      <c r="B161" s="20">
        <v>89.31</v>
      </c>
    </row>
    <row r="162" spans="1:2" x14ac:dyDescent="0.3">
      <c r="A162" s="3" t="s">
        <v>1136</v>
      </c>
      <c r="B162" s="20">
        <v>86.39</v>
      </c>
    </row>
    <row r="163" spans="1:2" x14ac:dyDescent="0.3">
      <c r="A163" s="3" t="s">
        <v>337</v>
      </c>
      <c r="B163" s="20">
        <v>85.49</v>
      </c>
    </row>
    <row r="164" spans="1:2" x14ac:dyDescent="0.3">
      <c r="A164" s="3" t="s">
        <v>1840</v>
      </c>
      <c r="B164" s="20">
        <v>85.45</v>
      </c>
    </row>
    <row r="165" spans="1:2" x14ac:dyDescent="0.3">
      <c r="A165" s="3" t="s">
        <v>613</v>
      </c>
      <c r="B165" s="20">
        <v>84.94</v>
      </c>
    </row>
    <row r="166" spans="1:2" x14ac:dyDescent="0.3">
      <c r="A166" s="3" t="s">
        <v>1040</v>
      </c>
      <c r="B166" s="20">
        <v>84.36</v>
      </c>
    </row>
    <row r="167" spans="1:2" x14ac:dyDescent="0.3">
      <c r="A167" s="3" t="s">
        <v>1053</v>
      </c>
      <c r="B167" s="20">
        <v>83.99</v>
      </c>
    </row>
    <row r="168" spans="1:2" x14ac:dyDescent="0.3">
      <c r="A168" s="3" t="s">
        <v>1725</v>
      </c>
      <c r="B168" s="20">
        <v>83.03</v>
      </c>
    </row>
    <row r="169" spans="1:2" x14ac:dyDescent="0.3">
      <c r="A169" s="3" t="s">
        <v>895</v>
      </c>
      <c r="B169" s="20">
        <v>82.95</v>
      </c>
    </row>
    <row r="170" spans="1:2" x14ac:dyDescent="0.3">
      <c r="A170" s="3" t="s">
        <v>759</v>
      </c>
      <c r="B170" s="20">
        <v>82.409999999999982</v>
      </c>
    </row>
    <row r="171" spans="1:2" x14ac:dyDescent="0.3">
      <c r="A171" s="3" t="s">
        <v>1301</v>
      </c>
      <c r="B171" s="20">
        <v>82.31</v>
      </c>
    </row>
    <row r="172" spans="1:2" x14ac:dyDescent="0.3">
      <c r="A172" s="3" t="s">
        <v>1350</v>
      </c>
      <c r="B172" s="20">
        <v>81.98</v>
      </c>
    </row>
    <row r="173" spans="1:2" x14ac:dyDescent="0.3">
      <c r="A173" s="3" t="s">
        <v>360</v>
      </c>
      <c r="B173" s="20">
        <v>81.11</v>
      </c>
    </row>
    <row r="174" spans="1:2" x14ac:dyDescent="0.3">
      <c r="A174" s="3" t="s">
        <v>385</v>
      </c>
      <c r="B174" s="20">
        <v>81.03</v>
      </c>
    </row>
    <row r="175" spans="1:2" x14ac:dyDescent="0.3">
      <c r="A175" s="3" t="s">
        <v>2144</v>
      </c>
      <c r="B175" s="20">
        <v>77.7</v>
      </c>
    </row>
    <row r="176" spans="1:2" x14ac:dyDescent="0.3">
      <c r="A176" s="3" t="s">
        <v>1426</v>
      </c>
      <c r="B176" s="20">
        <v>77.53</v>
      </c>
    </row>
    <row r="177" spans="1:2" x14ac:dyDescent="0.3">
      <c r="A177" s="3" t="s">
        <v>556</v>
      </c>
      <c r="B177" s="20">
        <v>76.94</v>
      </c>
    </row>
    <row r="178" spans="1:2" x14ac:dyDescent="0.3">
      <c r="A178" s="3" t="s">
        <v>858</v>
      </c>
      <c r="B178" s="20">
        <v>76.759999999999991</v>
      </c>
    </row>
    <row r="179" spans="1:2" x14ac:dyDescent="0.3">
      <c r="A179" s="3" t="s">
        <v>1700</v>
      </c>
      <c r="B179" s="20">
        <v>76.64</v>
      </c>
    </row>
    <row r="180" spans="1:2" x14ac:dyDescent="0.3">
      <c r="A180" s="3" t="s">
        <v>2007</v>
      </c>
      <c r="B180" s="20">
        <v>74.92</v>
      </c>
    </row>
    <row r="181" spans="1:2" x14ac:dyDescent="0.3">
      <c r="A181" s="3" t="s">
        <v>2519</v>
      </c>
      <c r="B181" s="20">
        <v>73.41</v>
      </c>
    </row>
    <row r="182" spans="1:2" x14ac:dyDescent="0.3">
      <c r="A182" s="3" t="s">
        <v>1706</v>
      </c>
      <c r="B182" s="20">
        <v>72.58</v>
      </c>
    </row>
    <row r="183" spans="1:2" x14ac:dyDescent="0.3">
      <c r="A183" s="3" t="s">
        <v>532</v>
      </c>
      <c r="B183" s="20">
        <v>71.92</v>
      </c>
    </row>
    <row r="184" spans="1:2" x14ac:dyDescent="0.3">
      <c r="A184" s="3" t="s">
        <v>204</v>
      </c>
      <c r="B184" s="20">
        <v>69.710000000000008</v>
      </c>
    </row>
    <row r="185" spans="1:2" x14ac:dyDescent="0.3">
      <c r="A185" s="3" t="s">
        <v>2404</v>
      </c>
      <c r="B185" s="20">
        <v>69.42</v>
      </c>
    </row>
    <row r="186" spans="1:2" x14ac:dyDescent="0.3">
      <c r="A186" s="3" t="s">
        <v>1557</v>
      </c>
      <c r="B186" s="20">
        <v>69.069999999999993</v>
      </c>
    </row>
    <row r="187" spans="1:2" x14ac:dyDescent="0.3">
      <c r="A187" s="3" t="s">
        <v>724</v>
      </c>
      <c r="B187" s="20">
        <v>68.36</v>
      </c>
    </row>
    <row r="188" spans="1:2" x14ac:dyDescent="0.3">
      <c r="A188" s="3" t="s">
        <v>170</v>
      </c>
      <c r="B188" s="20">
        <v>67.77000000000001</v>
      </c>
    </row>
    <row r="189" spans="1:2" x14ac:dyDescent="0.3">
      <c r="A189" s="3" t="s">
        <v>1578</v>
      </c>
      <c r="B189" s="20">
        <v>67.010000000000005</v>
      </c>
    </row>
    <row r="190" spans="1:2" x14ac:dyDescent="0.3">
      <c r="A190" s="3" t="s">
        <v>1862</v>
      </c>
      <c r="B190" s="20">
        <v>67</v>
      </c>
    </row>
    <row r="191" spans="1:2" x14ac:dyDescent="0.3">
      <c r="A191" s="3" t="s">
        <v>1310</v>
      </c>
      <c r="B191" s="20">
        <v>66.13</v>
      </c>
    </row>
    <row r="192" spans="1:2" x14ac:dyDescent="0.3">
      <c r="A192" s="3" t="s">
        <v>1612</v>
      </c>
      <c r="B192" s="20">
        <v>65.780000000000015</v>
      </c>
    </row>
    <row r="193" spans="1:2" x14ac:dyDescent="0.3">
      <c r="A193" s="3" t="s">
        <v>1654</v>
      </c>
      <c r="B193" s="20">
        <v>65.510000000000005</v>
      </c>
    </row>
    <row r="194" spans="1:2" x14ac:dyDescent="0.3">
      <c r="A194" s="3" t="s">
        <v>1759</v>
      </c>
      <c r="B194" s="20">
        <v>65.500000000000028</v>
      </c>
    </row>
    <row r="195" spans="1:2" x14ac:dyDescent="0.3">
      <c r="A195" s="3" t="s">
        <v>2269</v>
      </c>
      <c r="B195" s="20">
        <v>65.45</v>
      </c>
    </row>
    <row r="196" spans="1:2" x14ac:dyDescent="0.3">
      <c r="A196" s="3" t="s">
        <v>1580</v>
      </c>
      <c r="B196" s="20">
        <v>65.28</v>
      </c>
    </row>
    <row r="197" spans="1:2" x14ac:dyDescent="0.3">
      <c r="A197" s="3" t="s">
        <v>2079</v>
      </c>
      <c r="B197" s="20">
        <v>64.240000000000009</v>
      </c>
    </row>
    <row r="198" spans="1:2" x14ac:dyDescent="0.3">
      <c r="A198" s="3" t="s">
        <v>1112</v>
      </c>
      <c r="B198" s="20">
        <v>62.949999999999996</v>
      </c>
    </row>
    <row r="199" spans="1:2" x14ac:dyDescent="0.3">
      <c r="A199" s="3" t="s">
        <v>1615</v>
      </c>
      <c r="B199" s="20">
        <v>62.81</v>
      </c>
    </row>
    <row r="200" spans="1:2" x14ac:dyDescent="0.3">
      <c r="A200" s="3" t="s">
        <v>214</v>
      </c>
      <c r="B200" s="20">
        <v>62.24</v>
      </c>
    </row>
    <row r="201" spans="1:2" x14ac:dyDescent="0.3">
      <c r="A201" s="3" t="s">
        <v>1050</v>
      </c>
      <c r="B201" s="20">
        <v>62.15</v>
      </c>
    </row>
    <row r="202" spans="1:2" x14ac:dyDescent="0.3">
      <c r="A202" s="3" t="s">
        <v>541</v>
      </c>
      <c r="B202" s="20">
        <v>62.07</v>
      </c>
    </row>
    <row r="203" spans="1:2" x14ac:dyDescent="0.3">
      <c r="A203" s="3" t="s">
        <v>937</v>
      </c>
      <c r="B203" s="20">
        <v>61.27</v>
      </c>
    </row>
    <row r="204" spans="1:2" x14ac:dyDescent="0.3">
      <c r="A204" s="3" t="s">
        <v>383</v>
      </c>
      <c r="B204" s="20">
        <v>61.05</v>
      </c>
    </row>
    <row r="205" spans="1:2" x14ac:dyDescent="0.3">
      <c r="A205" s="3" t="s">
        <v>2184</v>
      </c>
      <c r="B205" s="20">
        <v>60.54</v>
      </c>
    </row>
    <row r="206" spans="1:2" x14ac:dyDescent="0.3">
      <c r="A206" s="3" t="s">
        <v>1823</v>
      </c>
      <c r="B206" s="20">
        <v>59.12</v>
      </c>
    </row>
    <row r="207" spans="1:2" x14ac:dyDescent="0.3">
      <c r="A207" s="3" t="s">
        <v>1526</v>
      </c>
      <c r="B207" s="20">
        <v>58.72</v>
      </c>
    </row>
    <row r="208" spans="1:2" x14ac:dyDescent="0.3">
      <c r="A208" s="3" t="s">
        <v>2214</v>
      </c>
      <c r="B208" s="20">
        <v>57.78</v>
      </c>
    </row>
    <row r="209" spans="1:2" x14ac:dyDescent="0.3">
      <c r="A209" s="3" t="s">
        <v>890</v>
      </c>
      <c r="B209" s="20">
        <v>57.44</v>
      </c>
    </row>
    <row r="210" spans="1:2" x14ac:dyDescent="0.3">
      <c r="A210" s="3" t="s">
        <v>2341</v>
      </c>
      <c r="B210" s="20">
        <v>57.34</v>
      </c>
    </row>
    <row r="211" spans="1:2" x14ac:dyDescent="0.3">
      <c r="A211" s="3" t="s">
        <v>1052</v>
      </c>
      <c r="B211" s="20">
        <v>56.79</v>
      </c>
    </row>
    <row r="212" spans="1:2" x14ac:dyDescent="0.3">
      <c r="A212" s="3" t="s">
        <v>1155</v>
      </c>
      <c r="B212" s="20">
        <v>56.5</v>
      </c>
    </row>
    <row r="213" spans="1:2" x14ac:dyDescent="0.3">
      <c r="A213" s="3" t="s">
        <v>1089</v>
      </c>
      <c r="B213" s="20">
        <v>55.16</v>
      </c>
    </row>
    <row r="214" spans="1:2" x14ac:dyDescent="0.3">
      <c r="A214" s="3" t="s">
        <v>350</v>
      </c>
      <c r="B214" s="20">
        <v>55.140000000000008</v>
      </c>
    </row>
    <row r="215" spans="1:2" x14ac:dyDescent="0.3">
      <c r="A215" s="3" t="s">
        <v>1521</v>
      </c>
      <c r="B215" s="20">
        <v>54.69</v>
      </c>
    </row>
    <row r="216" spans="1:2" x14ac:dyDescent="0.3">
      <c r="A216" s="3" t="s">
        <v>750</v>
      </c>
      <c r="B216" s="20">
        <v>54.440000000000005</v>
      </c>
    </row>
    <row r="217" spans="1:2" x14ac:dyDescent="0.3">
      <c r="A217" s="3" t="s">
        <v>238</v>
      </c>
      <c r="B217" s="20">
        <v>54.33</v>
      </c>
    </row>
    <row r="218" spans="1:2" x14ac:dyDescent="0.3">
      <c r="A218" s="3" t="s">
        <v>284</v>
      </c>
      <c r="B218" s="20">
        <v>53.980000000000004</v>
      </c>
    </row>
    <row r="219" spans="1:2" x14ac:dyDescent="0.3">
      <c r="A219" s="3" t="s">
        <v>806</v>
      </c>
      <c r="B219" s="20">
        <v>53.590000000000011</v>
      </c>
    </row>
    <row r="220" spans="1:2" x14ac:dyDescent="0.3">
      <c r="A220" s="3" t="s">
        <v>2253</v>
      </c>
      <c r="B220" s="20">
        <v>52.79</v>
      </c>
    </row>
    <row r="221" spans="1:2" x14ac:dyDescent="0.3">
      <c r="A221" s="3" t="s">
        <v>570</v>
      </c>
      <c r="B221" s="20">
        <v>52.44</v>
      </c>
    </row>
    <row r="222" spans="1:2" x14ac:dyDescent="0.3">
      <c r="A222" s="3" t="s">
        <v>1075</v>
      </c>
      <c r="B222" s="20">
        <v>52.09</v>
      </c>
    </row>
    <row r="223" spans="1:2" x14ac:dyDescent="0.3">
      <c r="A223" s="3" t="s">
        <v>1438</v>
      </c>
      <c r="B223" s="20">
        <v>52.06</v>
      </c>
    </row>
    <row r="224" spans="1:2" x14ac:dyDescent="0.3">
      <c r="A224" s="3" t="s">
        <v>411</v>
      </c>
      <c r="B224" s="20">
        <v>51.94</v>
      </c>
    </row>
    <row r="225" spans="1:2" x14ac:dyDescent="0.3">
      <c r="A225" s="3" t="s">
        <v>1692</v>
      </c>
      <c r="B225" s="20">
        <v>51.849999999999994</v>
      </c>
    </row>
    <row r="226" spans="1:2" x14ac:dyDescent="0.3">
      <c r="A226" s="3" t="s">
        <v>219</v>
      </c>
      <c r="B226" s="20">
        <v>51.48</v>
      </c>
    </row>
    <row r="227" spans="1:2" x14ac:dyDescent="0.3">
      <c r="A227" s="3" t="s">
        <v>661</v>
      </c>
      <c r="B227" s="20">
        <v>50.94</v>
      </c>
    </row>
    <row r="228" spans="1:2" x14ac:dyDescent="0.3">
      <c r="A228" s="3" t="s">
        <v>1787</v>
      </c>
      <c r="B228" s="20">
        <v>50.54</v>
      </c>
    </row>
    <row r="229" spans="1:2" x14ac:dyDescent="0.3">
      <c r="A229" s="3" t="s">
        <v>2231</v>
      </c>
      <c r="B229" s="20">
        <v>50.4</v>
      </c>
    </row>
    <row r="230" spans="1:2" x14ac:dyDescent="0.3">
      <c r="A230" s="3" t="s">
        <v>318</v>
      </c>
      <c r="B230" s="20">
        <v>50.37</v>
      </c>
    </row>
    <row r="231" spans="1:2" x14ac:dyDescent="0.3">
      <c r="A231" s="3" t="s">
        <v>2453</v>
      </c>
      <c r="B231" s="20">
        <v>50.36</v>
      </c>
    </row>
    <row r="232" spans="1:2" x14ac:dyDescent="0.3">
      <c r="A232" s="3" t="s">
        <v>220</v>
      </c>
      <c r="B232" s="20">
        <v>49.72</v>
      </c>
    </row>
    <row r="233" spans="1:2" x14ac:dyDescent="0.3">
      <c r="A233" s="3" t="s">
        <v>165</v>
      </c>
      <c r="B233" s="20">
        <v>49.220000000000006</v>
      </c>
    </row>
    <row r="234" spans="1:2" x14ac:dyDescent="0.3">
      <c r="A234" s="3" t="s">
        <v>1508</v>
      </c>
      <c r="B234" s="20">
        <v>49.17</v>
      </c>
    </row>
    <row r="235" spans="1:2" x14ac:dyDescent="0.3">
      <c r="A235" s="3" t="s">
        <v>622</v>
      </c>
      <c r="B235" s="20">
        <v>48.910000000000004</v>
      </c>
    </row>
    <row r="236" spans="1:2" x14ac:dyDescent="0.3">
      <c r="A236" s="3" t="s">
        <v>2071</v>
      </c>
      <c r="B236" s="20">
        <v>48.64</v>
      </c>
    </row>
    <row r="237" spans="1:2" x14ac:dyDescent="0.3">
      <c r="A237" s="3" t="s">
        <v>916</v>
      </c>
      <c r="B237" s="20">
        <v>47.81</v>
      </c>
    </row>
    <row r="238" spans="1:2" x14ac:dyDescent="0.3">
      <c r="A238" s="3" t="s">
        <v>903</v>
      </c>
      <c r="B238" s="20">
        <v>47.599999999999994</v>
      </c>
    </row>
    <row r="239" spans="1:2" x14ac:dyDescent="0.3">
      <c r="A239" s="3" t="s">
        <v>1462</v>
      </c>
      <c r="B239" s="20">
        <v>47.58</v>
      </c>
    </row>
    <row r="240" spans="1:2" x14ac:dyDescent="0.3">
      <c r="A240" s="3" t="s">
        <v>1379</v>
      </c>
      <c r="B240" s="20">
        <v>47.13</v>
      </c>
    </row>
    <row r="241" spans="1:2" x14ac:dyDescent="0.3">
      <c r="A241" s="3" t="s">
        <v>2049</v>
      </c>
      <c r="B241" s="20">
        <v>47.120000000000005</v>
      </c>
    </row>
    <row r="242" spans="1:2" x14ac:dyDescent="0.3">
      <c r="A242" s="3" t="s">
        <v>198</v>
      </c>
      <c r="B242" s="20">
        <v>46.830000000000005</v>
      </c>
    </row>
    <row r="243" spans="1:2" x14ac:dyDescent="0.3">
      <c r="A243" s="3" t="s">
        <v>365</v>
      </c>
      <c r="B243" s="20">
        <v>46.8</v>
      </c>
    </row>
    <row r="244" spans="1:2" x14ac:dyDescent="0.3">
      <c r="A244" s="3" t="s">
        <v>271</v>
      </c>
      <c r="B244" s="20">
        <v>46.04</v>
      </c>
    </row>
    <row r="245" spans="1:2" x14ac:dyDescent="0.3">
      <c r="A245" s="3" t="s">
        <v>2476</v>
      </c>
      <c r="B245" s="20">
        <v>45.89</v>
      </c>
    </row>
    <row r="246" spans="1:2" x14ac:dyDescent="0.3">
      <c r="A246" s="3" t="s">
        <v>1134</v>
      </c>
      <c r="B246" s="20">
        <v>45.53</v>
      </c>
    </row>
    <row r="247" spans="1:2" x14ac:dyDescent="0.3">
      <c r="A247" s="3" t="s">
        <v>720</v>
      </c>
      <c r="B247" s="20">
        <v>45</v>
      </c>
    </row>
    <row r="248" spans="1:2" x14ac:dyDescent="0.3">
      <c r="A248" s="3" t="s">
        <v>2139</v>
      </c>
      <c r="B248" s="20">
        <v>44.94</v>
      </c>
    </row>
    <row r="249" spans="1:2" x14ac:dyDescent="0.3">
      <c r="A249" s="3" t="s">
        <v>22</v>
      </c>
      <c r="B249" s="20">
        <v>44.57</v>
      </c>
    </row>
    <row r="250" spans="1:2" x14ac:dyDescent="0.3">
      <c r="A250" s="3" t="s">
        <v>818</v>
      </c>
      <c r="B250" s="20">
        <v>44.03</v>
      </c>
    </row>
    <row r="251" spans="1:2" x14ac:dyDescent="0.3">
      <c r="A251" s="3" t="s">
        <v>2081</v>
      </c>
      <c r="B251" s="20">
        <v>43.16</v>
      </c>
    </row>
    <row r="252" spans="1:2" x14ac:dyDescent="0.3">
      <c r="A252" s="3" t="s">
        <v>1011</v>
      </c>
      <c r="B252" s="20">
        <v>43.1</v>
      </c>
    </row>
    <row r="253" spans="1:2" x14ac:dyDescent="0.3">
      <c r="A253" s="3" t="s">
        <v>1755</v>
      </c>
      <c r="B253" s="20">
        <v>43.09</v>
      </c>
    </row>
    <row r="254" spans="1:2" x14ac:dyDescent="0.3">
      <c r="A254" s="3" t="s">
        <v>1681</v>
      </c>
      <c r="B254" s="20">
        <v>42.72</v>
      </c>
    </row>
    <row r="255" spans="1:2" x14ac:dyDescent="0.3">
      <c r="A255" s="3" t="s">
        <v>1640</v>
      </c>
      <c r="B255" s="20">
        <v>42.45</v>
      </c>
    </row>
    <row r="256" spans="1:2" x14ac:dyDescent="0.3">
      <c r="A256" s="3" t="s">
        <v>839</v>
      </c>
      <c r="B256" s="20">
        <v>42.24</v>
      </c>
    </row>
    <row r="257" spans="1:2" x14ac:dyDescent="0.3">
      <c r="A257" s="3" t="s">
        <v>2241</v>
      </c>
      <c r="B257" s="20">
        <v>41.91</v>
      </c>
    </row>
    <row r="258" spans="1:2" x14ac:dyDescent="0.3">
      <c r="A258" s="3" t="s">
        <v>870</v>
      </c>
      <c r="B258" s="20">
        <v>40.93</v>
      </c>
    </row>
    <row r="259" spans="1:2" x14ac:dyDescent="0.3">
      <c r="A259" s="3" t="s">
        <v>1519</v>
      </c>
      <c r="B259" s="20">
        <v>40.44</v>
      </c>
    </row>
    <row r="260" spans="1:2" x14ac:dyDescent="0.3">
      <c r="A260" s="3" t="s">
        <v>1097</v>
      </c>
      <c r="B260" s="20">
        <v>39.64</v>
      </c>
    </row>
    <row r="261" spans="1:2" x14ac:dyDescent="0.3">
      <c r="A261" s="3" t="s">
        <v>960</v>
      </c>
      <c r="B261" s="20">
        <v>39.389999999999993</v>
      </c>
    </row>
    <row r="262" spans="1:2" x14ac:dyDescent="0.3">
      <c r="A262" s="3" t="s">
        <v>2112</v>
      </c>
      <c r="B262" s="20">
        <v>39.090000000000003</v>
      </c>
    </row>
    <row r="263" spans="1:2" x14ac:dyDescent="0.3">
      <c r="A263" s="3" t="s">
        <v>307</v>
      </c>
      <c r="B263" s="20">
        <v>39.07</v>
      </c>
    </row>
    <row r="264" spans="1:2" x14ac:dyDescent="0.3">
      <c r="A264" s="3" t="s">
        <v>2387</v>
      </c>
      <c r="B264" s="20">
        <v>39</v>
      </c>
    </row>
    <row r="265" spans="1:2" x14ac:dyDescent="0.3">
      <c r="A265" s="3" t="s">
        <v>490</v>
      </c>
      <c r="B265" s="20">
        <v>38.720000000000006</v>
      </c>
    </row>
    <row r="266" spans="1:2" x14ac:dyDescent="0.3">
      <c r="A266" s="3" t="s">
        <v>2507</v>
      </c>
      <c r="B266" s="20">
        <v>38.69</v>
      </c>
    </row>
    <row r="267" spans="1:2" x14ac:dyDescent="0.3">
      <c r="A267" s="3" t="s">
        <v>1398</v>
      </c>
      <c r="B267" s="20">
        <v>37.880000000000003</v>
      </c>
    </row>
    <row r="268" spans="1:2" x14ac:dyDescent="0.3">
      <c r="A268" s="3" t="s">
        <v>464</v>
      </c>
      <c r="B268" s="20">
        <v>37.869999999999997</v>
      </c>
    </row>
    <row r="269" spans="1:2" x14ac:dyDescent="0.3">
      <c r="A269" s="3" t="s">
        <v>1778</v>
      </c>
      <c r="B269" s="20">
        <v>37.49</v>
      </c>
    </row>
    <row r="270" spans="1:2" x14ac:dyDescent="0.3">
      <c r="A270" s="3" t="s">
        <v>1598</v>
      </c>
      <c r="B270" s="20">
        <v>37.08</v>
      </c>
    </row>
    <row r="271" spans="1:2" x14ac:dyDescent="0.3">
      <c r="A271" s="3" t="s">
        <v>516</v>
      </c>
      <c r="B271" s="20">
        <v>37.01</v>
      </c>
    </row>
    <row r="272" spans="1:2" x14ac:dyDescent="0.3">
      <c r="A272" s="3" t="s">
        <v>906</v>
      </c>
      <c r="B272" s="20">
        <v>35.950000000000003</v>
      </c>
    </row>
    <row r="273" spans="1:2" x14ac:dyDescent="0.3">
      <c r="A273" s="3" t="s">
        <v>1343</v>
      </c>
      <c r="B273" s="20">
        <v>35.68</v>
      </c>
    </row>
    <row r="274" spans="1:2" x14ac:dyDescent="0.3">
      <c r="A274" s="3" t="s">
        <v>1446</v>
      </c>
      <c r="B274" s="20">
        <v>33.700000000000003</v>
      </c>
    </row>
    <row r="275" spans="1:2" x14ac:dyDescent="0.3">
      <c r="A275" s="3" t="s">
        <v>233</v>
      </c>
      <c r="B275" s="20">
        <v>33.200000000000003</v>
      </c>
    </row>
    <row r="276" spans="1:2" x14ac:dyDescent="0.3">
      <c r="A276" s="3" t="s">
        <v>1499</v>
      </c>
      <c r="B276" s="20">
        <v>33.14</v>
      </c>
    </row>
    <row r="277" spans="1:2" x14ac:dyDescent="0.3">
      <c r="A277" s="3" t="s">
        <v>2130</v>
      </c>
      <c r="B277" s="20">
        <v>33</v>
      </c>
    </row>
    <row r="278" spans="1:2" x14ac:dyDescent="0.3">
      <c r="A278" s="3" t="s">
        <v>796</v>
      </c>
      <c r="B278" s="20">
        <v>32.97</v>
      </c>
    </row>
    <row r="279" spans="1:2" x14ac:dyDescent="0.3">
      <c r="A279" s="3" t="s">
        <v>1940</v>
      </c>
      <c r="B279" s="20">
        <v>32.299999999999997</v>
      </c>
    </row>
    <row r="280" spans="1:2" x14ac:dyDescent="0.3">
      <c r="A280" s="3" t="s">
        <v>1091</v>
      </c>
      <c r="B280" s="20">
        <v>31.93</v>
      </c>
    </row>
    <row r="281" spans="1:2" x14ac:dyDescent="0.3">
      <c r="A281" s="3" t="s">
        <v>341</v>
      </c>
      <c r="B281" s="20">
        <v>31.929999999999996</v>
      </c>
    </row>
    <row r="282" spans="1:2" x14ac:dyDescent="0.3">
      <c r="A282" s="3" t="s">
        <v>1505</v>
      </c>
      <c r="B282" s="20">
        <v>31.83</v>
      </c>
    </row>
    <row r="283" spans="1:2" x14ac:dyDescent="0.3">
      <c r="A283" s="3" t="s">
        <v>755</v>
      </c>
      <c r="B283" s="20">
        <v>31.83</v>
      </c>
    </row>
    <row r="284" spans="1:2" x14ac:dyDescent="0.3">
      <c r="A284" s="3" t="s">
        <v>1532</v>
      </c>
      <c r="B284" s="20">
        <v>30.700000000000003</v>
      </c>
    </row>
    <row r="285" spans="1:2" x14ac:dyDescent="0.3">
      <c r="A285" s="3" t="s">
        <v>1705</v>
      </c>
      <c r="B285" s="20">
        <v>30.270000000000003</v>
      </c>
    </row>
    <row r="286" spans="1:2" x14ac:dyDescent="0.3">
      <c r="A286" s="3" t="s">
        <v>913</v>
      </c>
      <c r="B286" s="20">
        <v>29.490000000000002</v>
      </c>
    </row>
    <row r="287" spans="1:2" x14ac:dyDescent="0.3">
      <c r="A287" s="3" t="s">
        <v>1409</v>
      </c>
      <c r="B287" s="20">
        <v>29.490000000000002</v>
      </c>
    </row>
    <row r="288" spans="1:2" x14ac:dyDescent="0.3">
      <c r="A288" s="3" t="s">
        <v>767</v>
      </c>
      <c r="B288" s="20">
        <v>29.25</v>
      </c>
    </row>
    <row r="289" spans="1:2" x14ac:dyDescent="0.3">
      <c r="A289" s="3" t="s">
        <v>1900</v>
      </c>
      <c r="B289" s="20">
        <v>28.95</v>
      </c>
    </row>
    <row r="290" spans="1:2" x14ac:dyDescent="0.3">
      <c r="A290" s="3" t="s">
        <v>2421</v>
      </c>
      <c r="B290" s="20">
        <v>28.86</v>
      </c>
    </row>
    <row r="291" spans="1:2" x14ac:dyDescent="0.3">
      <c r="A291" s="3" t="s">
        <v>236</v>
      </c>
      <c r="B291" s="20">
        <v>28.43</v>
      </c>
    </row>
    <row r="292" spans="1:2" x14ac:dyDescent="0.3">
      <c r="A292" s="3" t="s">
        <v>2279</v>
      </c>
      <c r="B292" s="20">
        <v>28.38</v>
      </c>
    </row>
    <row r="293" spans="1:2" x14ac:dyDescent="0.3">
      <c r="A293" s="3" t="s">
        <v>1043</v>
      </c>
      <c r="B293" s="20">
        <v>28.299999999999997</v>
      </c>
    </row>
    <row r="294" spans="1:2" x14ac:dyDescent="0.3">
      <c r="A294" s="3" t="s">
        <v>1948</v>
      </c>
      <c r="B294" s="20">
        <v>28.06</v>
      </c>
    </row>
    <row r="295" spans="1:2" x14ac:dyDescent="0.3">
      <c r="A295" s="3" t="s">
        <v>2249</v>
      </c>
      <c r="B295" s="20">
        <v>28</v>
      </c>
    </row>
    <row r="296" spans="1:2" x14ac:dyDescent="0.3">
      <c r="A296" s="3" t="s">
        <v>1202</v>
      </c>
      <c r="B296" s="20">
        <v>27.939999999999998</v>
      </c>
    </row>
    <row r="297" spans="1:2" x14ac:dyDescent="0.3">
      <c r="A297" s="3" t="s">
        <v>378</v>
      </c>
      <c r="B297" s="20">
        <v>27.68</v>
      </c>
    </row>
    <row r="298" spans="1:2" x14ac:dyDescent="0.3">
      <c r="A298" s="3" t="s">
        <v>1069</v>
      </c>
      <c r="B298" s="20">
        <v>27.56</v>
      </c>
    </row>
    <row r="299" spans="1:2" x14ac:dyDescent="0.3">
      <c r="A299" s="3" t="s">
        <v>189</v>
      </c>
      <c r="B299" s="20">
        <v>27.01</v>
      </c>
    </row>
    <row r="300" spans="1:2" x14ac:dyDescent="0.3">
      <c r="A300" s="3" t="s">
        <v>211</v>
      </c>
      <c r="B300" s="20">
        <v>26.93</v>
      </c>
    </row>
    <row r="301" spans="1:2" x14ac:dyDescent="0.3">
      <c r="A301" s="3" t="s">
        <v>1738</v>
      </c>
      <c r="B301" s="20">
        <v>26.87</v>
      </c>
    </row>
    <row r="302" spans="1:2" x14ac:dyDescent="0.3">
      <c r="A302" s="3" t="s">
        <v>444</v>
      </c>
      <c r="B302" s="20">
        <v>26.63</v>
      </c>
    </row>
    <row r="303" spans="1:2" x14ac:dyDescent="0.3">
      <c r="A303" s="3" t="s">
        <v>1184</v>
      </c>
      <c r="B303" s="20">
        <v>26.41</v>
      </c>
    </row>
    <row r="304" spans="1:2" x14ac:dyDescent="0.3">
      <c r="A304" s="3" t="s">
        <v>29</v>
      </c>
      <c r="B304" s="20">
        <v>26.35</v>
      </c>
    </row>
    <row r="305" spans="1:2" x14ac:dyDescent="0.3">
      <c r="A305" s="3" t="s">
        <v>72</v>
      </c>
      <c r="B305" s="20">
        <v>26.34</v>
      </c>
    </row>
    <row r="306" spans="1:2" x14ac:dyDescent="0.3">
      <c r="A306" s="3" t="s">
        <v>196</v>
      </c>
      <c r="B306" s="20">
        <v>26.280000000000005</v>
      </c>
    </row>
    <row r="307" spans="1:2" x14ac:dyDescent="0.3">
      <c r="A307" s="3" t="s">
        <v>2340</v>
      </c>
      <c r="B307" s="20">
        <v>25.89</v>
      </c>
    </row>
    <row r="308" spans="1:2" x14ac:dyDescent="0.3">
      <c r="A308" s="3" t="s">
        <v>866</v>
      </c>
      <c r="B308" s="20">
        <v>25.029999999999998</v>
      </c>
    </row>
    <row r="309" spans="1:2" x14ac:dyDescent="0.3">
      <c r="A309" s="3" t="s">
        <v>9</v>
      </c>
      <c r="B309" s="20">
        <v>24.240000000000002</v>
      </c>
    </row>
    <row r="310" spans="1:2" x14ac:dyDescent="0.3">
      <c r="A310" s="3" t="s">
        <v>667</v>
      </c>
      <c r="B310" s="20">
        <v>23.97</v>
      </c>
    </row>
    <row r="311" spans="1:2" x14ac:dyDescent="0.3">
      <c r="A311" s="3" t="s">
        <v>2547</v>
      </c>
      <c r="B311" s="20">
        <v>23.42</v>
      </c>
    </row>
    <row r="312" spans="1:2" x14ac:dyDescent="0.3">
      <c r="A312" s="3" t="s">
        <v>1368</v>
      </c>
      <c r="B312" s="20">
        <v>23.29</v>
      </c>
    </row>
    <row r="313" spans="1:2" x14ac:dyDescent="0.3">
      <c r="A313" s="3" t="s">
        <v>602</v>
      </c>
      <c r="B313" s="20">
        <v>22.93</v>
      </c>
    </row>
    <row r="314" spans="1:2" x14ac:dyDescent="0.3">
      <c r="A314" s="3" t="s">
        <v>2412</v>
      </c>
      <c r="B314" s="20">
        <v>22.89</v>
      </c>
    </row>
    <row r="315" spans="1:2" x14ac:dyDescent="0.3">
      <c r="A315" s="3" t="s">
        <v>370</v>
      </c>
      <c r="B315" s="20">
        <v>22.81</v>
      </c>
    </row>
    <row r="316" spans="1:2" x14ac:dyDescent="0.3">
      <c r="A316" s="3" t="s">
        <v>54</v>
      </c>
      <c r="B316" s="20">
        <v>22.66</v>
      </c>
    </row>
    <row r="317" spans="1:2" x14ac:dyDescent="0.3">
      <c r="A317" s="3" t="s">
        <v>1403</v>
      </c>
      <c r="B317" s="20">
        <v>22.6</v>
      </c>
    </row>
    <row r="318" spans="1:2" x14ac:dyDescent="0.3">
      <c r="A318" s="3" t="s">
        <v>2179</v>
      </c>
      <c r="B318" s="20">
        <v>22.28</v>
      </c>
    </row>
    <row r="319" spans="1:2" x14ac:dyDescent="0.3">
      <c r="A319" s="3" t="s">
        <v>878</v>
      </c>
      <c r="B319" s="20">
        <v>22.15</v>
      </c>
    </row>
    <row r="320" spans="1:2" x14ac:dyDescent="0.3">
      <c r="A320" s="3" t="s">
        <v>2677</v>
      </c>
      <c r="B320" s="20">
        <v>21.77</v>
      </c>
    </row>
    <row r="321" spans="1:2" x14ac:dyDescent="0.3">
      <c r="A321" s="3" t="s">
        <v>1346</v>
      </c>
      <c r="B321" s="20">
        <v>21.54</v>
      </c>
    </row>
    <row r="322" spans="1:2" x14ac:dyDescent="0.3">
      <c r="A322" s="3" t="s">
        <v>597</v>
      </c>
      <c r="B322" s="20">
        <v>21.06</v>
      </c>
    </row>
    <row r="323" spans="1:2" x14ac:dyDescent="0.3">
      <c r="A323" s="3" t="s">
        <v>730</v>
      </c>
      <c r="B323" s="20">
        <v>21.01</v>
      </c>
    </row>
    <row r="324" spans="1:2" x14ac:dyDescent="0.3">
      <c r="A324" s="3" t="s">
        <v>560</v>
      </c>
      <c r="B324" s="20">
        <v>20.49</v>
      </c>
    </row>
    <row r="325" spans="1:2" x14ac:dyDescent="0.3">
      <c r="A325" s="3" t="s">
        <v>395</v>
      </c>
      <c r="B325" s="20">
        <v>20.350000000000001</v>
      </c>
    </row>
    <row r="326" spans="1:2" x14ac:dyDescent="0.3">
      <c r="A326" s="3" t="s">
        <v>510</v>
      </c>
      <c r="B326" s="20">
        <v>20.29</v>
      </c>
    </row>
    <row r="327" spans="1:2" x14ac:dyDescent="0.3">
      <c r="A327" s="3" t="s">
        <v>519</v>
      </c>
      <c r="B327" s="20">
        <v>20.240000000000002</v>
      </c>
    </row>
    <row r="328" spans="1:2" x14ac:dyDescent="0.3">
      <c r="A328" s="3" t="s">
        <v>1372</v>
      </c>
      <c r="B328" s="20">
        <v>20.149999999999999</v>
      </c>
    </row>
    <row r="329" spans="1:2" x14ac:dyDescent="0.3">
      <c r="A329" s="3" t="s">
        <v>415</v>
      </c>
      <c r="B329" s="20">
        <v>19.850000000000001</v>
      </c>
    </row>
    <row r="330" spans="1:2" x14ac:dyDescent="0.3">
      <c r="A330" s="3" t="s">
        <v>1514</v>
      </c>
      <c r="B330" s="20">
        <v>19.72</v>
      </c>
    </row>
    <row r="331" spans="1:2" x14ac:dyDescent="0.3">
      <c r="A331" s="3" t="s">
        <v>1732</v>
      </c>
      <c r="B331" s="20">
        <v>19.55</v>
      </c>
    </row>
    <row r="332" spans="1:2" x14ac:dyDescent="0.3">
      <c r="A332" s="3" t="s">
        <v>1714</v>
      </c>
      <c r="B332" s="20">
        <v>19.45</v>
      </c>
    </row>
    <row r="333" spans="1:2" x14ac:dyDescent="0.3">
      <c r="A333" s="3" t="s">
        <v>1668</v>
      </c>
      <c r="B333" s="20">
        <v>19.420000000000002</v>
      </c>
    </row>
    <row r="334" spans="1:2" x14ac:dyDescent="0.3">
      <c r="A334" s="3" t="s">
        <v>1080</v>
      </c>
      <c r="B334" s="20">
        <v>19.220000000000002</v>
      </c>
    </row>
    <row r="335" spans="1:2" x14ac:dyDescent="0.3">
      <c r="A335" s="3" t="s">
        <v>85</v>
      </c>
      <c r="B335" s="20">
        <v>19.169999999999998</v>
      </c>
    </row>
    <row r="336" spans="1:2" x14ac:dyDescent="0.3">
      <c r="A336" s="3" t="s">
        <v>841</v>
      </c>
      <c r="B336" s="20">
        <v>18.829999999999998</v>
      </c>
    </row>
    <row r="337" spans="1:2" x14ac:dyDescent="0.3">
      <c r="A337" s="3" t="s">
        <v>594</v>
      </c>
      <c r="B337" s="20">
        <v>18.510000000000002</v>
      </c>
    </row>
    <row r="338" spans="1:2" x14ac:dyDescent="0.3">
      <c r="A338" s="3" t="s">
        <v>2132</v>
      </c>
      <c r="B338" s="20">
        <v>18.46</v>
      </c>
    </row>
    <row r="339" spans="1:2" x14ac:dyDescent="0.3">
      <c r="A339" s="3" t="s">
        <v>450</v>
      </c>
      <c r="B339" s="20">
        <v>18.37</v>
      </c>
    </row>
    <row r="340" spans="1:2" x14ac:dyDescent="0.3">
      <c r="A340" s="3" t="s">
        <v>1736</v>
      </c>
      <c r="B340" s="20">
        <v>17.929999999999996</v>
      </c>
    </row>
    <row r="341" spans="1:2" x14ac:dyDescent="0.3">
      <c r="A341" s="3" t="s">
        <v>1824</v>
      </c>
      <c r="B341" s="20">
        <v>17.669999999999998</v>
      </c>
    </row>
    <row r="342" spans="1:2" x14ac:dyDescent="0.3">
      <c r="A342" s="3" t="s">
        <v>504</v>
      </c>
      <c r="B342" s="20">
        <v>17.61</v>
      </c>
    </row>
    <row r="343" spans="1:2" x14ac:dyDescent="0.3">
      <c r="A343" s="3" t="s">
        <v>862</v>
      </c>
      <c r="B343" s="20">
        <v>17.16</v>
      </c>
    </row>
    <row r="344" spans="1:2" x14ac:dyDescent="0.3">
      <c r="A344" s="3" t="s">
        <v>783</v>
      </c>
      <c r="B344" s="20">
        <v>17.16</v>
      </c>
    </row>
    <row r="345" spans="1:2" x14ac:dyDescent="0.3">
      <c r="A345" s="3" t="s">
        <v>769</v>
      </c>
      <c r="B345" s="20">
        <v>16.72</v>
      </c>
    </row>
    <row r="346" spans="1:2" x14ac:dyDescent="0.3">
      <c r="A346" s="3" t="s">
        <v>901</v>
      </c>
      <c r="B346" s="20">
        <v>16.580000000000002</v>
      </c>
    </row>
    <row r="347" spans="1:2" x14ac:dyDescent="0.3">
      <c r="A347" s="3" t="s">
        <v>944</v>
      </c>
      <c r="B347" s="20">
        <v>16.329999999999998</v>
      </c>
    </row>
    <row r="348" spans="1:2" x14ac:dyDescent="0.3">
      <c r="A348" s="3" t="s">
        <v>923</v>
      </c>
      <c r="B348" s="20">
        <v>16.28</v>
      </c>
    </row>
    <row r="349" spans="1:2" x14ac:dyDescent="0.3">
      <c r="A349" s="3" t="s">
        <v>209</v>
      </c>
      <c r="B349" s="20">
        <v>16.25</v>
      </c>
    </row>
    <row r="350" spans="1:2" x14ac:dyDescent="0.3">
      <c r="A350" s="3" t="s">
        <v>1179</v>
      </c>
      <c r="B350" s="20">
        <v>16.170000000000002</v>
      </c>
    </row>
    <row r="351" spans="1:2" x14ac:dyDescent="0.3">
      <c r="A351" s="3" t="s">
        <v>1510</v>
      </c>
      <c r="B351" s="20">
        <v>16.05</v>
      </c>
    </row>
    <row r="352" spans="1:2" x14ac:dyDescent="0.3">
      <c r="A352" s="3" t="s">
        <v>1172</v>
      </c>
      <c r="B352" s="20">
        <v>15.64</v>
      </c>
    </row>
    <row r="353" spans="1:2" x14ac:dyDescent="0.3">
      <c r="A353" s="3" t="s">
        <v>2415</v>
      </c>
      <c r="B353" s="20">
        <v>15.51</v>
      </c>
    </row>
    <row r="354" spans="1:2" x14ac:dyDescent="0.3">
      <c r="A354" s="3" t="s">
        <v>644</v>
      </c>
      <c r="B354" s="20">
        <v>15.48</v>
      </c>
    </row>
    <row r="355" spans="1:2" x14ac:dyDescent="0.3">
      <c r="A355" s="3" t="s">
        <v>658</v>
      </c>
      <c r="B355" s="20">
        <v>15.15</v>
      </c>
    </row>
    <row r="356" spans="1:2" x14ac:dyDescent="0.3">
      <c r="A356" s="3" t="s">
        <v>950</v>
      </c>
      <c r="B356" s="20">
        <v>15.07</v>
      </c>
    </row>
    <row r="357" spans="1:2" x14ac:dyDescent="0.3">
      <c r="A357" s="3" t="s">
        <v>677</v>
      </c>
      <c r="B357" s="20">
        <v>14.57</v>
      </c>
    </row>
    <row r="358" spans="1:2" x14ac:dyDescent="0.3">
      <c r="A358" s="3" t="s">
        <v>1117</v>
      </c>
      <c r="B358" s="20">
        <v>14.260000000000002</v>
      </c>
    </row>
    <row r="359" spans="1:2" x14ac:dyDescent="0.3">
      <c r="A359" s="3" t="s">
        <v>1892</v>
      </c>
      <c r="B359" s="20">
        <v>14.17</v>
      </c>
    </row>
    <row r="360" spans="1:2" x14ac:dyDescent="0.3">
      <c r="A360" s="3" t="s">
        <v>2305</v>
      </c>
      <c r="B360" s="20">
        <v>14.12</v>
      </c>
    </row>
    <row r="361" spans="1:2" x14ac:dyDescent="0.3">
      <c r="A361" s="3" t="s">
        <v>765</v>
      </c>
      <c r="B361" s="20">
        <v>14.05</v>
      </c>
    </row>
    <row r="362" spans="1:2" x14ac:dyDescent="0.3">
      <c r="A362" s="3" t="s">
        <v>1391</v>
      </c>
      <c r="B362" s="20">
        <v>13.76</v>
      </c>
    </row>
    <row r="363" spans="1:2" x14ac:dyDescent="0.3">
      <c r="A363" s="3" t="s">
        <v>1538</v>
      </c>
      <c r="B363" s="20">
        <v>13.72</v>
      </c>
    </row>
    <row r="364" spans="1:2" x14ac:dyDescent="0.3">
      <c r="A364" s="3" t="s">
        <v>1867</v>
      </c>
      <c r="B364" s="20">
        <v>13.46</v>
      </c>
    </row>
    <row r="365" spans="1:2" x14ac:dyDescent="0.3">
      <c r="A365" s="3" t="s">
        <v>999</v>
      </c>
      <c r="B365" s="20">
        <v>12.95</v>
      </c>
    </row>
    <row r="366" spans="1:2" x14ac:dyDescent="0.3">
      <c r="A366" s="3" t="s">
        <v>638</v>
      </c>
      <c r="B366" s="20">
        <v>12.899999999999995</v>
      </c>
    </row>
    <row r="367" spans="1:2" x14ac:dyDescent="0.3">
      <c r="A367" s="3" t="s">
        <v>1214</v>
      </c>
      <c r="B367" s="20">
        <v>12.86</v>
      </c>
    </row>
    <row r="368" spans="1:2" x14ac:dyDescent="0.3">
      <c r="A368" s="3" t="s">
        <v>2176</v>
      </c>
      <c r="B368" s="20">
        <v>12.83</v>
      </c>
    </row>
    <row r="369" spans="1:2" x14ac:dyDescent="0.3">
      <c r="A369" s="3" t="s">
        <v>1967</v>
      </c>
      <c r="B369" s="20">
        <v>12.6</v>
      </c>
    </row>
    <row r="370" spans="1:2" x14ac:dyDescent="0.3">
      <c r="A370" s="3" t="s">
        <v>393</v>
      </c>
      <c r="B370" s="20">
        <v>12.420000000000002</v>
      </c>
    </row>
    <row r="371" spans="1:2" x14ac:dyDescent="0.3">
      <c r="A371" s="3" t="s">
        <v>206</v>
      </c>
      <c r="B371" s="20">
        <v>12.149999999999999</v>
      </c>
    </row>
    <row r="372" spans="1:2" x14ac:dyDescent="0.3">
      <c r="A372" s="3" t="s">
        <v>1701</v>
      </c>
      <c r="B372" s="20">
        <v>12.14</v>
      </c>
    </row>
    <row r="373" spans="1:2" x14ac:dyDescent="0.3">
      <c r="A373" s="3" t="s">
        <v>524</v>
      </c>
      <c r="B373" s="20">
        <v>12.08</v>
      </c>
    </row>
    <row r="374" spans="1:2" x14ac:dyDescent="0.3">
      <c r="A374" s="3" t="s">
        <v>2234</v>
      </c>
      <c r="B374" s="20">
        <v>12</v>
      </c>
    </row>
    <row r="375" spans="1:2" x14ac:dyDescent="0.3">
      <c r="A375" s="3" t="s">
        <v>2440</v>
      </c>
      <c r="B375" s="20">
        <v>11.98</v>
      </c>
    </row>
    <row r="376" spans="1:2" x14ac:dyDescent="0.3">
      <c r="A376" s="3" t="s">
        <v>863</v>
      </c>
      <c r="B376" s="20">
        <v>11.69</v>
      </c>
    </row>
    <row r="377" spans="1:2" x14ac:dyDescent="0.3">
      <c r="A377" s="3" t="s">
        <v>1649</v>
      </c>
      <c r="B377" s="20">
        <v>11.58</v>
      </c>
    </row>
    <row r="378" spans="1:2" x14ac:dyDescent="0.3">
      <c r="A378" s="3" t="s">
        <v>1195</v>
      </c>
      <c r="B378" s="20">
        <v>11.310000000000002</v>
      </c>
    </row>
    <row r="379" spans="1:2" x14ac:dyDescent="0.3">
      <c r="A379" s="3" t="s">
        <v>850</v>
      </c>
      <c r="B379" s="20">
        <v>10.91</v>
      </c>
    </row>
    <row r="380" spans="1:2" x14ac:dyDescent="0.3">
      <c r="A380" s="3" t="s">
        <v>1340</v>
      </c>
      <c r="B380" s="20">
        <v>10.86</v>
      </c>
    </row>
    <row r="381" spans="1:2" x14ac:dyDescent="0.3">
      <c r="A381" s="3" t="s">
        <v>786</v>
      </c>
      <c r="B381" s="20">
        <v>10.780000000000001</v>
      </c>
    </row>
    <row r="382" spans="1:2" x14ac:dyDescent="0.3">
      <c r="A382" s="3" t="s">
        <v>979</v>
      </c>
      <c r="B382" s="20">
        <v>10.58</v>
      </c>
    </row>
    <row r="383" spans="1:2" x14ac:dyDescent="0.3">
      <c r="A383" s="3" t="s">
        <v>599</v>
      </c>
      <c r="B383" s="20">
        <v>9.89</v>
      </c>
    </row>
    <row r="384" spans="1:2" x14ac:dyDescent="0.3">
      <c r="A384" s="3" t="s">
        <v>421</v>
      </c>
      <c r="B384" s="20">
        <v>9.6999999999999993</v>
      </c>
    </row>
    <row r="385" spans="1:2" x14ac:dyDescent="0.3">
      <c r="A385" s="3" t="s">
        <v>833</v>
      </c>
      <c r="B385" s="20">
        <v>9.6</v>
      </c>
    </row>
    <row r="386" spans="1:2" x14ac:dyDescent="0.3">
      <c r="A386" s="3" t="s">
        <v>1181</v>
      </c>
      <c r="B386" s="20">
        <v>9.59</v>
      </c>
    </row>
    <row r="387" spans="1:2" x14ac:dyDescent="0.3">
      <c r="A387" s="3" t="s">
        <v>1380</v>
      </c>
      <c r="B387" s="20">
        <v>9.5299999999999994</v>
      </c>
    </row>
    <row r="388" spans="1:2" x14ac:dyDescent="0.3">
      <c r="A388" s="3" t="s">
        <v>26</v>
      </c>
      <c r="B388" s="20">
        <v>9.33</v>
      </c>
    </row>
    <row r="389" spans="1:2" x14ac:dyDescent="0.3">
      <c r="A389" s="3" t="s">
        <v>1312</v>
      </c>
      <c r="B389" s="20">
        <v>9.33</v>
      </c>
    </row>
    <row r="390" spans="1:2" x14ac:dyDescent="0.3">
      <c r="A390" s="3" t="s">
        <v>286</v>
      </c>
      <c r="B390" s="20">
        <v>9.33</v>
      </c>
    </row>
    <row r="391" spans="1:2" x14ac:dyDescent="0.3">
      <c r="A391" s="3" t="s">
        <v>434</v>
      </c>
      <c r="B391" s="20">
        <v>9.07</v>
      </c>
    </row>
    <row r="392" spans="1:2" x14ac:dyDescent="0.3">
      <c r="A392" s="3" t="s">
        <v>202</v>
      </c>
      <c r="B392" s="20">
        <v>9.06</v>
      </c>
    </row>
    <row r="393" spans="1:2" x14ac:dyDescent="0.3">
      <c r="A393" s="3" t="s">
        <v>2101</v>
      </c>
      <c r="B393" s="20">
        <v>8.93</v>
      </c>
    </row>
    <row r="394" spans="1:2" x14ac:dyDescent="0.3">
      <c r="A394" s="3" t="s">
        <v>579</v>
      </c>
      <c r="B394" s="20">
        <v>8.92</v>
      </c>
    </row>
    <row r="395" spans="1:2" x14ac:dyDescent="0.3">
      <c r="A395" s="3" t="s">
        <v>801</v>
      </c>
      <c r="B395" s="20">
        <v>8.7899999999999991</v>
      </c>
    </row>
    <row r="396" spans="1:2" x14ac:dyDescent="0.3">
      <c r="A396" s="3" t="s">
        <v>417</v>
      </c>
      <c r="B396" s="20">
        <v>8.77</v>
      </c>
    </row>
    <row r="397" spans="1:2" x14ac:dyDescent="0.3">
      <c r="A397" s="3" t="s">
        <v>122</v>
      </c>
      <c r="B397" s="20">
        <v>8.74</v>
      </c>
    </row>
    <row r="398" spans="1:2" x14ac:dyDescent="0.3">
      <c r="A398" s="3" t="s">
        <v>871</v>
      </c>
      <c r="B398" s="20">
        <v>8.67</v>
      </c>
    </row>
    <row r="399" spans="1:2" x14ac:dyDescent="0.3">
      <c r="A399" s="3" t="s">
        <v>1327</v>
      </c>
      <c r="B399" s="20">
        <v>8.19</v>
      </c>
    </row>
    <row r="400" spans="1:2" x14ac:dyDescent="0.3">
      <c r="A400" s="3" t="s">
        <v>1741</v>
      </c>
      <c r="B400" s="20">
        <v>8.02</v>
      </c>
    </row>
    <row r="401" spans="1:2" x14ac:dyDescent="0.3">
      <c r="A401" s="3" t="s">
        <v>1695</v>
      </c>
      <c r="B401" s="20">
        <v>7.99</v>
      </c>
    </row>
    <row r="402" spans="1:2" x14ac:dyDescent="0.3">
      <c r="A402" s="3" t="s">
        <v>2392</v>
      </c>
      <c r="B402" s="20">
        <v>7.97</v>
      </c>
    </row>
    <row r="403" spans="1:2" x14ac:dyDescent="0.3">
      <c r="A403" s="3" t="s">
        <v>1855</v>
      </c>
      <c r="B403" s="20">
        <v>7.67</v>
      </c>
    </row>
    <row r="404" spans="1:2" x14ac:dyDescent="0.3">
      <c r="A404" s="3" t="s">
        <v>547</v>
      </c>
      <c r="B404" s="20">
        <v>7.61</v>
      </c>
    </row>
    <row r="405" spans="1:2" x14ac:dyDescent="0.3">
      <c r="A405" s="3" t="s">
        <v>2501</v>
      </c>
      <c r="B405" s="20">
        <v>7.25</v>
      </c>
    </row>
    <row r="406" spans="1:2" x14ac:dyDescent="0.3">
      <c r="A406" s="3" t="s">
        <v>1352</v>
      </c>
      <c r="B406" s="20">
        <v>7.15</v>
      </c>
    </row>
    <row r="407" spans="1:2" x14ac:dyDescent="0.3">
      <c r="A407" s="3" t="s">
        <v>534</v>
      </c>
      <c r="B407" s="20">
        <v>7.06</v>
      </c>
    </row>
    <row r="408" spans="1:2" x14ac:dyDescent="0.3">
      <c r="A408" s="3" t="s">
        <v>481</v>
      </c>
      <c r="B408" s="20">
        <v>6.89</v>
      </c>
    </row>
    <row r="409" spans="1:2" x14ac:dyDescent="0.3">
      <c r="A409" s="3" t="s">
        <v>577</v>
      </c>
      <c r="B409" s="20">
        <v>6.74</v>
      </c>
    </row>
    <row r="410" spans="1:2" x14ac:dyDescent="0.3">
      <c r="A410" s="3" t="s">
        <v>397</v>
      </c>
      <c r="B410" s="20">
        <v>6.64</v>
      </c>
    </row>
    <row r="411" spans="1:2" x14ac:dyDescent="0.3">
      <c r="A411" s="3" t="s">
        <v>809</v>
      </c>
      <c r="B411" s="20">
        <v>6.44</v>
      </c>
    </row>
    <row r="412" spans="1:2" x14ac:dyDescent="0.3">
      <c r="A412" s="3" t="s">
        <v>1886</v>
      </c>
      <c r="B412" s="20">
        <v>6.36</v>
      </c>
    </row>
    <row r="413" spans="1:2" x14ac:dyDescent="0.3">
      <c r="A413" s="3" t="s">
        <v>2064</v>
      </c>
      <c r="B413" s="20">
        <v>6.35</v>
      </c>
    </row>
    <row r="414" spans="1:2" x14ac:dyDescent="0.3">
      <c r="A414" s="3" t="s">
        <v>352</v>
      </c>
      <c r="B414" s="20">
        <v>6.22</v>
      </c>
    </row>
    <row r="415" spans="1:2" x14ac:dyDescent="0.3">
      <c r="A415" s="3" t="s">
        <v>299</v>
      </c>
      <c r="B415" s="20">
        <v>6.18</v>
      </c>
    </row>
    <row r="416" spans="1:2" x14ac:dyDescent="0.3">
      <c r="A416" s="3" t="s">
        <v>164</v>
      </c>
      <c r="B416" s="20">
        <v>6.04</v>
      </c>
    </row>
    <row r="417" spans="1:2" x14ac:dyDescent="0.3">
      <c r="A417" s="3" t="s">
        <v>1249</v>
      </c>
      <c r="B417" s="20">
        <v>5.91</v>
      </c>
    </row>
    <row r="418" spans="1:2" x14ac:dyDescent="0.3">
      <c r="A418" s="3" t="s">
        <v>857</v>
      </c>
      <c r="B418" s="20">
        <v>5.82</v>
      </c>
    </row>
    <row r="419" spans="1:2" x14ac:dyDescent="0.3">
      <c r="A419" s="3" t="s">
        <v>543</v>
      </c>
      <c r="B419" s="20">
        <v>5.63</v>
      </c>
    </row>
    <row r="420" spans="1:2" x14ac:dyDescent="0.3">
      <c r="A420" s="3" t="s">
        <v>1393</v>
      </c>
      <c r="B420" s="20">
        <v>5.5299999999999994</v>
      </c>
    </row>
    <row r="421" spans="1:2" x14ac:dyDescent="0.3">
      <c r="A421" s="3" t="s">
        <v>2684</v>
      </c>
      <c r="B421" s="20">
        <v>5.52</v>
      </c>
    </row>
    <row r="422" spans="1:2" x14ac:dyDescent="0.3">
      <c r="A422" s="3" t="s">
        <v>2152</v>
      </c>
      <c r="B422" s="20">
        <v>5.49</v>
      </c>
    </row>
    <row r="423" spans="1:2" x14ac:dyDescent="0.3">
      <c r="A423" s="3" t="s">
        <v>1929</v>
      </c>
      <c r="B423" s="20">
        <v>5.29</v>
      </c>
    </row>
    <row r="424" spans="1:2" x14ac:dyDescent="0.3">
      <c r="A424" s="3" t="s">
        <v>717</v>
      </c>
      <c r="B424" s="20">
        <v>5.2</v>
      </c>
    </row>
    <row r="425" spans="1:2" x14ac:dyDescent="0.3">
      <c r="A425" s="3" t="s">
        <v>2094</v>
      </c>
      <c r="B425" s="20">
        <v>4.97</v>
      </c>
    </row>
    <row r="426" spans="1:2" x14ac:dyDescent="0.3">
      <c r="A426" s="3" t="s">
        <v>1574</v>
      </c>
      <c r="B426" s="20">
        <v>4.96</v>
      </c>
    </row>
    <row r="427" spans="1:2" x14ac:dyDescent="0.3">
      <c r="A427" s="3" t="s">
        <v>1820</v>
      </c>
      <c r="B427" s="20">
        <v>4.93</v>
      </c>
    </row>
    <row r="428" spans="1:2" x14ac:dyDescent="0.3">
      <c r="A428" s="3" t="s">
        <v>212</v>
      </c>
      <c r="B428" s="20">
        <v>4.91</v>
      </c>
    </row>
    <row r="429" spans="1:2" x14ac:dyDescent="0.3">
      <c r="A429" s="3" t="s">
        <v>942</v>
      </c>
      <c r="B429" s="20">
        <v>4.870000000000001</v>
      </c>
    </row>
    <row r="430" spans="1:2" x14ac:dyDescent="0.3">
      <c r="A430" s="3" t="s">
        <v>2549</v>
      </c>
      <c r="B430" s="20">
        <v>4.8099999999999996</v>
      </c>
    </row>
    <row r="431" spans="1:2" x14ac:dyDescent="0.3">
      <c r="A431" s="3" t="s">
        <v>551</v>
      </c>
      <c r="B431" s="20">
        <v>4.72</v>
      </c>
    </row>
    <row r="432" spans="1:2" x14ac:dyDescent="0.3">
      <c r="A432" s="3" t="s">
        <v>1137</v>
      </c>
      <c r="B432" s="20">
        <v>4.67</v>
      </c>
    </row>
    <row r="433" spans="1:2" x14ac:dyDescent="0.3">
      <c r="A433" s="3" t="s">
        <v>1757</v>
      </c>
      <c r="B433" s="20">
        <v>4.57</v>
      </c>
    </row>
    <row r="434" spans="1:2" x14ac:dyDescent="0.3">
      <c r="A434" s="3" t="s">
        <v>1622</v>
      </c>
      <c r="B434" s="20">
        <v>4.49</v>
      </c>
    </row>
    <row r="435" spans="1:2" x14ac:dyDescent="0.3">
      <c r="A435" s="3" t="s">
        <v>1360</v>
      </c>
      <c r="B435" s="20">
        <v>4.12</v>
      </c>
    </row>
    <row r="436" spans="1:2" x14ac:dyDescent="0.3">
      <c r="A436" s="3" t="s">
        <v>1487</v>
      </c>
      <c r="B436" s="20">
        <v>4.1100000000000003</v>
      </c>
    </row>
    <row r="437" spans="1:2" x14ac:dyDescent="0.3">
      <c r="A437" s="3" t="s">
        <v>1304</v>
      </c>
      <c r="B437" s="20">
        <v>3.95</v>
      </c>
    </row>
    <row r="438" spans="1:2" x14ac:dyDescent="0.3">
      <c r="A438" s="3" t="s">
        <v>668</v>
      </c>
      <c r="B438" s="20">
        <v>3.6</v>
      </c>
    </row>
    <row r="439" spans="1:2" x14ac:dyDescent="0.3">
      <c r="A439" s="3" t="s">
        <v>1337</v>
      </c>
      <c r="B439" s="20">
        <v>3.54</v>
      </c>
    </row>
    <row r="440" spans="1:2" x14ac:dyDescent="0.3">
      <c r="A440" s="3" t="s">
        <v>2508</v>
      </c>
      <c r="B440" s="20">
        <v>3.49</v>
      </c>
    </row>
    <row r="441" spans="1:2" x14ac:dyDescent="0.3">
      <c r="A441" s="3" t="s">
        <v>2002</v>
      </c>
      <c r="B441" s="20">
        <v>3.45</v>
      </c>
    </row>
    <row r="442" spans="1:2" x14ac:dyDescent="0.3">
      <c r="A442" s="3" t="s">
        <v>1832</v>
      </c>
      <c r="B442" s="20">
        <v>3.26</v>
      </c>
    </row>
    <row r="443" spans="1:2" x14ac:dyDescent="0.3">
      <c r="A443" s="3" t="s">
        <v>583</v>
      </c>
      <c r="B443" s="20">
        <v>3.16</v>
      </c>
    </row>
    <row r="444" spans="1:2" x14ac:dyDescent="0.3">
      <c r="A444" s="3" t="s">
        <v>670</v>
      </c>
      <c r="B444" s="20">
        <v>3.1</v>
      </c>
    </row>
    <row r="445" spans="1:2" x14ac:dyDescent="0.3">
      <c r="A445" s="3" t="s">
        <v>58</v>
      </c>
      <c r="B445" s="20">
        <v>3.08</v>
      </c>
    </row>
    <row r="446" spans="1:2" x14ac:dyDescent="0.3">
      <c r="A446" s="3" t="s">
        <v>1471</v>
      </c>
      <c r="B446" s="20">
        <v>3.01</v>
      </c>
    </row>
    <row r="447" spans="1:2" x14ac:dyDescent="0.3">
      <c r="A447" s="3" t="s">
        <v>930</v>
      </c>
      <c r="B447" s="20">
        <v>2.8199999999999994</v>
      </c>
    </row>
    <row r="448" spans="1:2" x14ac:dyDescent="0.3">
      <c r="A448" s="3" t="s">
        <v>615</v>
      </c>
      <c r="B448" s="20">
        <v>2.72</v>
      </c>
    </row>
    <row r="449" spans="1:2" x14ac:dyDescent="0.3">
      <c r="A449" s="3" t="s">
        <v>955</v>
      </c>
      <c r="B449" s="20">
        <v>2.71</v>
      </c>
    </row>
    <row r="450" spans="1:2" x14ac:dyDescent="0.3">
      <c r="A450" s="3" t="s">
        <v>330</v>
      </c>
      <c r="B450" s="20">
        <v>2.69</v>
      </c>
    </row>
    <row r="451" spans="1:2" x14ac:dyDescent="0.3">
      <c r="A451" s="3" t="s">
        <v>2057</v>
      </c>
      <c r="B451" s="20">
        <v>2.63</v>
      </c>
    </row>
    <row r="452" spans="1:2" x14ac:dyDescent="0.3">
      <c r="A452" s="3" t="s">
        <v>2103</v>
      </c>
      <c r="B452" s="20">
        <v>2.5</v>
      </c>
    </row>
    <row r="453" spans="1:2" x14ac:dyDescent="0.3">
      <c r="A453" s="3" t="s">
        <v>1423</v>
      </c>
      <c r="B453" s="20">
        <v>2.5</v>
      </c>
    </row>
    <row r="454" spans="1:2" x14ac:dyDescent="0.3">
      <c r="A454" s="3" t="s">
        <v>2275</v>
      </c>
      <c r="B454" s="20">
        <v>2.48</v>
      </c>
    </row>
    <row r="455" spans="1:2" x14ac:dyDescent="0.3">
      <c r="A455" s="3" t="s">
        <v>2448</v>
      </c>
      <c r="B455" s="20">
        <v>2.4300000000000002</v>
      </c>
    </row>
    <row r="456" spans="1:2" x14ac:dyDescent="0.3">
      <c r="A456" s="3" t="s">
        <v>146</v>
      </c>
      <c r="B456" s="20">
        <v>2.39</v>
      </c>
    </row>
    <row r="457" spans="1:2" x14ac:dyDescent="0.3">
      <c r="A457" s="3" t="s">
        <v>1784</v>
      </c>
      <c r="B457" s="20">
        <v>2.38</v>
      </c>
    </row>
    <row r="458" spans="1:2" x14ac:dyDescent="0.3">
      <c r="A458" s="3" t="s">
        <v>2201</v>
      </c>
      <c r="B458" s="20">
        <v>2.21</v>
      </c>
    </row>
    <row r="459" spans="1:2" x14ac:dyDescent="0.3">
      <c r="A459" s="3" t="s">
        <v>1144</v>
      </c>
      <c r="B459" s="20">
        <v>2.1800000000000002</v>
      </c>
    </row>
    <row r="460" spans="1:2" x14ac:dyDescent="0.3">
      <c r="A460" s="3" t="s">
        <v>61</v>
      </c>
      <c r="B460" s="20">
        <v>2.15</v>
      </c>
    </row>
    <row r="461" spans="1:2" x14ac:dyDescent="0.3">
      <c r="A461" s="3" t="s">
        <v>1803</v>
      </c>
      <c r="B461" s="20">
        <v>2.11</v>
      </c>
    </row>
    <row r="462" spans="1:2" x14ac:dyDescent="0.3">
      <c r="A462" s="3" t="s">
        <v>2186</v>
      </c>
      <c r="B462" s="20">
        <v>2.0699999999999998</v>
      </c>
    </row>
    <row r="463" spans="1:2" x14ac:dyDescent="0.3">
      <c r="A463" s="3" t="s">
        <v>588</v>
      </c>
      <c r="B463" s="20">
        <v>1.96</v>
      </c>
    </row>
    <row r="464" spans="1:2" x14ac:dyDescent="0.3">
      <c r="A464" s="3" t="s">
        <v>1716</v>
      </c>
      <c r="B464" s="20">
        <v>1.8200000000000012</v>
      </c>
    </row>
    <row r="465" spans="1:2" x14ac:dyDescent="0.3">
      <c r="A465" s="3" t="s">
        <v>1276</v>
      </c>
      <c r="B465" s="20">
        <v>1.37</v>
      </c>
    </row>
    <row r="466" spans="1:2" x14ac:dyDescent="0.3">
      <c r="A466" s="3" t="s">
        <v>155</v>
      </c>
      <c r="B466" s="20">
        <v>1.3499999999999996</v>
      </c>
    </row>
    <row r="467" spans="1:2" x14ac:dyDescent="0.3">
      <c r="A467" s="3" t="s">
        <v>128</v>
      </c>
      <c r="B467" s="20">
        <v>1.33</v>
      </c>
    </row>
    <row r="468" spans="1:2" x14ac:dyDescent="0.3">
      <c r="A468" s="3" t="s">
        <v>1168</v>
      </c>
      <c r="B468" s="20">
        <v>1.18</v>
      </c>
    </row>
    <row r="469" spans="1:2" x14ac:dyDescent="0.3">
      <c r="A469" s="3" t="s">
        <v>1912</v>
      </c>
      <c r="B469" s="20">
        <v>1.17</v>
      </c>
    </row>
    <row r="470" spans="1:2" x14ac:dyDescent="0.3">
      <c r="A470" s="3" t="s">
        <v>94</v>
      </c>
      <c r="B470" s="20">
        <v>1.1199999999999999</v>
      </c>
    </row>
    <row r="471" spans="1:2" x14ac:dyDescent="0.3">
      <c r="A471" s="3" t="s">
        <v>554</v>
      </c>
      <c r="B471" s="20">
        <v>1.07</v>
      </c>
    </row>
    <row r="472" spans="1:2" x14ac:dyDescent="0.3">
      <c r="A472" s="3" t="s">
        <v>1149</v>
      </c>
      <c r="B472" s="20">
        <v>1.03</v>
      </c>
    </row>
    <row r="473" spans="1:2" x14ac:dyDescent="0.3">
      <c r="A473" s="3" t="s">
        <v>925</v>
      </c>
      <c r="B473" s="20">
        <v>1.0199999999999996</v>
      </c>
    </row>
    <row r="474" spans="1:2" x14ac:dyDescent="0.3">
      <c r="A474" s="3" t="s">
        <v>576</v>
      </c>
      <c r="B474" s="20">
        <v>0.97</v>
      </c>
    </row>
    <row r="475" spans="1:2" x14ac:dyDescent="0.3">
      <c r="A475" s="3" t="s">
        <v>2344</v>
      </c>
      <c r="B475" s="20">
        <v>0.86</v>
      </c>
    </row>
    <row r="476" spans="1:2" x14ac:dyDescent="0.3">
      <c r="A476" s="3" t="s">
        <v>1798</v>
      </c>
      <c r="B476" s="20">
        <v>0.74</v>
      </c>
    </row>
    <row r="477" spans="1:2" x14ac:dyDescent="0.3">
      <c r="A477" s="3" t="s">
        <v>656</v>
      </c>
      <c r="B477" s="20">
        <v>0.59</v>
      </c>
    </row>
    <row r="478" spans="1:2" x14ac:dyDescent="0.3">
      <c r="A478" s="3" t="s">
        <v>2038</v>
      </c>
      <c r="B478" s="20">
        <v>0.44</v>
      </c>
    </row>
    <row r="479" spans="1:2" x14ac:dyDescent="0.3">
      <c r="A479" s="3" t="s">
        <v>1965</v>
      </c>
      <c r="B479" s="20">
        <v>0.41</v>
      </c>
    </row>
    <row r="480" spans="1:2" x14ac:dyDescent="0.3">
      <c r="A480" s="3" t="s">
        <v>90</v>
      </c>
      <c r="B480" s="20">
        <v>0.38</v>
      </c>
    </row>
    <row r="481" spans="1:2" x14ac:dyDescent="0.3">
      <c r="A481" s="3" t="s">
        <v>296</v>
      </c>
      <c r="B481" s="20">
        <v>0</v>
      </c>
    </row>
    <row r="482" spans="1:2" x14ac:dyDescent="0.3">
      <c r="A482" s="3" t="s">
        <v>2469</v>
      </c>
      <c r="B482" s="20">
        <v>0</v>
      </c>
    </row>
    <row r="483" spans="1:2" x14ac:dyDescent="0.3">
      <c r="A483" s="3" t="s">
        <v>2274</v>
      </c>
      <c r="B483" s="20">
        <v>-0.75</v>
      </c>
    </row>
    <row r="484" spans="1:2" x14ac:dyDescent="0.3">
      <c r="A484" s="3" t="s">
        <v>722</v>
      </c>
      <c r="B484" s="20">
        <v>-1.0399999999999994</v>
      </c>
    </row>
    <row r="485" spans="1:2" x14ac:dyDescent="0.3">
      <c r="A485" s="3" t="s">
        <v>803</v>
      </c>
      <c r="B485" s="20">
        <v>-1.1199999999999992</v>
      </c>
    </row>
    <row r="486" spans="1:2" x14ac:dyDescent="0.3">
      <c r="A486" s="3" t="s">
        <v>1381</v>
      </c>
      <c r="B486" s="20">
        <v>-1.26</v>
      </c>
    </row>
    <row r="487" spans="1:2" x14ac:dyDescent="0.3">
      <c r="A487" s="3" t="s">
        <v>2230</v>
      </c>
      <c r="B487" s="20">
        <v>-1.77</v>
      </c>
    </row>
    <row r="488" spans="1:2" x14ac:dyDescent="0.3">
      <c r="A488" s="3" t="s">
        <v>954</v>
      </c>
      <c r="B488" s="20">
        <v>-2.4500000000000011</v>
      </c>
    </row>
    <row r="489" spans="1:2" x14ac:dyDescent="0.3">
      <c r="A489" s="3" t="s">
        <v>2325</v>
      </c>
      <c r="B489" s="20">
        <v>-2.69</v>
      </c>
    </row>
    <row r="490" spans="1:2" x14ac:dyDescent="0.3">
      <c r="A490" s="3" t="s">
        <v>699</v>
      </c>
      <c r="B490" s="20">
        <v>-2.96</v>
      </c>
    </row>
    <row r="491" spans="1:2" x14ac:dyDescent="0.3">
      <c r="A491" s="3" t="s">
        <v>1170</v>
      </c>
      <c r="B491" s="20">
        <v>-3</v>
      </c>
    </row>
    <row r="492" spans="1:2" x14ac:dyDescent="0.3">
      <c r="A492" s="3" t="s">
        <v>2161</v>
      </c>
      <c r="B492" s="20">
        <v>-3.79</v>
      </c>
    </row>
    <row r="493" spans="1:2" x14ac:dyDescent="0.3">
      <c r="A493" s="3" t="s">
        <v>1749</v>
      </c>
      <c r="B493" s="20">
        <v>-4.76</v>
      </c>
    </row>
    <row r="494" spans="1:2" x14ac:dyDescent="0.3">
      <c r="A494" s="3" t="s">
        <v>1338</v>
      </c>
      <c r="B494" s="20">
        <v>-4.84</v>
      </c>
    </row>
    <row r="495" spans="1:2" x14ac:dyDescent="0.3">
      <c r="A495" s="3" t="s">
        <v>2166</v>
      </c>
      <c r="B495" s="20">
        <v>-4.8499999999999996</v>
      </c>
    </row>
    <row r="496" spans="1:2" x14ac:dyDescent="0.3">
      <c r="A496" s="3" t="s">
        <v>1476</v>
      </c>
      <c r="B496" s="20">
        <v>-5.0599999999999996</v>
      </c>
    </row>
    <row r="497" spans="1:2" x14ac:dyDescent="0.3">
      <c r="A497" s="3" t="s">
        <v>1400</v>
      </c>
      <c r="B497" s="20">
        <v>-5.12</v>
      </c>
    </row>
    <row r="498" spans="1:2" x14ac:dyDescent="0.3">
      <c r="A498" s="3" t="s">
        <v>1890</v>
      </c>
      <c r="B498" s="20">
        <v>-5.45</v>
      </c>
    </row>
    <row r="499" spans="1:2" x14ac:dyDescent="0.3">
      <c r="A499" s="3" t="s">
        <v>1754</v>
      </c>
      <c r="B499" s="20">
        <v>-5.6</v>
      </c>
    </row>
    <row r="500" spans="1:2" x14ac:dyDescent="0.3">
      <c r="A500" s="3" t="s">
        <v>2338</v>
      </c>
      <c r="B500" s="20">
        <v>-6.03</v>
      </c>
    </row>
    <row r="501" spans="1:2" x14ac:dyDescent="0.3">
      <c r="A501" s="3" t="s">
        <v>143</v>
      </c>
      <c r="B501" s="20">
        <v>-7.33</v>
      </c>
    </row>
    <row r="502" spans="1:2" x14ac:dyDescent="0.3">
      <c r="A502" s="3" t="s">
        <v>1251</v>
      </c>
      <c r="B502" s="20">
        <v>-8.0299999999999994</v>
      </c>
    </row>
    <row r="503" spans="1:2" x14ac:dyDescent="0.3">
      <c r="A503" s="3" t="s">
        <v>1027</v>
      </c>
      <c r="B503" s="20">
        <v>-8.6499999999999932</v>
      </c>
    </row>
    <row r="504" spans="1:2" x14ac:dyDescent="0.3">
      <c r="A504" s="3" t="s">
        <v>1020</v>
      </c>
      <c r="B504" s="20">
        <v>-8.89</v>
      </c>
    </row>
    <row r="505" spans="1:2" x14ac:dyDescent="0.3">
      <c r="A505" s="3" t="s">
        <v>1430</v>
      </c>
      <c r="B505" s="20">
        <v>-9.3500000000000014</v>
      </c>
    </row>
    <row r="506" spans="1:2" x14ac:dyDescent="0.3">
      <c r="A506" s="3" t="s">
        <v>1847</v>
      </c>
      <c r="B506" s="20">
        <v>-9.59</v>
      </c>
    </row>
    <row r="507" spans="1:2" x14ac:dyDescent="0.3">
      <c r="A507" s="3" t="s">
        <v>473</v>
      </c>
      <c r="B507" s="20">
        <v>-10</v>
      </c>
    </row>
    <row r="508" spans="1:2" x14ac:dyDescent="0.3">
      <c r="A508" s="3" t="s">
        <v>373</v>
      </c>
      <c r="B508" s="20">
        <v>-11.380000000000003</v>
      </c>
    </row>
    <row r="509" spans="1:2" x14ac:dyDescent="0.3">
      <c r="A509" s="3" t="s">
        <v>2011</v>
      </c>
      <c r="B509" s="20">
        <v>-12.51</v>
      </c>
    </row>
    <row r="510" spans="1:2" x14ac:dyDescent="0.3">
      <c r="A510" s="3" t="s">
        <v>592</v>
      </c>
      <c r="B510" s="20">
        <v>-13.01</v>
      </c>
    </row>
    <row r="511" spans="1:2" x14ac:dyDescent="0.3">
      <c r="A511" s="3" t="s">
        <v>50</v>
      </c>
      <c r="B511" s="20">
        <v>-13.020000000000001</v>
      </c>
    </row>
    <row r="512" spans="1:2" x14ac:dyDescent="0.3">
      <c r="A512" s="3" t="s">
        <v>1744</v>
      </c>
      <c r="B512" s="20">
        <v>-13.73</v>
      </c>
    </row>
    <row r="513" spans="1:2" x14ac:dyDescent="0.3">
      <c r="A513" s="3" t="s">
        <v>1865</v>
      </c>
      <c r="B513" s="20">
        <v>-14.17</v>
      </c>
    </row>
    <row r="514" spans="1:2" x14ac:dyDescent="0.3">
      <c r="A514" s="3" t="s">
        <v>312</v>
      </c>
      <c r="B514" s="20">
        <v>-14.7</v>
      </c>
    </row>
    <row r="515" spans="1:2" x14ac:dyDescent="0.3">
      <c r="A515" s="3" t="s">
        <v>1988</v>
      </c>
      <c r="B515" s="20">
        <v>-15.58</v>
      </c>
    </row>
    <row r="516" spans="1:2" x14ac:dyDescent="0.3">
      <c r="A516" s="3" t="s">
        <v>981</v>
      </c>
      <c r="B516" s="20">
        <v>-15.84</v>
      </c>
    </row>
    <row r="517" spans="1:2" x14ac:dyDescent="0.3">
      <c r="A517" s="3" t="s">
        <v>893</v>
      </c>
      <c r="B517" s="20">
        <v>-15.969999999999995</v>
      </c>
    </row>
    <row r="518" spans="1:2" x14ac:dyDescent="0.3">
      <c r="A518" s="3" t="s">
        <v>1235</v>
      </c>
      <c r="B518" s="20">
        <v>-16.39</v>
      </c>
    </row>
    <row r="519" spans="1:2" x14ac:dyDescent="0.3">
      <c r="A519" s="3" t="s">
        <v>1871</v>
      </c>
      <c r="B519" s="20">
        <v>-17.04</v>
      </c>
    </row>
    <row r="520" spans="1:2" x14ac:dyDescent="0.3">
      <c r="A520" s="3" t="s">
        <v>918</v>
      </c>
      <c r="B520" s="20">
        <v>-17.46</v>
      </c>
    </row>
    <row r="521" spans="1:2" x14ac:dyDescent="0.3">
      <c r="A521" s="3" t="s">
        <v>900</v>
      </c>
      <c r="B521" s="20">
        <v>-19.090000000000003</v>
      </c>
    </row>
    <row r="522" spans="1:2" x14ac:dyDescent="0.3">
      <c r="A522" s="3" t="s">
        <v>1396</v>
      </c>
      <c r="B522" s="20">
        <v>-19.52</v>
      </c>
    </row>
    <row r="523" spans="1:2" x14ac:dyDescent="0.3">
      <c r="A523" s="3" t="s">
        <v>682</v>
      </c>
      <c r="B523" s="20">
        <v>-20.14</v>
      </c>
    </row>
    <row r="524" spans="1:2" x14ac:dyDescent="0.3">
      <c r="A524" s="3" t="s">
        <v>1626</v>
      </c>
      <c r="B524" s="20">
        <v>-20.78</v>
      </c>
    </row>
    <row r="525" spans="1:2" x14ac:dyDescent="0.3">
      <c r="A525" s="3" t="s">
        <v>771</v>
      </c>
      <c r="B525" s="20">
        <v>-26.179999999999986</v>
      </c>
    </row>
    <row r="526" spans="1:2" x14ac:dyDescent="0.3">
      <c r="A526" s="3" t="s">
        <v>1924</v>
      </c>
      <c r="B526" s="20">
        <v>-28.279999999999994</v>
      </c>
    </row>
    <row r="527" spans="1:2" x14ac:dyDescent="0.3">
      <c r="A527" s="3" t="s">
        <v>1603</v>
      </c>
      <c r="B527" s="20">
        <v>-29.61</v>
      </c>
    </row>
    <row r="528" spans="1:2" x14ac:dyDescent="0.3">
      <c r="A528" s="3" t="s">
        <v>752</v>
      </c>
      <c r="B528" s="20">
        <v>-30.05</v>
      </c>
    </row>
    <row r="529" spans="1:2" x14ac:dyDescent="0.3">
      <c r="A529" s="3" t="s">
        <v>2018</v>
      </c>
      <c r="B529" s="20">
        <v>-30.650000000000002</v>
      </c>
    </row>
    <row r="530" spans="1:2" x14ac:dyDescent="0.3">
      <c r="A530" s="3" t="s">
        <v>1418</v>
      </c>
      <c r="B530" s="20">
        <v>-32.100000000000009</v>
      </c>
    </row>
    <row r="531" spans="1:2" x14ac:dyDescent="0.3">
      <c r="A531" s="3" t="s">
        <v>2209</v>
      </c>
      <c r="B531" s="20">
        <v>-32.550000000000004</v>
      </c>
    </row>
    <row r="532" spans="1:2" x14ac:dyDescent="0.3">
      <c r="A532" s="3" t="s">
        <v>852</v>
      </c>
      <c r="B532" s="20">
        <v>-33.899999999999991</v>
      </c>
    </row>
    <row r="533" spans="1:2" x14ac:dyDescent="0.3">
      <c r="A533" s="3" t="s">
        <v>229</v>
      </c>
      <c r="B533" s="20">
        <v>-34.450000000000003</v>
      </c>
    </row>
    <row r="534" spans="1:2" x14ac:dyDescent="0.3">
      <c r="A534" s="3" t="s">
        <v>69</v>
      </c>
      <c r="B534" s="20">
        <v>-39.739999999999995</v>
      </c>
    </row>
    <row r="535" spans="1:2" x14ac:dyDescent="0.3">
      <c r="A535" s="3" t="s">
        <v>1687</v>
      </c>
      <c r="B535" s="20">
        <v>-41.94</v>
      </c>
    </row>
    <row r="536" spans="1:2" x14ac:dyDescent="0.3">
      <c r="A536" s="3" t="s">
        <v>1060</v>
      </c>
      <c r="B536" s="20">
        <v>-46.489999999999995</v>
      </c>
    </row>
    <row r="537" spans="1:2" x14ac:dyDescent="0.3">
      <c r="A537" s="3" t="s">
        <v>1688</v>
      </c>
      <c r="B537" s="20">
        <v>-47.34</v>
      </c>
    </row>
    <row r="538" spans="1:2" x14ac:dyDescent="0.3">
      <c r="A538" s="3" t="s">
        <v>225</v>
      </c>
      <c r="B538" s="20">
        <v>-47.660000000000004</v>
      </c>
    </row>
    <row r="539" spans="1:2" x14ac:dyDescent="0.3">
      <c r="A539" s="3" t="s">
        <v>880</v>
      </c>
      <c r="B539" s="20">
        <v>-53.510000000000005</v>
      </c>
    </row>
    <row r="540" spans="1:2" x14ac:dyDescent="0.3">
      <c r="A540" s="3" t="s">
        <v>1193</v>
      </c>
      <c r="B540" s="20">
        <v>-53.88</v>
      </c>
    </row>
    <row r="541" spans="1:2" x14ac:dyDescent="0.3">
      <c r="A541" s="3" t="s">
        <v>1009</v>
      </c>
      <c r="B541" s="20">
        <v>-58.55</v>
      </c>
    </row>
    <row r="542" spans="1:2" x14ac:dyDescent="0.3">
      <c r="A542" s="3" t="s">
        <v>1317</v>
      </c>
      <c r="B542" s="20">
        <v>-59.35</v>
      </c>
    </row>
    <row r="543" spans="1:2" x14ac:dyDescent="0.3">
      <c r="A543" s="3" t="s">
        <v>1608</v>
      </c>
      <c r="B543" s="20">
        <v>-64</v>
      </c>
    </row>
    <row r="544" spans="1:2" x14ac:dyDescent="0.3">
      <c r="A544" s="3" t="s">
        <v>14</v>
      </c>
      <c r="B544" s="20">
        <v>-65.989999999999995</v>
      </c>
    </row>
    <row r="545" spans="1:2" x14ac:dyDescent="0.3">
      <c r="A545" s="3" t="s">
        <v>1690</v>
      </c>
      <c r="B545" s="20">
        <v>-66.519999999999982</v>
      </c>
    </row>
    <row r="546" spans="1:2" x14ac:dyDescent="0.3">
      <c r="A546" s="3" t="s">
        <v>1390</v>
      </c>
      <c r="B546" s="20">
        <v>-70.099999999999994</v>
      </c>
    </row>
    <row r="547" spans="1:2" x14ac:dyDescent="0.3">
      <c r="A547" s="3" t="s">
        <v>46</v>
      </c>
      <c r="B547" s="20">
        <v>-71.960000000000008</v>
      </c>
    </row>
    <row r="548" spans="1:2" x14ac:dyDescent="0.3">
      <c r="A548" s="3" t="s">
        <v>885</v>
      </c>
      <c r="B548" s="20">
        <v>-73.72</v>
      </c>
    </row>
    <row r="549" spans="1:2" x14ac:dyDescent="0.3">
      <c r="A549" s="3" t="s">
        <v>1945</v>
      </c>
      <c r="B549" s="20">
        <v>-78.680000000000007</v>
      </c>
    </row>
    <row r="550" spans="1:2" x14ac:dyDescent="0.3">
      <c r="A550" s="3" t="s">
        <v>1213</v>
      </c>
      <c r="B550" s="20">
        <v>-79.34</v>
      </c>
    </row>
    <row r="551" spans="1:2" x14ac:dyDescent="0.3">
      <c r="A551" s="3" t="s">
        <v>279</v>
      </c>
      <c r="B551" s="20">
        <v>-82.720000000000013</v>
      </c>
    </row>
    <row r="552" spans="1:2" x14ac:dyDescent="0.3">
      <c r="A552" s="3" t="s">
        <v>2093</v>
      </c>
      <c r="B552" s="20">
        <v>-85.649999999999991</v>
      </c>
    </row>
    <row r="553" spans="1:2" x14ac:dyDescent="0.3">
      <c r="A553" s="3" t="s">
        <v>1455</v>
      </c>
      <c r="B553" s="20">
        <v>-90.18</v>
      </c>
    </row>
    <row r="554" spans="1:2" x14ac:dyDescent="0.3">
      <c r="A554" s="3" t="s">
        <v>888</v>
      </c>
      <c r="B554" s="20">
        <v>-91.51</v>
      </c>
    </row>
    <row r="555" spans="1:2" x14ac:dyDescent="0.3">
      <c r="A555" s="3" t="s">
        <v>488</v>
      </c>
      <c r="B555" s="20">
        <v>-94.66</v>
      </c>
    </row>
    <row r="556" spans="1:2" x14ac:dyDescent="0.3">
      <c r="A556" s="3" t="s">
        <v>1457</v>
      </c>
      <c r="B556" s="20">
        <v>-94.88</v>
      </c>
    </row>
    <row r="557" spans="1:2" x14ac:dyDescent="0.3">
      <c r="A557" s="3" t="s">
        <v>1535</v>
      </c>
      <c r="B557" s="20">
        <v>-96.69</v>
      </c>
    </row>
    <row r="558" spans="1:2" x14ac:dyDescent="0.3">
      <c r="A558" s="3" t="s">
        <v>1773</v>
      </c>
      <c r="B558" s="20">
        <v>-96.69</v>
      </c>
    </row>
    <row r="559" spans="1:2" x14ac:dyDescent="0.3">
      <c r="A559" s="3" t="s">
        <v>654</v>
      </c>
      <c r="B559" s="20">
        <v>-100.08000000000001</v>
      </c>
    </row>
    <row r="560" spans="1:2" x14ac:dyDescent="0.3">
      <c r="A560" s="3" t="s">
        <v>1243</v>
      </c>
      <c r="B560" s="20">
        <v>-100.25999999999999</v>
      </c>
    </row>
    <row r="561" spans="1:2" x14ac:dyDescent="0.3">
      <c r="A561" s="3" t="s">
        <v>2225</v>
      </c>
      <c r="B561" s="20">
        <v>-101.92999999999999</v>
      </c>
    </row>
    <row r="562" spans="1:2" x14ac:dyDescent="0.3">
      <c r="A562" s="3" t="s">
        <v>2484</v>
      </c>
      <c r="B562" s="20">
        <v>-104.9</v>
      </c>
    </row>
    <row r="563" spans="1:2" x14ac:dyDescent="0.3">
      <c r="A563" s="3" t="s">
        <v>1921</v>
      </c>
      <c r="B563" s="20">
        <v>-108.83</v>
      </c>
    </row>
    <row r="564" spans="1:2" x14ac:dyDescent="0.3">
      <c r="A564" s="3" t="s">
        <v>282</v>
      </c>
      <c r="B564" s="20">
        <v>-127.83999999999999</v>
      </c>
    </row>
    <row r="565" spans="1:2" x14ac:dyDescent="0.3">
      <c r="A565" s="3" t="s">
        <v>149</v>
      </c>
      <c r="B565" s="20">
        <v>-129.60999999999999</v>
      </c>
    </row>
    <row r="566" spans="1:2" x14ac:dyDescent="0.3">
      <c r="A566" s="3" t="s">
        <v>1434</v>
      </c>
      <c r="B566" s="20">
        <v>-133.94999999999999</v>
      </c>
    </row>
    <row r="567" spans="1:2" x14ac:dyDescent="0.3">
      <c r="A567" s="3" t="s">
        <v>565</v>
      </c>
      <c r="B567" s="20">
        <v>-134.38</v>
      </c>
    </row>
    <row r="568" spans="1:2" x14ac:dyDescent="0.3">
      <c r="A568" s="3" t="s">
        <v>662</v>
      </c>
      <c r="B568" s="20">
        <v>-139.64000000000001</v>
      </c>
    </row>
    <row r="569" spans="1:2" x14ac:dyDescent="0.3">
      <c r="A569" s="3" t="s">
        <v>2014</v>
      </c>
      <c r="B569" s="20">
        <v>-140.38999999999999</v>
      </c>
    </row>
    <row r="570" spans="1:2" x14ac:dyDescent="0.3">
      <c r="A570" s="3" t="s">
        <v>2473</v>
      </c>
      <c r="B570" s="20">
        <v>-152.46</v>
      </c>
    </row>
    <row r="571" spans="1:2" x14ac:dyDescent="0.3">
      <c r="A571" s="3" t="s">
        <v>1675</v>
      </c>
      <c r="B571" s="20">
        <v>-166.28999999999996</v>
      </c>
    </row>
    <row r="572" spans="1:2" x14ac:dyDescent="0.3">
      <c r="A572" s="3" t="s">
        <v>222</v>
      </c>
      <c r="B572" s="20">
        <v>-166.44</v>
      </c>
    </row>
    <row r="573" spans="1:2" x14ac:dyDescent="0.3">
      <c r="A573" s="3" t="s">
        <v>2034</v>
      </c>
      <c r="B573" s="20">
        <v>-169.32999999999998</v>
      </c>
    </row>
    <row r="574" spans="1:2" x14ac:dyDescent="0.3">
      <c r="A574" s="3" t="s">
        <v>648</v>
      </c>
      <c r="B574" s="20">
        <v>-172.56</v>
      </c>
    </row>
    <row r="575" spans="1:2" x14ac:dyDescent="0.3">
      <c r="A575" s="3" t="s">
        <v>1158</v>
      </c>
      <c r="B575" s="20">
        <v>-177.26</v>
      </c>
    </row>
    <row r="576" spans="1:2" x14ac:dyDescent="0.3">
      <c r="A576" s="3" t="s">
        <v>1071</v>
      </c>
      <c r="B576" s="20">
        <v>-177.44</v>
      </c>
    </row>
    <row r="577" spans="1:2" x14ac:dyDescent="0.3">
      <c r="A577" s="3" t="s">
        <v>241</v>
      </c>
      <c r="B577" s="20">
        <v>-204.76000000000002</v>
      </c>
    </row>
    <row r="578" spans="1:2" x14ac:dyDescent="0.3">
      <c r="A578" s="3" t="s">
        <v>630</v>
      </c>
      <c r="B578" s="20">
        <v>-216.98</v>
      </c>
    </row>
    <row r="579" spans="1:2" x14ac:dyDescent="0.3">
      <c r="A579" s="3" t="s">
        <v>1992</v>
      </c>
      <c r="B579" s="20">
        <v>-217.05</v>
      </c>
    </row>
    <row r="580" spans="1:2" x14ac:dyDescent="0.3">
      <c r="A580" s="3" t="s">
        <v>2236</v>
      </c>
      <c r="B580" s="20">
        <v>-218.92000000000002</v>
      </c>
    </row>
    <row r="581" spans="1:2" x14ac:dyDescent="0.3">
      <c r="A581" s="3" t="s">
        <v>1239</v>
      </c>
      <c r="B581" s="20">
        <v>-219.22000000000003</v>
      </c>
    </row>
    <row r="582" spans="1:2" x14ac:dyDescent="0.3">
      <c r="A582" s="3" t="s">
        <v>1014</v>
      </c>
      <c r="B582" s="20">
        <v>-237.35</v>
      </c>
    </row>
    <row r="583" spans="1:2" x14ac:dyDescent="0.3">
      <c r="A583" s="3" t="s">
        <v>1512</v>
      </c>
      <c r="B583" s="20">
        <v>-240.95</v>
      </c>
    </row>
    <row r="584" spans="1:2" x14ac:dyDescent="0.3">
      <c r="A584" s="3" t="s">
        <v>828</v>
      </c>
      <c r="B584" s="20">
        <v>-242.66</v>
      </c>
    </row>
    <row r="585" spans="1:2" x14ac:dyDescent="0.3">
      <c r="A585" s="3" t="s">
        <v>2371</v>
      </c>
      <c r="B585" s="20">
        <v>-304.27000000000004</v>
      </c>
    </row>
    <row r="586" spans="1:2" x14ac:dyDescent="0.3">
      <c r="A586" s="3" t="s">
        <v>244</v>
      </c>
      <c r="B586" s="20">
        <v>-312.57000000000005</v>
      </c>
    </row>
    <row r="587" spans="1:2" x14ac:dyDescent="0.3">
      <c r="A587" s="3" t="s">
        <v>1230</v>
      </c>
      <c r="B587" s="20">
        <v>-316.80999999999995</v>
      </c>
    </row>
    <row r="588" spans="1:2" x14ac:dyDescent="0.3">
      <c r="A588" s="3" t="s">
        <v>988</v>
      </c>
      <c r="B588" s="20">
        <v>-329.6</v>
      </c>
    </row>
    <row r="589" spans="1:2" x14ac:dyDescent="0.3">
      <c r="A589" s="3" t="s">
        <v>1730</v>
      </c>
      <c r="B589" s="20">
        <v>-336.63</v>
      </c>
    </row>
    <row r="590" spans="1:2" x14ac:dyDescent="0.3">
      <c r="A590" s="3" t="s">
        <v>1260</v>
      </c>
      <c r="B590" s="20">
        <v>-359.65999999999997</v>
      </c>
    </row>
    <row r="591" spans="1:2" x14ac:dyDescent="0.3">
      <c r="A591" s="3" t="s">
        <v>2238</v>
      </c>
      <c r="B591" s="20">
        <v>-369.13</v>
      </c>
    </row>
    <row r="592" spans="1:2" x14ac:dyDescent="0.3">
      <c r="A592" s="3" t="s">
        <v>77</v>
      </c>
      <c r="B592" s="20">
        <v>-373.3</v>
      </c>
    </row>
    <row r="593" spans="1:2" x14ac:dyDescent="0.3">
      <c r="A593" s="3" t="s">
        <v>624</v>
      </c>
      <c r="B593" s="20">
        <v>-496.2</v>
      </c>
    </row>
    <row r="594" spans="1:2" x14ac:dyDescent="0.3">
      <c r="A594" s="3" t="s">
        <v>1221</v>
      </c>
      <c r="B594" s="20">
        <v>-565.93999999999994</v>
      </c>
    </row>
    <row r="595" spans="1:2" x14ac:dyDescent="0.3">
      <c r="A595" s="3" t="s">
        <v>549</v>
      </c>
      <c r="B595" s="20">
        <v>-646.82999999999981</v>
      </c>
    </row>
    <row r="596" spans="1:2" x14ac:dyDescent="0.3">
      <c r="A596" s="3" t="s">
        <v>408</v>
      </c>
      <c r="B596" s="20">
        <v>-779</v>
      </c>
    </row>
    <row r="597" spans="1:2" x14ac:dyDescent="0.3">
      <c r="A597" s="3" t="s">
        <v>707</v>
      </c>
      <c r="B597" s="20">
        <v>-951.33999999999992</v>
      </c>
    </row>
    <row r="598" spans="1:2" x14ac:dyDescent="0.3">
      <c r="A598" s="3" t="s">
        <v>2024</v>
      </c>
      <c r="B598" s="20">
        <v>-1065.3699999999999</v>
      </c>
    </row>
    <row r="599" spans="1:2" x14ac:dyDescent="0.3">
      <c r="A599" s="3" t="s">
        <v>605</v>
      </c>
      <c r="B599" s="20">
        <v>-1115.6099999999999</v>
      </c>
    </row>
    <row r="600" spans="1:2" x14ac:dyDescent="0.3">
      <c r="A600" s="3" t="s">
        <v>646</v>
      </c>
      <c r="B600" s="20">
        <v>-1137.0300000000002</v>
      </c>
    </row>
    <row r="601" spans="1:2" x14ac:dyDescent="0.3">
      <c r="A601" s="3" t="s">
        <v>1206</v>
      </c>
      <c r="B601" s="20">
        <v>-1328.9399999999998</v>
      </c>
    </row>
    <row r="602" spans="1:2" x14ac:dyDescent="0.3">
      <c r="A602" s="3" t="s">
        <v>1314</v>
      </c>
      <c r="B602" s="20">
        <v>-2929.48</v>
      </c>
    </row>
    <row r="603" spans="1:2" x14ac:dyDescent="0.3">
      <c r="A603" s="3" t="s">
        <v>761</v>
      </c>
      <c r="B603" s="20">
        <v>-4123.3099999999995</v>
      </c>
    </row>
    <row r="604" spans="1:2" x14ac:dyDescent="0.3">
      <c r="A604" s="3" t="s">
        <v>2746</v>
      </c>
      <c r="B604" s="20">
        <v>47954.11000000003</v>
      </c>
    </row>
  </sheetData>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0C7EF-4DAA-4D44-8F81-A1DFFC4B141E}">
  <dimension ref="A3:E48"/>
  <sheetViews>
    <sheetView topLeftCell="A24" workbookViewId="0">
      <selection activeCell="M11" sqref="M11"/>
    </sheetView>
  </sheetViews>
  <sheetFormatPr defaultRowHeight="14.4" x14ac:dyDescent="0.3"/>
  <cols>
    <col min="1" max="1" width="14" bestFit="1" customWidth="1"/>
    <col min="2" max="2" width="11.5546875" customWidth="1"/>
  </cols>
  <sheetData>
    <row r="3" spans="1:5" x14ac:dyDescent="0.3">
      <c r="A3" s="19" t="s">
        <v>2745</v>
      </c>
      <c r="B3" t="s">
        <v>2747</v>
      </c>
    </row>
    <row r="4" spans="1:5" x14ac:dyDescent="0.3">
      <c r="A4" s="3" t="s">
        <v>474</v>
      </c>
      <c r="B4" s="20">
        <v>1690.8300000000002</v>
      </c>
      <c r="D4" t="str">
        <f>A4</f>
        <v>Alabama</v>
      </c>
      <c r="E4">
        <f>B4</f>
        <v>1690.8300000000002</v>
      </c>
    </row>
    <row r="5" spans="1:5" x14ac:dyDescent="0.3">
      <c r="A5" s="3" t="s">
        <v>95</v>
      </c>
      <c r="B5" s="20">
        <v>3781.6299999999987</v>
      </c>
      <c r="D5" t="str">
        <f t="shared" ref="D5:D48" si="0">A5</f>
        <v>Arizona</v>
      </c>
      <c r="E5">
        <f t="shared" ref="E5:E48" si="1">B5</f>
        <v>3781.6299999999987</v>
      </c>
    </row>
    <row r="6" spans="1:5" x14ac:dyDescent="0.3">
      <c r="A6" s="3" t="s">
        <v>100</v>
      </c>
      <c r="B6" s="20">
        <v>3770.3500000000004</v>
      </c>
      <c r="D6" t="str">
        <f t="shared" si="0"/>
        <v>Arkansas</v>
      </c>
      <c r="E6">
        <f t="shared" si="1"/>
        <v>3770.3500000000004</v>
      </c>
    </row>
    <row r="7" spans="1:5" x14ac:dyDescent="0.3">
      <c r="A7" s="3" t="s">
        <v>27</v>
      </c>
      <c r="B7" s="20">
        <v>80147.56</v>
      </c>
      <c r="D7" t="str">
        <f t="shared" si="0"/>
        <v>California</v>
      </c>
      <c r="E7">
        <f t="shared" si="1"/>
        <v>80147.56</v>
      </c>
    </row>
    <row r="8" spans="1:5" x14ac:dyDescent="0.3">
      <c r="A8" s="3" t="s">
        <v>269</v>
      </c>
      <c r="B8" s="20">
        <v>6501.9999999999982</v>
      </c>
      <c r="D8" t="str">
        <f t="shared" si="0"/>
        <v>Colorado</v>
      </c>
      <c r="E8">
        <f t="shared" si="1"/>
        <v>6501.9999999999982</v>
      </c>
    </row>
    <row r="9" spans="1:5" x14ac:dyDescent="0.3">
      <c r="A9" s="3" t="s">
        <v>600</v>
      </c>
      <c r="B9" s="20">
        <v>1911.0599999999997</v>
      </c>
      <c r="D9" t="str">
        <f t="shared" si="0"/>
        <v>Connecticut</v>
      </c>
      <c r="E9">
        <f t="shared" si="1"/>
        <v>1911.0599999999997</v>
      </c>
    </row>
    <row r="10" spans="1:5" x14ac:dyDescent="0.3">
      <c r="A10" s="3" t="s">
        <v>59</v>
      </c>
      <c r="B10" s="20">
        <v>2432.8599999999997</v>
      </c>
      <c r="D10" t="str">
        <f t="shared" si="0"/>
        <v>Delaware</v>
      </c>
      <c r="E10">
        <f t="shared" si="1"/>
        <v>2432.8599999999997</v>
      </c>
    </row>
    <row r="11" spans="1:5" x14ac:dyDescent="0.3">
      <c r="A11" s="3" t="s">
        <v>120</v>
      </c>
      <c r="B11" s="20">
        <v>11637.41</v>
      </c>
      <c r="D11" t="str">
        <f t="shared" si="0"/>
        <v>Florida</v>
      </c>
      <c r="E11">
        <f t="shared" si="1"/>
        <v>11637.41</v>
      </c>
    </row>
    <row r="12" spans="1:5" x14ac:dyDescent="0.3">
      <c r="A12" s="3" t="s">
        <v>30</v>
      </c>
      <c r="B12" s="20">
        <v>5923.369999999999</v>
      </c>
      <c r="D12" t="str">
        <f t="shared" si="0"/>
        <v>Georgia</v>
      </c>
      <c r="E12">
        <f t="shared" si="1"/>
        <v>5923.369999999999</v>
      </c>
    </row>
    <row r="13" spans="1:5" x14ac:dyDescent="0.3">
      <c r="A13" s="3" t="s">
        <v>495</v>
      </c>
      <c r="B13" s="20">
        <v>596.01</v>
      </c>
      <c r="D13" t="str">
        <f t="shared" si="0"/>
        <v>Idaho</v>
      </c>
      <c r="E13">
        <f t="shared" si="1"/>
        <v>596.01</v>
      </c>
    </row>
    <row r="14" spans="1:5" x14ac:dyDescent="0.3">
      <c r="A14" s="3" t="s">
        <v>15</v>
      </c>
      <c r="B14" s="20">
        <v>12304.569999999998</v>
      </c>
      <c r="D14" t="str">
        <f t="shared" si="0"/>
        <v>Illinois</v>
      </c>
      <c r="E14">
        <f t="shared" si="1"/>
        <v>12304.569999999998</v>
      </c>
    </row>
    <row r="15" spans="1:5" x14ac:dyDescent="0.3">
      <c r="A15" s="3" t="s">
        <v>126</v>
      </c>
      <c r="B15" s="20">
        <v>22954.089999999997</v>
      </c>
      <c r="D15" t="str">
        <f t="shared" si="0"/>
        <v>Indiana</v>
      </c>
      <c r="E15">
        <f t="shared" si="1"/>
        <v>22954.089999999997</v>
      </c>
    </row>
    <row r="16" spans="1:5" x14ac:dyDescent="0.3">
      <c r="A16" s="3" t="s">
        <v>386</v>
      </c>
      <c r="B16" s="20">
        <v>7.28</v>
      </c>
      <c r="D16" t="str">
        <f t="shared" si="0"/>
        <v>Iowa</v>
      </c>
      <c r="E16">
        <f t="shared" si="1"/>
        <v>7.28</v>
      </c>
    </row>
    <row r="17" spans="1:5" x14ac:dyDescent="0.3">
      <c r="A17" s="3" t="s">
        <v>1255</v>
      </c>
      <c r="B17" s="20">
        <v>451.03</v>
      </c>
      <c r="D17" t="str">
        <f t="shared" si="0"/>
        <v>Kansas</v>
      </c>
      <c r="E17">
        <f t="shared" si="1"/>
        <v>451.03</v>
      </c>
    </row>
    <row r="18" spans="1:5" x14ac:dyDescent="0.3">
      <c r="A18" s="3" t="s">
        <v>33</v>
      </c>
      <c r="B18" s="20">
        <v>3750.62</v>
      </c>
      <c r="D18" t="str">
        <f t="shared" si="0"/>
        <v>Kentucky</v>
      </c>
      <c r="E18">
        <f t="shared" si="1"/>
        <v>3750.62</v>
      </c>
    </row>
    <row r="19" spans="1:5" x14ac:dyDescent="0.3">
      <c r="A19" s="3" t="s">
        <v>62</v>
      </c>
      <c r="B19" s="20">
        <v>426.49</v>
      </c>
      <c r="D19" t="str">
        <f t="shared" si="0"/>
        <v>Louisiana</v>
      </c>
      <c r="E19">
        <f t="shared" si="1"/>
        <v>426.49</v>
      </c>
    </row>
    <row r="20" spans="1:5" x14ac:dyDescent="0.3">
      <c r="A20" s="3" t="s">
        <v>1037</v>
      </c>
      <c r="B20" s="20">
        <v>617.12</v>
      </c>
      <c r="D20" t="str">
        <f t="shared" si="0"/>
        <v>Maine</v>
      </c>
      <c r="E20">
        <f t="shared" si="1"/>
        <v>617.12</v>
      </c>
    </row>
    <row r="21" spans="1:5" x14ac:dyDescent="0.3">
      <c r="A21" s="3" t="s">
        <v>517</v>
      </c>
      <c r="B21" s="20">
        <v>4237.2000000000007</v>
      </c>
      <c r="D21" t="str">
        <f t="shared" si="0"/>
        <v>Maryland</v>
      </c>
      <c r="E21">
        <f t="shared" si="1"/>
        <v>4237.2000000000007</v>
      </c>
    </row>
    <row r="22" spans="1:5" x14ac:dyDescent="0.3">
      <c r="A22" s="3" t="s">
        <v>422</v>
      </c>
      <c r="B22" s="20">
        <v>5434.2699999999986</v>
      </c>
      <c r="D22" t="str">
        <f t="shared" si="0"/>
        <v>Massachusetts</v>
      </c>
      <c r="E22">
        <f t="shared" si="1"/>
        <v>5434.2699999999986</v>
      </c>
    </row>
    <row r="23" spans="1:5" x14ac:dyDescent="0.3">
      <c r="A23" s="3" t="s">
        <v>108</v>
      </c>
      <c r="B23" s="20">
        <v>10074.859999999999</v>
      </c>
      <c r="D23" t="str">
        <f t="shared" si="0"/>
        <v>Michigan</v>
      </c>
      <c r="E23">
        <f t="shared" si="1"/>
        <v>10074.859999999999</v>
      </c>
    </row>
    <row r="24" spans="1:5" x14ac:dyDescent="0.3">
      <c r="A24" s="3" t="s">
        <v>308</v>
      </c>
      <c r="B24" s="20">
        <v>3667.91</v>
      </c>
      <c r="D24" t="str">
        <f t="shared" si="0"/>
        <v>Minnesota</v>
      </c>
      <c r="E24">
        <f t="shared" si="1"/>
        <v>3667.91</v>
      </c>
    </row>
    <row r="25" spans="1:5" x14ac:dyDescent="0.3">
      <c r="A25" s="3" t="s">
        <v>322</v>
      </c>
      <c r="B25" s="20">
        <v>1096.9100000000001</v>
      </c>
      <c r="D25" t="str">
        <f t="shared" si="0"/>
        <v>Mississippi</v>
      </c>
      <c r="E25">
        <f t="shared" si="1"/>
        <v>1096.9100000000001</v>
      </c>
    </row>
    <row r="26" spans="1:5" x14ac:dyDescent="0.3">
      <c r="A26" s="3" t="s">
        <v>179</v>
      </c>
      <c r="B26" s="20">
        <v>2695.6800000000003</v>
      </c>
      <c r="D26" t="str">
        <f t="shared" si="0"/>
        <v>Missouri</v>
      </c>
      <c r="E26">
        <f t="shared" si="1"/>
        <v>2695.6800000000003</v>
      </c>
    </row>
    <row r="27" spans="1:5" x14ac:dyDescent="0.3">
      <c r="A27" s="3" t="s">
        <v>500</v>
      </c>
      <c r="B27" s="20">
        <v>410.1</v>
      </c>
      <c r="D27" t="str">
        <f t="shared" si="0"/>
        <v>Montana</v>
      </c>
      <c r="E27">
        <f t="shared" si="1"/>
        <v>410.1</v>
      </c>
    </row>
    <row r="28" spans="1:5" x14ac:dyDescent="0.3">
      <c r="A28" s="3" t="s">
        <v>973</v>
      </c>
      <c r="B28" s="20">
        <v>287.8</v>
      </c>
      <c r="D28" t="str">
        <f t="shared" si="0"/>
        <v>Nebraska</v>
      </c>
      <c r="E28">
        <f t="shared" si="1"/>
        <v>287.8</v>
      </c>
    </row>
    <row r="29" spans="1:5" x14ac:dyDescent="0.3">
      <c r="A29" s="3" t="s">
        <v>123</v>
      </c>
      <c r="B29" s="20">
        <v>95.550000000000011</v>
      </c>
      <c r="D29" t="str">
        <f t="shared" si="0"/>
        <v>Nevada</v>
      </c>
      <c r="E29">
        <f t="shared" si="1"/>
        <v>95.550000000000011</v>
      </c>
    </row>
    <row r="30" spans="1:5" x14ac:dyDescent="0.3">
      <c r="A30" s="3" t="s">
        <v>673</v>
      </c>
      <c r="B30" s="20">
        <v>184.66</v>
      </c>
      <c r="D30" t="str">
        <f t="shared" si="0"/>
        <v>New Hampshire</v>
      </c>
      <c r="E30">
        <f t="shared" si="1"/>
        <v>184.66</v>
      </c>
    </row>
    <row r="31" spans="1:5" x14ac:dyDescent="0.3">
      <c r="A31" s="3" t="s">
        <v>171</v>
      </c>
      <c r="B31" s="20">
        <v>4748.9699999999993</v>
      </c>
      <c r="D31" t="str">
        <f t="shared" si="0"/>
        <v>New Jersey</v>
      </c>
      <c r="E31">
        <f t="shared" si="1"/>
        <v>4748.9699999999993</v>
      </c>
    </row>
    <row r="32" spans="1:5" x14ac:dyDescent="0.3">
      <c r="A32" s="3" t="s">
        <v>390</v>
      </c>
      <c r="B32" s="20">
        <v>255.85</v>
      </c>
      <c r="D32" t="str">
        <f t="shared" si="0"/>
        <v>New Mexico</v>
      </c>
      <c r="E32">
        <f t="shared" si="1"/>
        <v>255.85</v>
      </c>
    </row>
    <row r="33" spans="1:5" x14ac:dyDescent="0.3">
      <c r="A33" s="3" t="s">
        <v>144</v>
      </c>
      <c r="B33" s="20">
        <v>66668.229999999981</v>
      </c>
      <c r="D33" t="str">
        <f t="shared" si="0"/>
        <v>New York</v>
      </c>
      <c r="E33">
        <f t="shared" si="1"/>
        <v>66668.229999999981</v>
      </c>
    </row>
    <row r="34" spans="1:5" x14ac:dyDescent="0.3">
      <c r="A34" s="3" t="s">
        <v>237</v>
      </c>
      <c r="B34" s="20">
        <v>18256.250000000004</v>
      </c>
      <c r="D34" t="str">
        <f t="shared" si="0"/>
        <v>North Carolina</v>
      </c>
      <c r="E34">
        <f t="shared" si="1"/>
        <v>18256.250000000004</v>
      </c>
    </row>
    <row r="35" spans="1:5" x14ac:dyDescent="0.3">
      <c r="A35" s="3" t="s">
        <v>78</v>
      </c>
      <c r="B35" s="20">
        <v>7965.2499999999982</v>
      </c>
      <c r="D35" t="str">
        <f t="shared" si="0"/>
        <v>Ohio</v>
      </c>
      <c r="E35">
        <f t="shared" si="1"/>
        <v>7965.2499999999982</v>
      </c>
    </row>
    <row r="36" spans="1:5" x14ac:dyDescent="0.3">
      <c r="A36" s="3" t="s">
        <v>819</v>
      </c>
      <c r="B36" s="20">
        <v>3926.22</v>
      </c>
      <c r="D36" t="str">
        <f t="shared" si="0"/>
        <v>Oklahoma</v>
      </c>
      <c r="E36">
        <f t="shared" si="1"/>
        <v>3926.22</v>
      </c>
    </row>
    <row r="37" spans="1:5" x14ac:dyDescent="0.3">
      <c r="A37" s="3" t="s">
        <v>91</v>
      </c>
      <c r="B37" s="20">
        <v>2862.3599999999992</v>
      </c>
      <c r="D37" t="str">
        <f t="shared" si="0"/>
        <v>Oregon</v>
      </c>
      <c r="E37">
        <f t="shared" si="1"/>
        <v>2862.3599999999992</v>
      </c>
    </row>
    <row r="38" spans="1:5" x14ac:dyDescent="0.3">
      <c r="A38" s="3" t="s">
        <v>23</v>
      </c>
      <c r="B38" s="20">
        <v>18711.889999999996</v>
      </c>
      <c r="D38" t="str">
        <f t="shared" si="0"/>
        <v>Pennsylvania</v>
      </c>
      <c r="E38">
        <f t="shared" si="1"/>
        <v>18711.889999999996</v>
      </c>
    </row>
    <row r="39" spans="1:5" x14ac:dyDescent="0.3">
      <c r="A39" s="3" t="s">
        <v>1494</v>
      </c>
      <c r="B39" s="20">
        <v>2388.2400000000002</v>
      </c>
      <c r="D39" t="str">
        <f t="shared" si="0"/>
        <v>Rhode Island</v>
      </c>
      <c r="E39">
        <f t="shared" si="1"/>
        <v>2388.2400000000002</v>
      </c>
    </row>
    <row r="40" spans="1:5" x14ac:dyDescent="0.3">
      <c r="A40" s="3" t="s">
        <v>70</v>
      </c>
      <c r="B40" s="20">
        <v>1794.9699999999998</v>
      </c>
      <c r="D40" t="str">
        <f t="shared" si="0"/>
        <v>South Carolina</v>
      </c>
      <c r="E40">
        <f t="shared" si="1"/>
        <v>1794.9699999999998</v>
      </c>
    </row>
    <row r="41" spans="1:5" x14ac:dyDescent="0.3">
      <c r="A41" s="3" t="s">
        <v>117</v>
      </c>
      <c r="B41" s="20">
        <v>4503.3599999999997</v>
      </c>
      <c r="D41" t="str">
        <f t="shared" si="0"/>
        <v>Tennessee</v>
      </c>
      <c r="E41">
        <f t="shared" si="1"/>
        <v>4503.3599999999997</v>
      </c>
    </row>
    <row r="42" spans="1:5" x14ac:dyDescent="0.3">
      <c r="A42" s="3" t="s">
        <v>10</v>
      </c>
      <c r="B42" s="20">
        <v>39487.040000000001</v>
      </c>
      <c r="D42" t="str">
        <f t="shared" si="0"/>
        <v>Texas</v>
      </c>
      <c r="E42">
        <f t="shared" si="1"/>
        <v>39487.040000000001</v>
      </c>
    </row>
    <row r="43" spans="1:5" x14ac:dyDescent="0.3">
      <c r="A43" s="3" t="s">
        <v>287</v>
      </c>
      <c r="B43" s="20">
        <v>2013.3500000000004</v>
      </c>
      <c r="D43" t="str">
        <f t="shared" si="0"/>
        <v>Utah</v>
      </c>
      <c r="E43">
        <f t="shared" si="1"/>
        <v>2013.3500000000004</v>
      </c>
    </row>
    <row r="44" spans="1:5" x14ac:dyDescent="0.3">
      <c r="A44" s="3" t="s">
        <v>2278</v>
      </c>
      <c r="B44" s="20">
        <v>5699.65</v>
      </c>
      <c r="D44" t="str">
        <f t="shared" si="0"/>
        <v>Vermont</v>
      </c>
      <c r="E44">
        <f t="shared" si="1"/>
        <v>5699.65</v>
      </c>
    </row>
    <row r="45" spans="1:5" x14ac:dyDescent="0.3">
      <c r="A45" s="3" t="s">
        <v>55</v>
      </c>
      <c r="B45" s="20">
        <v>17184.97</v>
      </c>
      <c r="D45" t="str">
        <f t="shared" si="0"/>
        <v>Virginia</v>
      </c>
      <c r="E45">
        <f t="shared" si="1"/>
        <v>17184.97</v>
      </c>
    </row>
    <row r="46" spans="1:5" x14ac:dyDescent="0.3">
      <c r="A46" s="3" t="s">
        <v>158</v>
      </c>
      <c r="B46" s="20">
        <v>26013.259999999995</v>
      </c>
      <c r="D46" t="str">
        <f t="shared" si="0"/>
        <v>Washington</v>
      </c>
      <c r="E46">
        <f t="shared" si="1"/>
        <v>26013.259999999995</v>
      </c>
    </row>
    <row r="47" spans="1:5" x14ac:dyDescent="0.3">
      <c r="A47" s="3" t="s">
        <v>152</v>
      </c>
      <c r="B47" s="20">
        <v>9825.51</v>
      </c>
      <c r="D47" t="str">
        <f t="shared" si="0"/>
        <v>Wisconsin</v>
      </c>
      <c r="E47">
        <f t="shared" si="1"/>
        <v>9825.51</v>
      </c>
    </row>
    <row r="48" spans="1:5" x14ac:dyDescent="0.3">
      <c r="A48" s="3" t="s">
        <v>2746</v>
      </c>
      <c r="B48" s="20">
        <v>419394.58999999985</v>
      </c>
      <c r="D48" t="str">
        <f t="shared" si="0"/>
        <v>Grand Total</v>
      </c>
      <c r="E48">
        <f t="shared" si="1"/>
        <v>419394.58999999985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28485-8EA4-4B60-84C9-331A596409F3}">
  <dimension ref="A1:K9995"/>
  <sheetViews>
    <sheetView workbookViewId="0">
      <selection activeCell="G26" sqref="G26"/>
    </sheetView>
  </sheetViews>
  <sheetFormatPr defaultRowHeight="14.4" x14ac:dyDescent="0.3"/>
  <cols>
    <col min="1" max="1" width="19.77734375" style="1" customWidth="1"/>
    <col min="2" max="2" width="19.77734375" style="8" customWidth="1"/>
    <col min="3" max="3" width="19.77734375" style="1" customWidth="1"/>
    <col min="4" max="7" width="19.77734375" customWidth="1"/>
    <col min="8" max="8" width="72.21875" customWidth="1"/>
    <col min="9" max="9" width="19.77734375" style="7" customWidth="1"/>
    <col min="10" max="10" width="19.77734375" style="8" customWidth="1"/>
    <col min="11" max="11" width="19.77734375" style="7" customWidth="1"/>
  </cols>
  <sheetData>
    <row r="1" spans="1:11" x14ac:dyDescent="0.3">
      <c r="A1" s="1" t="s">
        <v>0</v>
      </c>
      <c r="B1" s="8" t="s">
        <v>2744</v>
      </c>
      <c r="C1" s="1" t="s">
        <v>2743</v>
      </c>
      <c r="D1" t="s">
        <v>1</v>
      </c>
      <c r="E1" t="s">
        <v>2</v>
      </c>
      <c r="F1" t="s">
        <v>3</v>
      </c>
      <c r="G1" t="s">
        <v>4</v>
      </c>
      <c r="H1" t="s">
        <v>5</v>
      </c>
      <c r="I1" s="7" t="s">
        <v>6</v>
      </c>
      <c r="J1" s="8" t="s">
        <v>7</v>
      </c>
      <c r="K1" s="7" t="s">
        <v>8</v>
      </c>
    </row>
    <row r="2" spans="1:11" x14ac:dyDescent="0.3">
      <c r="A2" s="2">
        <v>41641</v>
      </c>
      <c r="B2" s="9">
        <f>MONTH(Table1[[#This Row],[Order Date]])</f>
        <v>1</v>
      </c>
      <c r="C2" s="9">
        <f>YEAR(Table1[[#This Row],[Order Date]])</f>
        <v>2014</v>
      </c>
      <c r="D2" t="s">
        <v>151</v>
      </c>
      <c r="E2" t="s">
        <v>152</v>
      </c>
      <c r="F2" t="s">
        <v>39</v>
      </c>
      <c r="G2" t="s">
        <v>52</v>
      </c>
      <c r="H2" t="s">
        <v>153</v>
      </c>
      <c r="I2" s="7">
        <v>468.9</v>
      </c>
      <c r="J2" s="8">
        <v>6</v>
      </c>
      <c r="K2" s="7">
        <v>206.32</v>
      </c>
    </row>
    <row r="3" spans="1:11" x14ac:dyDescent="0.3">
      <c r="A3" s="2">
        <v>41642</v>
      </c>
      <c r="B3" s="9">
        <f>MONTH(Table1[[#This Row],[Order Date]])</f>
        <v>1</v>
      </c>
      <c r="C3" s="9">
        <f>YEAR(Table1[[#This Row],[Order Date]])</f>
        <v>2014</v>
      </c>
      <c r="D3" t="s">
        <v>219</v>
      </c>
      <c r="E3" t="s">
        <v>158</v>
      </c>
      <c r="F3" t="s">
        <v>34</v>
      </c>
      <c r="G3" t="s">
        <v>35</v>
      </c>
      <c r="H3" t="s">
        <v>36</v>
      </c>
      <c r="I3" s="7">
        <v>457.57</v>
      </c>
      <c r="J3" s="8">
        <v>2</v>
      </c>
      <c r="K3" s="7">
        <v>51.48</v>
      </c>
    </row>
    <row r="4" spans="1:11" x14ac:dyDescent="0.3">
      <c r="A4" s="2">
        <v>41642</v>
      </c>
      <c r="B4" s="9">
        <f>MONTH(Table1[[#This Row],[Order Date]])</f>
        <v>1</v>
      </c>
      <c r="C4" s="9">
        <f>YEAR(Table1[[#This Row],[Order Date]])</f>
        <v>2014</v>
      </c>
      <c r="D4" t="s">
        <v>220</v>
      </c>
      <c r="E4" t="s">
        <v>144</v>
      </c>
      <c r="F4" t="s">
        <v>39</v>
      </c>
      <c r="G4" t="s">
        <v>40</v>
      </c>
      <c r="H4" t="s">
        <v>221</v>
      </c>
      <c r="I4" s="7">
        <v>5.94</v>
      </c>
      <c r="J4" s="8">
        <v>3</v>
      </c>
      <c r="K4" s="7">
        <v>1.6</v>
      </c>
    </row>
    <row r="5" spans="1:11" x14ac:dyDescent="0.3">
      <c r="A5" s="2">
        <v>41642</v>
      </c>
      <c r="B5" s="9">
        <f>MONTH(Table1[[#This Row],[Order Date]])</f>
        <v>1</v>
      </c>
      <c r="C5" s="9">
        <f>YEAR(Table1[[#This Row],[Order Date]])</f>
        <v>2014</v>
      </c>
      <c r="D5" t="s">
        <v>222</v>
      </c>
      <c r="E5" t="s">
        <v>15</v>
      </c>
      <c r="F5" t="s">
        <v>34</v>
      </c>
      <c r="G5" t="s">
        <v>35</v>
      </c>
      <c r="H5" t="s">
        <v>223</v>
      </c>
      <c r="I5" s="7">
        <v>634.12</v>
      </c>
      <c r="J5" s="8">
        <v>6</v>
      </c>
      <c r="K5" s="7">
        <v>-172.12</v>
      </c>
    </row>
    <row r="6" spans="1:11" x14ac:dyDescent="0.3">
      <c r="A6" s="2">
        <v>41642</v>
      </c>
      <c r="B6" s="9">
        <f>MONTH(Table1[[#This Row],[Order Date]])</f>
        <v>1</v>
      </c>
      <c r="C6" s="9">
        <f>YEAR(Table1[[#This Row],[Order Date]])</f>
        <v>2014</v>
      </c>
      <c r="D6" t="s">
        <v>222</v>
      </c>
      <c r="E6" t="s">
        <v>15</v>
      </c>
      <c r="F6" t="s">
        <v>11</v>
      </c>
      <c r="G6" t="s">
        <v>12</v>
      </c>
      <c r="H6" t="s">
        <v>224</v>
      </c>
      <c r="I6" s="7">
        <v>17.47</v>
      </c>
      <c r="J6" s="8">
        <v>3</v>
      </c>
      <c r="K6" s="7">
        <v>5.68</v>
      </c>
    </row>
    <row r="7" spans="1:11" x14ac:dyDescent="0.3">
      <c r="A7" s="2">
        <v>41642</v>
      </c>
      <c r="B7" s="9">
        <f>MONTH(Table1[[#This Row],[Order Date]])</f>
        <v>1</v>
      </c>
      <c r="C7" s="9">
        <f>YEAR(Table1[[#This Row],[Order Date]])</f>
        <v>2014</v>
      </c>
      <c r="D7" t="s">
        <v>225</v>
      </c>
      <c r="E7" t="s">
        <v>10</v>
      </c>
      <c r="F7" t="s">
        <v>11</v>
      </c>
      <c r="G7" t="s">
        <v>43</v>
      </c>
      <c r="H7" t="s">
        <v>226</v>
      </c>
      <c r="I7" s="7">
        <v>18.84</v>
      </c>
      <c r="J7" s="8">
        <v>5</v>
      </c>
      <c r="K7" s="7">
        <v>-3.53</v>
      </c>
    </row>
    <row r="8" spans="1:11" x14ac:dyDescent="0.3">
      <c r="A8" s="2">
        <v>41642</v>
      </c>
      <c r="B8" s="9">
        <f>MONTH(Table1[[#This Row],[Order Date]])</f>
        <v>1</v>
      </c>
      <c r="C8" s="9">
        <f>YEAR(Table1[[#This Row],[Order Date]])</f>
        <v>2014</v>
      </c>
      <c r="D8" t="s">
        <v>225</v>
      </c>
      <c r="E8" t="s">
        <v>10</v>
      </c>
      <c r="F8" t="s">
        <v>34</v>
      </c>
      <c r="G8" t="s">
        <v>35</v>
      </c>
      <c r="H8" t="s">
        <v>227</v>
      </c>
      <c r="I8" s="7">
        <v>362.25</v>
      </c>
      <c r="J8" s="8">
        <v>6</v>
      </c>
      <c r="K8" s="7">
        <v>0</v>
      </c>
    </row>
    <row r="9" spans="1:11" x14ac:dyDescent="0.3">
      <c r="A9" s="2">
        <v>41642</v>
      </c>
      <c r="B9" s="9">
        <f>MONTH(Table1[[#This Row],[Order Date]])</f>
        <v>1</v>
      </c>
      <c r="C9" s="9">
        <f>YEAR(Table1[[#This Row],[Order Date]])</f>
        <v>2014</v>
      </c>
      <c r="D9" t="s">
        <v>225</v>
      </c>
      <c r="E9" t="s">
        <v>10</v>
      </c>
      <c r="F9" t="s">
        <v>34</v>
      </c>
      <c r="G9" t="s">
        <v>47</v>
      </c>
      <c r="H9" t="s">
        <v>86</v>
      </c>
      <c r="I9" s="7">
        <v>63.55</v>
      </c>
      <c r="J9" s="8">
        <v>6</v>
      </c>
      <c r="K9" s="7">
        <v>-34.950000000000003</v>
      </c>
    </row>
    <row r="10" spans="1:11" x14ac:dyDescent="0.3">
      <c r="A10" s="2">
        <v>41642</v>
      </c>
      <c r="B10" s="9">
        <f>MONTH(Table1[[#This Row],[Order Date]])</f>
        <v>1</v>
      </c>
      <c r="C10" s="9">
        <f>YEAR(Table1[[#This Row],[Order Date]])</f>
        <v>2014</v>
      </c>
      <c r="D10" t="s">
        <v>225</v>
      </c>
      <c r="E10" t="s">
        <v>10</v>
      </c>
      <c r="F10" t="s">
        <v>11</v>
      </c>
      <c r="G10" t="s">
        <v>18</v>
      </c>
      <c r="H10" t="s">
        <v>228</v>
      </c>
      <c r="I10" s="7">
        <v>129.55000000000001</v>
      </c>
      <c r="J10" s="8">
        <v>3</v>
      </c>
      <c r="K10" s="7">
        <v>-22.67</v>
      </c>
    </row>
    <row r="11" spans="1:11" x14ac:dyDescent="0.3">
      <c r="A11" s="2">
        <v>41642</v>
      </c>
      <c r="B11" s="9">
        <f>MONTH(Table1[[#This Row],[Order Date]])</f>
        <v>1</v>
      </c>
      <c r="C11" s="9">
        <f>YEAR(Table1[[#This Row],[Order Date]])</f>
        <v>2014</v>
      </c>
      <c r="D11" t="s">
        <v>229</v>
      </c>
      <c r="E11" t="s">
        <v>10</v>
      </c>
      <c r="F11" t="s">
        <v>11</v>
      </c>
      <c r="G11" t="s">
        <v>18</v>
      </c>
      <c r="H11" t="s">
        <v>139</v>
      </c>
      <c r="I11" s="7">
        <v>137.35</v>
      </c>
      <c r="J11" s="8">
        <v>3</v>
      </c>
      <c r="K11" s="7">
        <v>8.58</v>
      </c>
    </row>
    <row r="12" spans="1:11" x14ac:dyDescent="0.3">
      <c r="A12" s="2">
        <v>41642</v>
      </c>
      <c r="B12" s="9">
        <f>MONTH(Table1[[#This Row],[Order Date]])</f>
        <v>1</v>
      </c>
      <c r="C12" s="9">
        <f>YEAR(Table1[[#This Row],[Order Date]])</f>
        <v>2014</v>
      </c>
      <c r="D12" t="s">
        <v>229</v>
      </c>
      <c r="E12" t="s">
        <v>10</v>
      </c>
      <c r="F12" t="s">
        <v>34</v>
      </c>
      <c r="G12" t="s">
        <v>140</v>
      </c>
      <c r="H12" t="s">
        <v>230</v>
      </c>
      <c r="I12" s="7">
        <v>376.51</v>
      </c>
      <c r="J12" s="8">
        <v>3</v>
      </c>
      <c r="K12" s="7">
        <v>-43.03</v>
      </c>
    </row>
    <row r="13" spans="1:11" x14ac:dyDescent="0.3">
      <c r="A13" s="2">
        <v>41643</v>
      </c>
      <c r="B13" s="9">
        <f>MONTH(Table1[[#This Row],[Order Date]])</f>
        <v>1</v>
      </c>
      <c r="C13" s="9">
        <f>YEAR(Table1[[#This Row],[Order Date]])</f>
        <v>2014</v>
      </c>
      <c r="D13" t="s">
        <v>395</v>
      </c>
      <c r="E13" t="s">
        <v>27</v>
      </c>
      <c r="F13" t="s">
        <v>11</v>
      </c>
      <c r="G13" t="s">
        <v>16</v>
      </c>
      <c r="H13" t="s">
        <v>399</v>
      </c>
      <c r="I13" s="7">
        <v>29.6</v>
      </c>
      <c r="J13" s="8">
        <v>2</v>
      </c>
      <c r="K13" s="7">
        <v>14.8</v>
      </c>
    </row>
    <row r="14" spans="1:11" x14ac:dyDescent="0.3">
      <c r="A14" s="2">
        <v>41643</v>
      </c>
      <c r="B14" s="9">
        <f>MONTH(Table1[[#This Row],[Order Date]])</f>
        <v>1</v>
      </c>
      <c r="C14" s="9">
        <f>YEAR(Table1[[#This Row],[Order Date]])</f>
        <v>2014</v>
      </c>
      <c r="D14" t="s">
        <v>395</v>
      </c>
      <c r="E14" t="s">
        <v>27</v>
      </c>
      <c r="F14" t="s">
        <v>11</v>
      </c>
      <c r="G14" t="s">
        <v>20</v>
      </c>
      <c r="H14" t="s">
        <v>420</v>
      </c>
      <c r="I14" s="7">
        <v>17.09</v>
      </c>
      <c r="J14" s="8">
        <v>4</v>
      </c>
      <c r="K14" s="7">
        <v>5.55</v>
      </c>
    </row>
    <row r="15" spans="1:11" x14ac:dyDescent="0.3">
      <c r="A15" s="2">
        <v>41643</v>
      </c>
      <c r="B15" s="9">
        <f>MONTH(Table1[[#This Row],[Order Date]])</f>
        <v>1</v>
      </c>
      <c r="C15" s="9">
        <f>YEAR(Table1[[#This Row],[Order Date]])</f>
        <v>2014</v>
      </c>
      <c r="D15" t="s">
        <v>421</v>
      </c>
      <c r="E15" t="s">
        <v>422</v>
      </c>
      <c r="F15" t="s">
        <v>11</v>
      </c>
      <c r="G15" t="s">
        <v>18</v>
      </c>
      <c r="H15" t="s">
        <v>423</v>
      </c>
      <c r="I15" s="7">
        <v>66.959999999999994</v>
      </c>
      <c r="J15" s="8">
        <v>4</v>
      </c>
      <c r="K15" s="7">
        <v>2.68</v>
      </c>
    </row>
    <row r="16" spans="1:11" x14ac:dyDescent="0.3">
      <c r="A16" s="2">
        <v>41643</v>
      </c>
      <c r="B16" s="9">
        <f>MONTH(Table1[[#This Row],[Order Date]])</f>
        <v>1</v>
      </c>
      <c r="C16" s="9">
        <f>YEAR(Table1[[#This Row],[Order Date]])</f>
        <v>2014</v>
      </c>
      <c r="D16" t="s">
        <v>421</v>
      </c>
      <c r="E16" t="s">
        <v>422</v>
      </c>
      <c r="F16" t="s">
        <v>11</v>
      </c>
      <c r="G16" t="s">
        <v>20</v>
      </c>
      <c r="H16" t="s">
        <v>424</v>
      </c>
      <c r="I16" s="7">
        <v>6.24</v>
      </c>
      <c r="J16" s="8">
        <v>2</v>
      </c>
      <c r="K16" s="7">
        <v>3.06</v>
      </c>
    </row>
    <row r="17" spans="1:11" x14ac:dyDescent="0.3">
      <c r="A17" s="2">
        <v>41645</v>
      </c>
      <c r="B17" s="9">
        <f>MONTH(Table1[[#This Row],[Order Date]])</f>
        <v>1</v>
      </c>
      <c r="C17" s="9">
        <f>YEAR(Table1[[#This Row],[Order Date]])</f>
        <v>2014</v>
      </c>
      <c r="D17" t="s">
        <v>733</v>
      </c>
      <c r="E17" t="s">
        <v>308</v>
      </c>
      <c r="F17" t="s">
        <v>11</v>
      </c>
      <c r="G17" t="s">
        <v>18</v>
      </c>
      <c r="H17" t="s">
        <v>734</v>
      </c>
      <c r="I17" s="7">
        <v>166.72</v>
      </c>
      <c r="J17" s="8">
        <v>2</v>
      </c>
      <c r="K17" s="7">
        <v>41.68</v>
      </c>
    </row>
    <row r="18" spans="1:11" x14ac:dyDescent="0.3">
      <c r="A18" s="2">
        <v>41645</v>
      </c>
      <c r="B18" s="9">
        <f>MONTH(Table1[[#This Row],[Order Date]])</f>
        <v>1</v>
      </c>
      <c r="C18" s="9">
        <f>YEAR(Table1[[#This Row],[Order Date]])</f>
        <v>2014</v>
      </c>
      <c r="D18" t="s">
        <v>733</v>
      </c>
      <c r="E18" t="s">
        <v>308</v>
      </c>
      <c r="F18" t="s">
        <v>11</v>
      </c>
      <c r="G18" t="s">
        <v>12</v>
      </c>
      <c r="H18" t="s">
        <v>735</v>
      </c>
      <c r="I18" s="7">
        <v>47.88</v>
      </c>
      <c r="J18" s="8">
        <v>6</v>
      </c>
      <c r="K18" s="7">
        <v>23.94</v>
      </c>
    </row>
    <row r="19" spans="1:11" x14ac:dyDescent="0.3">
      <c r="A19" s="2">
        <v>41645</v>
      </c>
      <c r="B19" s="9">
        <f>MONTH(Table1[[#This Row],[Order Date]])</f>
        <v>1</v>
      </c>
      <c r="C19" s="9">
        <f>YEAR(Table1[[#This Row],[Order Date]])</f>
        <v>2014</v>
      </c>
      <c r="D19" t="s">
        <v>733</v>
      </c>
      <c r="E19" t="s">
        <v>308</v>
      </c>
      <c r="F19" t="s">
        <v>11</v>
      </c>
      <c r="G19" t="s">
        <v>92</v>
      </c>
      <c r="H19" t="s">
        <v>736</v>
      </c>
      <c r="I19" s="7">
        <v>1503.25</v>
      </c>
      <c r="J19" s="8">
        <v>5</v>
      </c>
      <c r="K19" s="7">
        <v>496.07</v>
      </c>
    </row>
    <row r="20" spans="1:11" x14ac:dyDescent="0.3">
      <c r="A20" s="2">
        <v>41645</v>
      </c>
      <c r="B20" s="9">
        <f>MONTH(Table1[[#This Row],[Order Date]])</f>
        <v>1</v>
      </c>
      <c r="C20" s="9">
        <f>YEAR(Table1[[#This Row],[Order Date]])</f>
        <v>2014</v>
      </c>
      <c r="D20" t="s">
        <v>733</v>
      </c>
      <c r="E20" t="s">
        <v>308</v>
      </c>
      <c r="F20" t="s">
        <v>11</v>
      </c>
      <c r="G20" t="s">
        <v>12</v>
      </c>
      <c r="H20" t="s">
        <v>737</v>
      </c>
      <c r="I20" s="7">
        <v>25.92</v>
      </c>
      <c r="J20" s="8">
        <v>4</v>
      </c>
      <c r="K20" s="7">
        <v>12.44</v>
      </c>
    </row>
    <row r="21" spans="1:11" x14ac:dyDescent="0.3">
      <c r="A21" s="2">
        <v>41645</v>
      </c>
      <c r="B21" s="9">
        <f>MONTH(Table1[[#This Row],[Order Date]])</f>
        <v>1</v>
      </c>
      <c r="C21" s="9">
        <f>YEAR(Table1[[#This Row],[Order Date]])</f>
        <v>2014</v>
      </c>
      <c r="D21" t="s">
        <v>738</v>
      </c>
      <c r="E21" t="s">
        <v>171</v>
      </c>
      <c r="F21" t="s">
        <v>11</v>
      </c>
      <c r="G21" t="s">
        <v>20</v>
      </c>
      <c r="H21" t="s">
        <v>739</v>
      </c>
      <c r="I21" s="7">
        <v>45.48</v>
      </c>
      <c r="J21" s="8">
        <v>3</v>
      </c>
      <c r="K21" s="7">
        <v>20.92</v>
      </c>
    </row>
    <row r="22" spans="1:11" x14ac:dyDescent="0.3">
      <c r="A22" s="2">
        <v>41645</v>
      </c>
      <c r="B22" s="9">
        <f>MONTH(Table1[[#This Row],[Order Date]])</f>
        <v>1</v>
      </c>
      <c r="C22" s="9">
        <f>YEAR(Table1[[#This Row],[Order Date]])</f>
        <v>2014</v>
      </c>
      <c r="D22" t="s">
        <v>738</v>
      </c>
      <c r="E22" t="s">
        <v>171</v>
      </c>
      <c r="F22" t="s">
        <v>11</v>
      </c>
      <c r="G22" t="s">
        <v>24</v>
      </c>
      <c r="H22" t="s">
        <v>740</v>
      </c>
      <c r="I22" s="7">
        <v>289.2</v>
      </c>
      <c r="J22" s="8">
        <v>6</v>
      </c>
      <c r="K22" s="7">
        <v>83.87</v>
      </c>
    </row>
    <row r="23" spans="1:11" x14ac:dyDescent="0.3">
      <c r="A23" s="2">
        <v>41645</v>
      </c>
      <c r="B23" s="9">
        <f>MONTH(Table1[[#This Row],[Order Date]])</f>
        <v>1</v>
      </c>
      <c r="C23" s="9">
        <f>YEAR(Table1[[#This Row],[Order Date]])</f>
        <v>2014</v>
      </c>
      <c r="D23" t="s">
        <v>741</v>
      </c>
      <c r="E23" t="s">
        <v>100</v>
      </c>
      <c r="F23" t="s">
        <v>34</v>
      </c>
      <c r="G23" t="s">
        <v>47</v>
      </c>
      <c r="H23" t="s">
        <v>742</v>
      </c>
      <c r="I23" s="7">
        <v>22.2</v>
      </c>
      <c r="J23" s="8">
        <v>6</v>
      </c>
      <c r="K23" s="7">
        <v>9.1</v>
      </c>
    </row>
    <row r="24" spans="1:11" x14ac:dyDescent="0.3">
      <c r="A24" s="2">
        <v>41645</v>
      </c>
      <c r="B24" s="9">
        <f>MONTH(Table1[[#This Row],[Order Date]])</f>
        <v>1</v>
      </c>
      <c r="C24" s="9">
        <f>YEAR(Table1[[#This Row],[Order Date]])</f>
        <v>2014</v>
      </c>
      <c r="D24" t="s">
        <v>741</v>
      </c>
      <c r="E24" t="s">
        <v>100</v>
      </c>
      <c r="F24" t="s">
        <v>39</v>
      </c>
      <c r="G24" t="s">
        <v>40</v>
      </c>
      <c r="H24" t="s">
        <v>743</v>
      </c>
      <c r="I24" s="7">
        <v>881.93</v>
      </c>
      <c r="J24" s="8">
        <v>7</v>
      </c>
      <c r="K24" s="7">
        <v>229.3</v>
      </c>
    </row>
    <row r="25" spans="1:11" x14ac:dyDescent="0.3">
      <c r="A25" s="2">
        <v>41645</v>
      </c>
      <c r="B25" s="9">
        <f>MONTH(Table1[[#This Row],[Order Date]])</f>
        <v>1</v>
      </c>
      <c r="C25" s="9">
        <f>YEAR(Table1[[#This Row],[Order Date]])</f>
        <v>2014</v>
      </c>
      <c r="D25" t="s">
        <v>327</v>
      </c>
      <c r="E25" t="s">
        <v>108</v>
      </c>
      <c r="F25" t="s">
        <v>11</v>
      </c>
      <c r="G25" t="s">
        <v>20</v>
      </c>
      <c r="H25" t="s">
        <v>744</v>
      </c>
      <c r="I25" s="7">
        <v>138.56</v>
      </c>
      <c r="J25" s="8">
        <v>4</v>
      </c>
      <c r="K25" s="7">
        <v>66.510000000000005</v>
      </c>
    </row>
    <row r="26" spans="1:11" x14ac:dyDescent="0.3">
      <c r="A26" s="2">
        <v>41645</v>
      </c>
      <c r="B26" s="9">
        <f>MONTH(Table1[[#This Row],[Order Date]])</f>
        <v>1</v>
      </c>
      <c r="C26" s="9">
        <f>YEAR(Table1[[#This Row],[Order Date]])</f>
        <v>2014</v>
      </c>
      <c r="D26" t="s">
        <v>327</v>
      </c>
      <c r="E26" t="s">
        <v>108</v>
      </c>
      <c r="F26" t="s">
        <v>11</v>
      </c>
      <c r="G26" t="s">
        <v>92</v>
      </c>
      <c r="H26" t="s">
        <v>745</v>
      </c>
      <c r="I26" s="7">
        <v>65.52</v>
      </c>
      <c r="J26" s="8">
        <v>5</v>
      </c>
      <c r="K26" s="7">
        <v>12.38</v>
      </c>
    </row>
    <row r="27" spans="1:11" x14ac:dyDescent="0.3">
      <c r="A27" s="2">
        <v>41646</v>
      </c>
      <c r="B27" s="9">
        <f>MONTH(Table1[[#This Row],[Order Date]])</f>
        <v>1</v>
      </c>
      <c r="C27" s="9">
        <f>YEAR(Table1[[#This Row],[Order Date]])</f>
        <v>2014</v>
      </c>
      <c r="D27" t="s">
        <v>397</v>
      </c>
      <c r="E27" t="s">
        <v>158</v>
      </c>
      <c r="F27" t="s">
        <v>11</v>
      </c>
      <c r="G27" t="s">
        <v>20</v>
      </c>
      <c r="H27" t="s">
        <v>875</v>
      </c>
      <c r="I27" s="7">
        <v>19.920000000000002</v>
      </c>
      <c r="J27" s="8">
        <v>5</v>
      </c>
      <c r="K27" s="7">
        <v>6.97</v>
      </c>
    </row>
    <row r="28" spans="1:11" x14ac:dyDescent="0.3">
      <c r="A28" s="2">
        <v>41646</v>
      </c>
      <c r="B28" s="9">
        <f>MONTH(Table1[[#This Row],[Order Date]])</f>
        <v>1</v>
      </c>
      <c r="C28" s="9">
        <f>YEAR(Table1[[#This Row],[Order Date]])</f>
        <v>2014</v>
      </c>
      <c r="D28" t="s">
        <v>724</v>
      </c>
      <c r="E28" t="s">
        <v>120</v>
      </c>
      <c r="F28" t="s">
        <v>39</v>
      </c>
      <c r="G28" t="s">
        <v>40</v>
      </c>
      <c r="H28" t="s">
        <v>876</v>
      </c>
      <c r="I28" s="7">
        <v>575.91999999999996</v>
      </c>
      <c r="J28" s="8">
        <v>2</v>
      </c>
      <c r="K28" s="7">
        <v>71.989999999999995</v>
      </c>
    </row>
    <row r="29" spans="1:11" x14ac:dyDescent="0.3">
      <c r="A29" s="2">
        <v>41646</v>
      </c>
      <c r="B29" s="9">
        <f>MONTH(Table1[[#This Row],[Order Date]])</f>
        <v>1</v>
      </c>
      <c r="C29" s="9">
        <f>YEAR(Table1[[#This Row],[Order Date]])</f>
        <v>2014</v>
      </c>
      <c r="D29" t="s">
        <v>724</v>
      </c>
      <c r="E29" t="s">
        <v>120</v>
      </c>
      <c r="F29" t="s">
        <v>11</v>
      </c>
      <c r="G29" t="s">
        <v>20</v>
      </c>
      <c r="H29" t="s">
        <v>877</v>
      </c>
      <c r="I29" s="7">
        <v>5.18</v>
      </c>
      <c r="J29" s="8">
        <v>6</v>
      </c>
      <c r="K29" s="7">
        <v>-3.63</v>
      </c>
    </row>
    <row r="30" spans="1:11" x14ac:dyDescent="0.3">
      <c r="A30" s="2">
        <v>41647</v>
      </c>
      <c r="B30" s="9">
        <f>MONTH(Table1[[#This Row],[Order Date]])</f>
        <v>1</v>
      </c>
      <c r="C30" s="9">
        <f>YEAR(Table1[[#This Row],[Order Date]])</f>
        <v>2014</v>
      </c>
      <c r="D30" t="s">
        <v>937</v>
      </c>
      <c r="E30" t="s">
        <v>237</v>
      </c>
      <c r="F30" t="s">
        <v>11</v>
      </c>
      <c r="G30" t="s">
        <v>16</v>
      </c>
      <c r="H30" t="s">
        <v>1016</v>
      </c>
      <c r="I30" s="7">
        <v>17.54</v>
      </c>
      <c r="J30" s="8">
        <v>3</v>
      </c>
      <c r="K30" s="7">
        <v>5.92</v>
      </c>
    </row>
    <row r="31" spans="1:11" x14ac:dyDescent="0.3">
      <c r="A31" s="2">
        <v>41647</v>
      </c>
      <c r="B31" s="9">
        <f>MONTH(Table1[[#This Row],[Order Date]])</f>
        <v>1</v>
      </c>
      <c r="C31" s="9">
        <f>YEAR(Table1[[#This Row],[Order Date]])</f>
        <v>2014</v>
      </c>
      <c r="D31" t="s">
        <v>937</v>
      </c>
      <c r="E31" t="s">
        <v>237</v>
      </c>
      <c r="F31" t="s">
        <v>34</v>
      </c>
      <c r="G31" t="s">
        <v>47</v>
      </c>
      <c r="H31" t="s">
        <v>909</v>
      </c>
      <c r="I31" s="7">
        <v>44.13</v>
      </c>
      <c r="J31" s="8">
        <v>4</v>
      </c>
      <c r="K31" s="7">
        <v>12.14</v>
      </c>
    </row>
    <row r="32" spans="1:11" x14ac:dyDescent="0.3">
      <c r="A32" s="2">
        <v>41647</v>
      </c>
      <c r="B32" s="9">
        <f>MONTH(Table1[[#This Row],[Order Date]])</f>
        <v>1</v>
      </c>
      <c r="C32" s="9">
        <f>YEAR(Table1[[#This Row],[Order Date]])</f>
        <v>2014</v>
      </c>
      <c r="D32" t="s">
        <v>937</v>
      </c>
      <c r="E32" t="s">
        <v>237</v>
      </c>
      <c r="F32" t="s">
        <v>11</v>
      </c>
      <c r="G32" t="s">
        <v>92</v>
      </c>
      <c r="H32" t="s">
        <v>727</v>
      </c>
      <c r="I32" s="7">
        <v>62.92</v>
      </c>
      <c r="J32" s="8">
        <v>1</v>
      </c>
      <c r="K32" s="7">
        <v>10.220000000000001</v>
      </c>
    </row>
    <row r="33" spans="1:11" x14ac:dyDescent="0.3">
      <c r="A33" s="2">
        <v>41647</v>
      </c>
      <c r="B33" s="9">
        <f>MONTH(Table1[[#This Row],[Order Date]])</f>
        <v>1</v>
      </c>
      <c r="C33" s="9">
        <f>YEAR(Table1[[#This Row],[Order Date]])</f>
        <v>2014</v>
      </c>
      <c r="D33" t="s">
        <v>937</v>
      </c>
      <c r="E33" t="s">
        <v>237</v>
      </c>
      <c r="F33" t="s">
        <v>11</v>
      </c>
      <c r="G33" t="s">
        <v>12</v>
      </c>
      <c r="H33" t="s">
        <v>1017</v>
      </c>
      <c r="I33" s="7">
        <v>78.3</v>
      </c>
      <c r="J33" s="8">
        <v>2</v>
      </c>
      <c r="K33" s="7">
        <v>29.36</v>
      </c>
    </row>
    <row r="34" spans="1:11" x14ac:dyDescent="0.3">
      <c r="A34" s="2">
        <v>41647</v>
      </c>
      <c r="B34" s="9">
        <f>MONTH(Table1[[#This Row],[Order Date]])</f>
        <v>1</v>
      </c>
      <c r="C34" s="9">
        <f>YEAR(Table1[[#This Row],[Order Date]])</f>
        <v>2014</v>
      </c>
      <c r="D34" t="s">
        <v>1018</v>
      </c>
      <c r="E34" t="s">
        <v>27</v>
      </c>
      <c r="F34" t="s">
        <v>11</v>
      </c>
      <c r="G34" t="s">
        <v>20</v>
      </c>
      <c r="H34" t="s">
        <v>1019</v>
      </c>
      <c r="I34" s="7">
        <v>19.75</v>
      </c>
      <c r="J34" s="8">
        <v>3</v>
      </c>
      <c r="K34" s="7">
        <v>6.91</v>
      </c>
    </row>
    <row r="35" spans="1:11" x14ac:dyDescent="0.3">
      <c r="A35" s="2">
        <v>41647</v>
      </c>
      <c r="B35" s="9">
        <f>MONTH(Table1[[#This Row],[Order Date]])</f>
        <v>1</v>
      </c>
      <c r="C35" s="9">
        <f>YEAR(Table1[[#This Row],[Order Date]])</f>
        <v>2014</v>
      </c>
      <c r="D35" t="s">
        <v>1020</v>
      </c>
      <c r="E35" t="s">
        <v>23</v>
      </c>
      <c r="F35" t="s">
        <v>11</v>
      </c>
      <c r="G35" t="s">
        <v>43</v>
      </c>
      <c r="H35" t="s">
        <v>1021</v>
      </c>
      <c r="I35" s="7">
        <v>5.68</v>
      </c>
      <c r="J35" s="8">
        <v>2</v>
      </c>
      <c r="K35" s="7">
        <v>1.92</v>
      </c>
    </row>
    <row r="36" spans="1:11" x14ac:dyDescent="0.3">
      <c r="A36" s="2">
        <v>41648</v>
      </c>
      <c r="B36" s="9">
        <f>MONTH(Table1[[#This Row],[Order Date]])</f>
        <v>1</v>
      </c>
      <c r="C36" s="9">
        <f>YEAR(Table1[[#This Row],[Order Date]])</f>
        <v>2014</v>
      </c>
      <c r="D36" t="s">
        <v>1172</v>
      </c>
      <c r="E36" t="s">
        <v>27</v>
      </c>
      <c r="F36" t="s">
        <v>11</v>
      </c>
      <c r="G36" t="s">
        <v>24</v>
      </c>
      <c r="H36" t="s">
        <v>1173</v>
      </c>
      <c r="I36" s="7">
        <v>53.94</v>
      </c>
      <c r="J36" s="8">
        <v>3</v>
      </c>
      <c r="K36" s="7">
        <v>15.64</v>
      </c>
    </row>
    <row r="37" spans="1:11" x14ac:dyDescent="0.3">
      <c r="A37" s="2">
        <v>41648</v>
      </c>
      <c r="B37" s="9">
        <f>MONTH(Table1[[#This Row],[Order Date]])</f>
        <v>1</v>
      </c>
      <c r="C37" s="9">
        <f>YEAR(Table1[[#This Row],[Order Date]])</f>
        <v>2014</v>
      </c>
      <c r="D37" t="s">
        <v>942</v>
      </c>
      <c r="E37" t="s">
        <v>10</v>
      </c>
      <c r="F37" t="s">
        <v>11</v>
      </c>
      <c r="G37" t="s">
        <v>20</v>
      </c>
      <c r="H37" t="s">
        <v>1174</v>
      </c>
      <c r="I37" s="7">
        <v>3.65</v>
      </c>
      <c r="J37" s="8">
        <v>3</v>
      </c>
      <c r="K37" s="7">
        <v>-6.02</v>
      </c>
    </row>
    <row r="38" spans="1:11" x14ac:dyDescent="0.3">
      <c r="A38" s="2">
        <v>41648</v>
      </c>
      <c r="B38" s="9">
        <f>MONTH(Table1[[#This Row],[Order Date]])</f>
        <v>1</v>
      </c>
      <c r="C38" s="9">
        <f>YEAR(Table1[[#This Row],[Order Date]])</f>
        <v>2014</v>
      </c>
      <c r="D38" t="s">
        <v>942</v>
      </c>
      <c r="E38" t="s">
        <v>10</v>
      </c>
      <c r="F38" t="s">
        <v>11</v>
      </c>
      <c r="G38" t="s">
        <v>12</v>
      </c>
      <c r="H38" t="s">
        <v>1175</v>
      </c>
      <c r="I38" s="7">
        <v>31.1</v>
      </c>
      <c r="J38" s="8">
        <v>6</v>
      </c>
      <c r="K38" s="7">
        <v>10.89</v>
      </c>
    </row>
    <row r="39" spans="1:11" x14ac:dyDescent="0.3">
      <c r="A39" s="2">
        <v>41648</v>
      </c>
      <c r="B39" s="9">
        <f>MONTH(Table1[[#This Row],[Order Date]])</f>
        <v>1</v>
      </c>
      <c r="C39" s="9">
        <f>YEAR(Table1[[#This Row],[Order Date]])</f>
        <v>2014</v>
      </c>
      <c r="D39" t="s">
        <v>1112</v>
      </c>
      <c r="E39" t="s">
        <v>144</v>
      </c>
      <c r="F39" t="s">
        <v>11</v>
      </c>
      <c r="G39" t="s">
        <v>20</v>
      </c>
      <c r="H39" t="s">
        <v>1176</v>
      </c>
      <c r="I39" s="7">
        <v>23.74</v>
      </c>
      <c r="J39" s="8">
        <v>2</v>
      </c>
      <c r="K39" s="7">
        <v>8.31</v>
      </c>
    </row>
    <row r="40" spans="1:11" x14ac:dyDescent="0.3">
      <c r="A40" s="2">
        <v>41648</v>
      </c>
      <c r="B40" s="9">
        <f>MONTH(Table1[[#This Row],[Order Date]])</f>
        <v>1</v>
      </c>
      <c r="C40" s="9">
        <f>YEAR(Table1[[#This Row],[Order Date]])</f>
        <v>2014</v>
      </c>
      <c r="D40" t="s">
        <v>1112</v>
      </c>
      <c r="E40" t="s">
        <v>144</v>
      </c>
      <c r="F40" t="s">
        <v>39</v>
      </c>
      <c r="G40" t="s">
        <v>52</v>
      </c>
      <c r="H40" t="s">
        <v>1008</v>
      </c>
      <c r="I40" s="7">
        <v>357</v>
      </c>
      <c r="J40" s="8">
        <v>3</v>
      </c>
      <c r="K40" s="7">
        <v>57.12</v>
      </c>
    </row>
    <row r="41" spans="1:11" x14ac:dyDescent="0.3">
      <c r="A41" s="2">
        <v>41649</v>
      </c>
      <c r="B41" s="9">
        <f>MONTH(Table1[[#This Row],[Order Date]])</f>
        <v>1</v>
      </c>
      <c r="C41" s="9">
        <f>YEAR(Table1[[#This Row],[Order Date]])</f>
        <v>2014</v>
      </c>
      <c r="D41" t="s">
        <v>296</v>
      </c>
      <c r="E41" t="s">
        <v>123</v>
      </c>
      <c r="F41" t="s">
        <v>11</v>
      </c>
      <c r="G41" t="s">
        <v>43</v>
      </c>
      <c r="H41" t="s">
        <v>1383</v>
      </c>
      <c r="I41" s="7">
        <v>4.71</v>
      </c>
      <c r="J41" s="8">
        <v>1</v>
      </c>
      <c r="K41" s="7">
        <v>0</v>
      </c>
    </row>
    <row r="42" spans="1:11" x14ac:dyDescent="0.3">
      <c r="A42" s="2">
        <v>41650</v>
      </c>
      <c r="B42" s="9">
        <f>MONTH(Table1[[#This Row],[Order Date]])</f>
        <v>1</v>
      </c>
      <c r="C42" s="9">
        <f>YEAR(Table1[[#This Row],[Order Date]])</f>
        <v>2014</v>
      </c>
      <c r="D42" t="s">
        <v>868</v>
      </c>
      <c r="E42" t="s">
        <v>269</v>
      </c>
      <c r="F42" t="s">
        <v>11</v>
      </c>
      <c r="G42" t="s">
        <v>24</v>
      </c>
      <c r="H42" t="s">
        <v>616</v>
      </c>
      <c r="I42" s="7">
        <v>43.18</v>
      </c>
      <c r="J42" s="8">
        <v>3</v>
      </c>
      <c r="K42" s="7">
        <v>4.32</v>
      </c>
    </row>
    <row r="43" spans="1:11" x14ac:dyDescent="0.3">
      <c r="A43" s="2">
        <v>41650</v>
      </c>
      <c r="B43" s="9">
        <f>MONTH(Table1[[#This Row],[Order Date]])</f>
        <v>1</v>
      </c>
      <c r="C43" s="9">
        <f>YEAR(Table1[[#This Row],[Order Date]])</f>
        <v>2014</v>
      </c>
      <c r="D43" t="s">
        <v>868</v>
      </c>
      <c r="E43" t="s">
        <v>269</v>
      </c>
      <c r="F43" t="s">
        <v>39</v>
      </c>
      <c r="G43" t="s">
        <v>40</v>
      </c>
      <c r="H43" t="s">
        <v>1500</v>
      </c>
      <c r="I43" s="7">
        <v>1983.97</v>
      </c>
      <c r="J43" s="8">
        <v>4</v>
      </c>
      <c r="K43" s="7">
        <v>248</v>
      </c>
    </row>
    <row r="44" spans="1:11" x14ac:dyDescent="0.3">
      <c r="A44" s="2">
        <v>41650</v>
      </c>
      <c r="B44" s="9">
        <f>MONTH(Table1[[#This Row],[Order Date]])</f>
        <v>1</v>
      </c>
      <c r="C44" s="9">
        <f>YEAR(Table1[[#This Row],[Order Date]])</f>
        <v>2014</v>
      </c>
      <c r="D44" t="s">
        <v>69</v>
      </c>
      <c r="E44" t="s">
        <v>91</v>
      </c>
      <c r="F44" t="s">
        <v>11</v>
      </c>
      <c r="G44" t="s">
        <v>18</v>
      </c>
      <c r="H44" t="s">
        <v>573</v>
      </c>
      <c r="I44" s="7">
        <v>443.92</v>
      </c>
      <c r="J44" s="8">
        <v>5</v>
      </c>
      <c r="K44" s="7">
        <v>-94.33</v>
      </c>
    </row>
    <row r="45" spans="1:11" x14ac:dyDescent="0.3">
      <c r="A45" s="2">
        <v>41650</v>
      </c>
      <c r="B45" s="9">
        <f>MONTH(Table1[[#This Row],[Order Date]])</f>
        <v>1</v>
      </c>
      <c r="C45" s="9">
        <f>YEAR(Table1[[#This Row],[Order Date]])</f>
        <v>2014</v>
      </c>
      <c r="D45" t="s">
        <v>69</v>
      </c>
      <c r="E45" t="s">
        <v>91</v>
      </c>
      <c r="F45" t="s">
        <v>39</v>
      </c>
      <c r="G45" t="s">
        <v>40</v>
      </c>
      <c r="H45" t="s">
        <v>1501</v>
      </c>
      <c r="I45" s="7">
        <v>155.97999999999999</v>
      </c>
      <c r="J45" s="8">
        <v>3</v>
      </c>
      <c r="K45" s="7">
        <v>54.59</v>
      </c>
    </row>
    <row r="46" spans="1:11" x14ac:dyDescent="0.3">
      <c r="A46" s="2">
        <v>41650</v>
      </c>
      <c r="B46" s="9">
        <f>MONTH(Table1[[#This Row],[Order Date]])</f>
        <v>1</v>
      </c>
      <c r="C46" s="9">
        <f>YEAR(Table1[[#This Row],[Order Date]])</f>
        <v>2014</v>
      </c>
      <c r="D46" t="s">
        <v>1502</v>
      </c>
      <c r="E46" t="s">
        <v>237</v>
      </c>
      <c r="F46" t="s">
        <v>11</v>
      </c>
      <c r="G46" t="s">
        <v>43</v>
      </c>
      <c r="H46" t="s">
        <v>154</v>
      </c>
      <c r="I46" s="7">
        <v>7.52</v>
      </c>
      <c r="J46" s="8">
        <v>5</v>
      </c>
      <c r="K46" s="7">
        <v>1.41</v>
      </c>
    </row>
    <row r="47" spans="1:11" x14ac:dyDescent="0.3">
      <c r="A47" s="2">
        <v>41650</v>
      </c>
      <c r="B47" s="9">
        <f>MONTH(Table1[[#This Row],[Order Date]])</f>
        <v>1</v>
      </c>
      <c r="C47" s="9">
        <f>YEAR(Table1[[#This Row],[Order Date]])</f>
        <v>2014</v>
      </c>
      <c r="D47" t="s">
        <v>1502</v>
      </c>
      <c r="E47" t="s">
        <v>237</v>
      </c>
      <c r="F47" t="s">
        <v>11</v>
      </c>
      <c r="G47" t="s">
        <v>24</v>
      </c>
      <c r="H47" t="s">
        <v>1242</v>
      </c>
      <c r="I47" s="7">
        <v>10.27</v>
      </c>
      <c r="J47" s="8">
        <v>3</v>
      </c>
      <c r="K47" s="7">
        <v>0.9</v>
      </c>
    </row>
    <row r="48" spans="1:11" x14ac:dyDescent="0.3">
      <c r="A48" s="2">
        <v>41650</v>
      </c>
      <c r="B48" s="9">
        <f>MONTH(Table1[[#This Row],[Order Date]])</f>
        <v>1</v>
      </c>
      <c r="C48" s="9">
        <f>YEAR(Table1[[#This Row],[Order Date]])</f>
        <v>2014</v>
      </c>
      <c r="D48" t="s">
        <v>1502</v>
      </c>
      <c r="E48" t="s">
        <v>237</v>
      </c>
      <c r="F48" t="s">
        <v>11</v>
      </c>
      <c r="G48" t="s">
        <v>16</v>
      </c>
      <c r="H48" t="s">
        <v>753</v>
      </c>
      <c r="I48" s="7">
        <v>47.81</v>
      </c>
      <c r="J48" s="8">
        <v>12</v>
      </c>
      <c r="K48" s="7">
        <v>15.54</v>
      </c>
    </row>
    <row r="49" spans="1:11" x14ac:dyDescent="0.3">
      <c r="A49" s="2">
        <v>41650</v>
      </c>
      <c r="B49" s="9">
        <f>MONTH(Table1[[#This Row],[Order Date]])</f>
        <v>1</v>
      </c>
      <c r="C49" s="9">
        <f>YEAR(Table1[[#This Row],[Order Date]])</f>
        <v>2014</v>
      </c>
      <c r="D49" t="s">
        <v>1502</v>
      </c>
      <c r="E49" t="s">
        <v>237</v>
      </c>
      <c r="F49" t="s">
        <v>39</v>
      </c>
      <c r="G49" t="s">
        <v>40</v>
      </c>
      <c r="H49" t="s">
        <v>1503</v>
      </c>
      <c r="I49" s="7">
        <v>978.84</v>
      </c>
      <c r="J49" s="8">
        <v>9</v>
      </c>
      <c r="K49" s="7">
        <v>110.12</v>
      </c>
    </row>
    <row r="50" spans="1:11" x14ac:dyDescent="0.3">
      <c r="A50" s="2">
        <v>41650</v>
      </c>
      <c r="B50" s="9">
        <f>MONTH(Table1[[#This Row],[Order Date]])</f>
        <v>1</v>
      </c>
      <c r="C50" s="9">
        <f>YEAR(Table1[[#This Row],[Order Date]])</f>
        <v>2014</v>
      </c>
      <c r="D50" t="s">
        <v>1368</v>
      </c>
      <c r="E50" t="s">
        <v>15</v>
      </c>
      <c r="F50" t="s">
        <v>11</v>
      </c>
      <c r="G50" t="s">
        <v>12</v>
      </c>
      <c r="H50" t="s">
        <v>1370</v>
      </c>
      <c r="I50" s="7">
        <v>15.7</v>
      </c>
      <c r="J50" s="8">
        <v>3</v>
      </c>
      <c r="K50" s="7">
        <v>5.0999999999999996</v>
      </c>
    </row>
    <row r="51" spans="1:11" x14ac:dyDescent="0.3">
      <c r="A51" s="2">
        <v>41650</v>
      </c>
      <c r="B51" s="9">
        <f>MONTH(Table1[[#This Row],[Order Date]])</f>
        <v>1</v>
      </c>
      <c r="C51" s="9">
        <f>YEAR(Table1[[#This Row],[Order Date]])</f>
        <v>2014</v>
      </c>
      <c r="D51" t="s">
        <v>29</v>
      </c>
      <c r="E51" t="s">
        <v>33</v>
      </c>
      <c r="F51" t="s">
        <v>11</v>
      </c>
      <c r="G51" t="s">
        <v>18</v>
      </c>
      <c r="H51" t="s">
        <v>1504</v>
      </c>
      <c r="I51" s="7">
        <v>69.52</v>
      </c>
      <c r="J51" s="8">
        <v>2</v>
      </c>
      <c r="K51" s="7">
        <v>19.47</v>
      </c>
    </row>
    <row r="52" spans="1:11" x14ac:dyDescent="0.3">
      <c r="A52" s="2">
        <v>41650</v>
      </c>
      <c r="B52" s="9">
        <f>MONTH(Table1[[#This Row],[Order Date]])</f>
        <v>1</v>
      </c>
      <c r="C52" s="9">
        <f>YEAR(Table1[[#This Row],[Order Date]])</f>
        <v>2014</v>
      </c>
      <c r="D52" t="s">
        <v>29</v>
      </c>
      <c r="E52" t="s">
        <v>33</v>
      </c>
      <c r="F52" t="s">
        <v>11</v>
      </c>
      <c r="G52" t="s">
        <v>24</v>
      </c>
      <c r="H52" t="s">
        <v>824</v>
      </c>
      <c r="I52" s="7">
        <v>5.64</v>
      </c>
      <c r="J52" s="8">
        <v>3</v>
      </c>
      <c r="K52" s="7">
        <v>1.64</v>
      </c>
    </row>
    <row r="53" spans="1:11" x14ac:dyDescent="0.3">
      <c r="A53" s="2">
        <v>41650</v>
      </c>
      <c r="B53" s="9">
        <f>MONTH(Table1[[#This Row],[Order Date]])</f>
        <v>1</v>
      </c>
      <c r="C53" s="9">
        <f>YEAR(Table1[[#This Row],[Order Date]])</f>
        <v>2014</v>
      </c>
      <c r="D53" t="s">
        <v>1505</v>
      </c>
      <c r="E53" t="s">
        <v>27</v>
      </c>
      <c r="F53" t="s">
        <v>11</v>
      </c>
      <c r="G53" t="s">
        <v>16</v>
      </c>
      <c r="H53" t="s">
        <v>1506</v>
      </c>
      <c r="I53" s="7">
        <v>44.4</v>
      </c>
      <c r="J53" s="8">
        <v>3</v>
      </c>
      <c r="K53" s="7">
        <v>22.2</v>
      </c>
    </row>
    <row r="54" spans="1:11" x14ac:dyDescent="0.3">
      <c r="A54" s="2">
        <v>41650</v>
      </c>
      <c r="B54" s="9">
        <f>MONTH(Table1[[#This Row],[Order Date]])</f>
        <v>1</v>
      </c>
      <c r="C54" s="9">
        <f>YEAR(Table1[[#This Row],[Order Date]])</f>
        <v>2014</v>
      </c>
      <c r="D54" t="s">
        <v>1505</v>
      </c>
      <c r="E54" t="s">
        <v>27</v>
      </c>
      <c r="F54" t="s">
        <v>11</v>
      </c>
      <c r="G54" t="s">
        <v>12</v>
      </c>
      <c r="H54" t="s">
        <v>612</v>
      </c>
      <c r="I54" s="7">
        <v>21.4</v>
      </c>
      <c r="J54" s="8">
        <v>5</v>
      </c>
      <c r="K54" s="7">
        <v>9.6300000000000008</v>
      </c>
    </row>
    <row r="55" spans="1:11" x14ac:dyDescent="0.3">
      <c r="A55" s="2">
        <v>41650</v>
      </c>
      <c r="B55" s="9">
        <f>MONTH(Table1[[#This Row],[Order Date]])</f>
        <v>1</v>
      </c>
      <c r="C55" s="9">
        <f>YEAR(Table1[[#This Row],[Order Date]])</f>
        <v>2014</v>
      </c>
      <c r="D55" t="s">
        <v>1239</v>
      </c>
      <c r="E55" t="s">
        <v>144</v>
      </c>
      <c r="F55" t="s">
        <v>11</v>
      </c>
      <c r="G55" t="s">
        <v>92</v>
      </c>
      <c r="H55" t="s">
        <v>1210</v>
      </c>
      <c r="I55" s="7">
        <v>533.94000000000005</v>
      </c>
      <c r="J55" s="8">
        <v>3</v>
      </c>
      <c r="K55" s="7">
        <v>154.84</v>
      </c>
    </row>
    <row r="56" spans="1:11" x14ac:dyDescent="0.3">
      <c r="A56" s="2">
        <v>41650</v>
      </c>
      <c r="B56" s="9">
        <f>MONTH(Table1[[#This Row],[Order Date]])</f>
        <v>1</v>
      </c>
      <c r="C56" s="9">
        <f>YEAR(Table1[[#This Row],[Order Date]])</f>
        <v>2014</v>
      </c>
      <c r="D56" t="s">
        <v>1239</v>
      </c>
      <c r="E56" t="s">
        <v>144</v>
      </c>
      <c r="F56" t="s">
        <v>11</v>
      </c>
      <c r="G56" t="s">
        <v>12</v>
      </c>
      <c r="H56" t="s">
        <v>1033</v>
      </c>
      <c r="I56" s="7">
        <v>167.94</v>
      </c>
      <c r="J56" s="8">
        <v>3</v>
      </c>
      <c r="K56" s="7">
        <v>82.29</v>
      </c>
    </row>
    <row r="57" spans="1:11" x14ac:dyDescent="0.3">
      <c r="A57" s="2">
        <v>41650</v>
      </c>
      <c r="B57" s="9">
        <f>MONTH(Table1[[#This Row],[Order Date]])</f>
        <v>1</v>
      </c>
      <c r="C57" s="9">
        <f>YEAR(Table1[[#This Row],[Order Date]])</f>
        <v>2014</v>
      </c>
      <c r="D57" t="s">
        <v>1239</v>
      </c>
      <c r="E57" t="s">
        <v>144</v>
      </c>
      <c r="F57" t="s">
        <v>34</v>
      </c>
      <c r="G57" t="s">
        <v>47</v>
      </c>
      <c r="H57" t="s">
        <v>1507</v>
      </c>
      <c r="I57" s="7">
        <v>31.68</v>
      </c>
      <c r="J57" s="8">
        <v>6</v>
      </c>
      <c r="K57" s="7">
        <v>9.82</v>
      </c>
    </row>
    <row r="58" spans="1:11" x14ac:dyDescent="0.3">
      <c r="A58" s="2">
        <v>41650</v>
      </c>
      <c r="B58" s="9">
        <f>MONTH(Table1[[#This Row],[Order Date]])</f>
        <v>1</v>
      </c>
      <c r="C58" s="9">
        <f>YEAR(Table1[[#This Row],[Order Date]])</f>
        <v>2014</v>
      </c>
      <c r="D58" t="s">
        <v>1508</v>
      </c>
      <c r="E58" t="s">
        <v>171</v>
      </c>
      <c r="F58" t="s">
        <v>11</v>
      </c>
      <c r="G58" t="s">
        <v>92</v>
      </c>
      <c r="H58" t="s">
        <v>1056</v>
      </c>
      <c r="I58" s="7">
        <v>76.12</v>
      </c>
      <c r="J58" s="8">
        <v>2</v>
      </c>
      <c r="K58" s="7">
        <v>22.07</v>
      </c>
    </row>
    <row r="59" spans="1:11" x14ac:dyDescent="0.3">
      <c r="A59" s="2">
        <v>41650</v>
      </c>
      <c r="B59" s="9">
        <f>MONTH(Table1[[#This Row],[Order Date]])</f>
        <v>1</v>
      </c>
      <c r="C59" s="9">
        <f>YEAR(Table1[[#This Row],[Order Date]])</f>
        <v>2014</v>
      </c>
      <c r="D59" t="s">
        <v>1260</v>
      </c>
      <c r="E59" t="s">
        <v>78</v>
      </c>
      <c r="F59" t="s">
        <v>34</v>
      </c>
      <c r="G59" t="s">
        <v>47</v>
      </c>
      <c r="H59" t="s">
        <v>1509</v>
      </c>
      <c r="I59" s="7">
        <v>68.7</v>
      </c>
      <c r="J59" s="8">
        <v>2</v>
      </c>
      <c r="K59" s="7">
        <v>16.32</v>
      </c>
    </row>
    <row r="60" spans="1:11" x14ac:dyDescent="0.3">
      <c r="A60" s="2">
        <v>41650</v>
      </c>
      <c r="B60" s="9">
        <f>MONTH(Table1[[#This Row],[Order Date]])</f>
        <v>1</v>
      </c>
      <c r="C60" s="9">
        <f>YEAR(Table1[[#This Row],[Order Date]])</f>
        <v>2014</v>
      </c>
      <c r="D60" t="s">
        <v>1260</v>
      </c>
      <c r="E60" t="s">
        <v>78</v>
      </c>
      <c r="F60" t="s">
        <v>11</v>
      </c>
      <c r="G60" t="s">
        <v>20</v>
      </c>
      <c r="H60" t="s">
        <v>972</v>
      </c>
      <c r="I60" s="7">
        <v>3.13</v>
      </c>
      <c r="J60" s="8">
        <v>2</v>
      </c>
      <c r="K60" s="7">
        <v>-2.61</v>
      </c>
    </row>
    <row r="61" spans="1:11" x14ac:dyDescent="0.3">
      <c r="A61" s="2">
        <v>41650</v>
      </c>
      <c r="B61" s="9">
        <f>MONTH(Table1[[#This Row],[Order Date]])</f>
        <v>1</v>
      </c>
      <c r="C61" s="9">
        <f>YEAR(Table1[[#This Row],[Order Date]])</f>
        <v>2014</v>
      </c>
      <c r="D61" t="s">
        <v>1260</v>
      </c>
      <c r="E61" t="s">
        <v>78</v>
      </c>
      <c r="F61" t="s">
        <v>11</v>
      </c>
      <c r="G61" t="s">
        <v>20</v>
      </c>
      <c r="H61" t="s">
        <v>746</v>
      </c>
      <c r="I61" s="7">
        <v>22.43</v>
      </c>
      <c r="J61" s="8">
        <v>3</v>
      </c>
      <c r="K61" s="7">
        <v>-17.940000000000001</v>
      </c>
    </row>
    <row r="62" spans="1:11" x14ac:dyDescent="0.3">
      <c r="A62" s="2">
        <v>41651</v>
      </c>
      <c r="B62" s="9">
        <f>MONTH(Table1[[#This Row],[Order Date]])</f>
        <v>1</v>
      </c>
      <c r="C62" s="9">
        <f>YEAR(Table1[[#This Row],[Order Date]])</f>
        <v>2014</v>
      </c>
      <c r="D62" t="s">
        <v>697</v>
      </c>
      <c r="E62" t="s">
        <v>152</v>
      </c>
      <c r="F62" t="s">
        <v>34</v>
      </c>
      <c r="G62" t="s">
        <v>35</v>
      </c>
      <c r="H62" t="s">
        <v>1680</v>
      </c>
      <c r="I62" s="7">
        <v>2807.84</v>
      </c>
      <c r="J62" s="8">
        <v>8</v>
      </c>
      <c r="K62" s="7">
        <v>673.88</v>
      </c>
    </row>
    <row r="63" spans="1:11" x14ac:dyDescent="0.3">
      <c r="A63" s="2">
        <v>41651</v>
      </c>
      <c r="B63" s="9">
        <f>MONTH(Table1[[#This Row],[Order Date]])</f>
        <v>1</v>
      </c>
      <c r="C63" s="9">
        <f>YEAR(Table1[[#This Row],[Order Date]])</f>
        <v>2014</v>
      </c>
      <c r="D63" t="s">
        <v>697</v>
      </c>
      <c r="E63" t="s">
        <v>152</v>
      </c>
      <c r="F63" t="s">
        <v>11</v>
      </c>
      <c r="G63" t="s">
        <v>24</v>
      </c>
      <c r="H63" t="s">
        <v>856</v>
      </c>
      <c r="I63" s="7">
        <v>46.64</v>
      </c>
      <c r="J63" s="8">
        <v>4</v>
      </c>
      <c r="K63" s="7">
        <v>12.59</v>
      </c>
    </row>
    <row r="64" spans="1:11" x14ac:dyDescent="0.3">
      <c r="A64" s="2">
        <v>41651</v>
      </c>
      <c r="B64" s="9">
        <f>MONTH(Table1[[#This Row],[Order Date]])</f>
        <v>1</v>
      </c>
      <c r="C64" s="9">
        <f>YEAR(Table1[[#This Row],[Order Date]])</f>
        <v>2014</v>
      </c>
      <c r="D64" t="s">
        <v>1681</v>
      </c>
      <c r="E64" t="s">
        <v>27</v>
      </c>
      <c r="F64" t="s">
        <v>34</v>
      </c>
      <c r="G64" t="s">
        <v>47</v>
      </c>
      <c r="H64" t="s">
        <v>1682</v>
      </c>
      <c r="I64" s="7">
        <v>58.2</v>
      </c>
      <c r="J64" s="8">
        <v>3</v>
      </c>
      <c r="K64" s="7">
        <v>28.52</v>
      </c>
    </row>
    <row r="65" spans="1:11" x14ac:dyDescent="0.3">
      <c r="A65" s="2">
        <v>41651</v>
      </c>
      <c r="B65" s="9">
        <f>MONTH(Table1[[#This Row],[Order Date]])</f>
        <v>1</v>
      </c>
      <c r="C65" s="9">
        <f>YEAR(Table1[[#This Row],[Order Date]])</f>
        <v>2014</v>
      </c>
      <c r="D65" t="s">
        <v>833</v>
      </c>
      <c r="E65" t="s">
        <v>237</v>
      </c>
      <c r="F65" t="s">
        <v>39</v>
      </c>
      <c r="G65" t="s">
        <v>40</v>
      </c>
      <c r="H65" t="s">
        <v>1683</v>
      </c>
      <c r="I65" s="7">
        <v>95.97</v>
      </c>
      <c r="J65" s="8">
        <v>4</v>
      </c>
      <c r="K65" s="7">
        <v>9.6</v>
      </c>
    </row>
    <row r="66" spans="1:11" x14ac:dyDescent="0.3">
      <c r="A66" s="2">
        <v>41651</v>
      </c>
      <c r="B66" s="9">
        <f>MONTH(Table1[[#This Row],[Order Date]])</f>
        <v>1</v>
      </c>
      <c r="C66" s="9">
        <f>YEAR(Table1[[#This Row],[Order Date]])</f>
        <v>2014</v>
      </c>
      <c r="D66" t="s">
        <v>1612</v>
      </c>
      <c r="E66" t="s">
        <v>78</v>
      </c>
      <c r="F66" t="s">
        <v>39</v>
      </c>
      <c r="G66" t="s">
        <v>590</v>
      </c>
      <c r="H66" t="s">
        <v>1065</v>
      </c>
      <c r="I66" s="7">
        <v>659.99</v>
      </c>
      <c r="J66" s="8">
        <v>2</v>
      </c>
      <c r="K66" s="7">
        <v>110</v>
      </c>
    </row>
    <row r="67" spans="1:11" x14ac:dyDescent="0.3">
      <c r="A67" s="2">
        <v>41651</v>
      </c>
      <c r="B67" s="9">
        <f>MONTH(Table1[[#This Row],[Order Date]])</f>
        <v>1</v>
      </c>
      <c r="C67" s="9">
        <f>YEAR(Table1[[#This Row],[Order Date]])</f>
        <v>2014</v>
      </c>
      <c r="D67" t="s">
        <v>1612</v>
      </c>
      <c r="E67" t="s">
        <v>78</v>
      </c>
      <c r="F67" t="s">
        <v>34</v>
      </c>
      <c r="G67" t="s">
        <v>47</v>
      </c>
      <c r="H67" t="s">
        <v>208</v>
      </c>
      <c r="I67" s="7">
        <v>8.1300000000000008</v>
      </c>
      <c r="J67" s="8">
        <v>2</v>
      </c>
      <c r="K67" s="7">
        <v>1.42</v>
      </c>
    </row>
    <row r="68" spans="1:11" x14ac:dyDescent="0.3">
      <c r="A68" s="2">
        <v>41651</v>
      </c>
      <c r="B68" s="9">
        <f>MONTH(Table1[[#This Row],[Order Date]])</f>
        <v>1</v>
      </c>
      <c r="C68" s="9">
        <f>YEAR(Table1[[#This Row],[Order Date]])</f>
        <v>2014</v>
      </c>
      <c r="D68" t="s">
        <v>1612</v>
      </c>
      <c r="E68" t="s">
        <v>78</v>
      </c>
      <c r="F68" t="s">
        <v>11</v>
      </c>
      <c r="G68" t="s">
        <v>12</v>
      </c>
      <c r="H68" t="s">
        <v>1684</v>
      </c>
      <c r="I68" s="7">
        <v>36.29</v>
      </c>
      <c r="J68" s="8">
        <v>7</v>
      </c>
      <c r="K68" s="7">
        <v>12.7</v>
      </c>
    </row>
    <row r="69" spans="1:11" x14ac:dyDescent="0.3">
      <c r="A69" s="2">
        <v>41651</v>
      </c>
      <c r="B69" s="9">
        <f>MONTH(Table1[[#This Row],[Order Date]])</f>
        <v>1</v>
      </c>
      <c r="C69" s="9">
        <f>YEAR(Table1[[#This Row],[Order Date]])</f>
        <v>2014</v>
      </c>
      <c r="D69" t="s">
        <v>1612</v>
      </c>
      <c r="E69" t="s">
        <v>78</v>
      </c>
      <c r="F69" t="s">
        <v>34</v>
      </c>
      <c r="G69" t="s">
        <v>35</v>
      </c>
      <c r="H69" t="s">
        <v>647</v>
      </c>
      <c r="I69" s="7">
        <v>909.72</v>
      </c>
      <c r="J69" s="8">
        <v>6</v>
      </c>
      <c r="K69" s="7">
        <v>-51.98</v>
      </c>
    </row>
    <row r="70" spans="1:11" x14ac:dyDescent="0.3">
      <c r="A70" s="2">
        <v>41651</v>
      </c>
      <c r="B70" s="9">
        <f>MONTH(Table1[[#This Row],[Order Date]])</f>
        <v>1</v>
      </c>
      <c r="C70" s="9">
        <f>YEAR(Table1[[#This Row],[Order Date]])</f>
        <v>2014</v>
      </c>
      <c r="D70" t="s">
        <v>341</v>
      </c>
      <c r="E70" t="s">
        <v>10</v>
      </c>
      <c r="F70" t="s">
        <v>34</v>
      </c>
      <c r="G70" t="s">
        <v>35</v>
      </c>
      <c r="H70" t="s">
        <v>1685</v>
      </c>
      <c r="I70" s="7">
        <v>674.06</v>
      </c>
      <c r="J70" s="8">
        <v>3</v>
      </c>
      <c r="K70" s="7">
        <v>-19.260000000000002</v>
      </c>
    </row>
    <row r="71" spans="1:11" x14ac:dyDescent="0.3">
      <c r="A71" s="2">
        <v>41651</v>
      </c>
      <c r="B71" s="9">
        <f>MONTH(Table1[[#This Row],[Order Date]])</f>
        <v>1</v>
      </c>
      <c r="C71" s="9">
        <f>YEAR(Table1[[#This Row],[Order Date]])</f>
        <v>2014</v>
      </c>
      <c r="D71" t="s">
        <v>841</v>
      </c>
      <c r="E71" t="s">
        <v>422</v>
      </c>
      <c r="F71" t="s">
        <v>34</v>
      </c>
      <c r="G71" t="s">
        <v>47</v>
      </c>
      <c r="H71" t="s">
        <v>1686</v>
      </c>
      <c r="I71" s="7">
        <v>45.84</v>
      </c>
      <c r="J71" s="8">
        <v>3</v>
      </c>
      <c r="K71" s="7">
        <v>15.59</v>
      </c>
    </row>
    <row r="72" spans="1:11" x14ac:dyDescent="0.3">
      <c r="A72" s="2">
        <v>41651</v>
      </c>
      <c r="B72" s="9">
        <f>MONTH(Table1[[#This Row],[Order Date]])</f>
        <v>1</v>
      </c>
      <c r="C72" s="9">
        <f>YEAR(Table1[[#This Row],[Order Date]])</f>
        <v>2014</v>
      </c>
      <c r="D72" t="s">
        <v>841</v>
      </c>
      <c r="E72" t="s">
        <v>422</v>
      </c>
      <c r="F72" t="s">
        <v>34</v>
      </c>
      <c r="G72" t="s">
        <v>47</v>
      </c>
      <c r="H72" t="s">
        <v>115</v>
      </c>
      <c r="I72" s="7">
        <v>9.82</v>
      </c>
      <c r="J72" s="8">
        <v>2</v>
      </c>
      <c r="K72" s="7">
        <v>3.24</v>
      </c>
    </row>
    <row r="73" spans="1:11" x14ac:dyDescent="0.3">
      <c r="A73" s="2">
        <v>41672</v>
      </c>
      <c r="B73" s="9">
        <f>MONTH(Table1[[#This Row],[Order Date]])</f>
        <v>2</v>
      </c>
      <c r="C73" s="9">
        <f>YEAR(Table1[[#This Row],[Order Date]])</f>
        <v>2014</v>
      </c>
      <c r="D73" t="s">
        <v>155</v>
      </c>
      <c r="E73" t="s">
        <v>120</v>
      </c>
      <c r="F73" t="s">
        <v>11</v>
      </c>
      <c r="G73" t="s">
        <v>20</v>
      </c>
      <c r="H73" t="s">
        <v>156</v>
      </c>
      <c r="I73" s="7">
        <v>18.34</v>
      </c>
      <c r="J73" s="8">
        <v>2</v>
      </c>
      <c r="K73" s="7">
        <v>-12.22</v>
      </c>
    </row>
    <row r="74" spans="1:11" x14ac:dyDescent="0.3">
      <c r="A74" s="2">
        <v>41672</v>
      </c>
      <c r="B74" s="9">
        <f>MONTH(Table1[[#This Row],[Order Date]])</f>
        <v>2</v>
      </c>
      <c r="C74" s="9">
        <f>YEAR(Table1[[#This Row],[Order Date]])</f>
        <v>2014</v>
      </c>
      <c r="D74" t="s">
        <v>155</v>
      </c>
      <c r="E74" t="s">
        <v>120</v>
      </c>
      <c r="F74" t="s">
        <v>39</v>
      </c>
      <c r="G74" t="s">
        <v>40</v>
      </c>
      <c r="H74" t="s">
        <v>157</v>
      </c>
      <c r="I74" s="7">
        <v>180.96</v>
      </c>
      <c r="J74" s="8">
        <v>5</v>
      </c>
      <c r="K74" s="7">
        <v>13.57</v>
      </c>
    </row>
    <row r="75" spans="1:11" x14ac:dyDescent="0.3">
      <c r="A75" s="2">
        <v>41673</v>
      </c>
      <c r="B75" s="9">
        <f>MONTH(Table1[[#This Row],[Order Date]])</f>
        <v>2</v>
      </c>
      <c r="C75" s="9">
        <f>YEAR(Table1[[#This Row],[Order Date]])</f>
        <v>2014</v>
      </c>
      <c r="D75" t="s">
        <v>231</v>
      </c>
      <c r="E75" t="s">
        <v>144</v>
      </c>
      <c r="F75" t="s">
        <v>11</v>
      </c>
      <c r="G75" t="s">
        <v>63</v>
      </c>
      <c r="H75" t="s">
        <v>64</v>
      </c>
      <c r="I75" s="7">
        <v>11.36</v>
      </c>
      <c r="J75" s="8">
        <v>2</v>
      </c>
      <c r="K75" s="7">
        <v>5.34</v>
      </c>
    </row>
    <row r="76" spans="1:11" x14ac:dyDescent="0.3">
      <c r="A76" s="2">
        <v>41673</v>
      </c>
      <c r="B76" s="9">
        <f>MONTH(Table1[[#This Row],[Order Date]])</f>
        <v>2</v>
      </c>
      <c r="C76" s="9">
        <f>YEAR(Table1[[#This Row],[Order Date]])</f>
        <v>2014</v>
      </c>
      <c r="D76" t="s">
        <v>231</v>
      </c>
      <c r="E76" t="s">
        <v>144</v>
      </c>
      <c r="F76" t="s">
        <v>11</v>
      </c>
      <c r="G76" t="s">
        <v>12</v>
      </c>
      <c r="H76" t="s">
        <v>232</v>
      </c>
      <c r="I76" s="7">
        <v>36.4</v>
      </c>
      <c r="J76" s="8">
        <v>5</v>
      </c>
      <c r="K76" s="7">
        <v>17.47</v>
      </c>
    </row>
    <row r="77" spans="1:11" x14ac:dyDescent="0.3">
      <c r="A77" s="2">
        <v>41673</v>
      </c>
      <c r="B77" s="9">
        <f>MONTH(Table1[[#This Row],[Order Date]])</f>
        <v>2</v>
      </c>
      <c r="C77" s="9">
        <f>YEAR(Table1[[#This Row],[Order Date]])</f>
        <v>2014</v>
      </c>
      <c r="D77" t="s">
        <v>233</v>
      </c>
      <c r="E77" t="s">
        <v>23</v>
      </c>
      <c r="F77" t="s">
        <v>11</v>
      </c>
      <c r="G77" t="s">
        <v>12</v>
      </c>
      <c r="H77" t="s">
        <v>234</v>
      </c>
      <c r="I77" s="7">
        <v>3.42</v>
      </c>
      <c r="J77" s="8">
        <v>1</v>
      </c>
      <c r="K77" s="7">
        <v>1.07</v>
      </c>
    </row>
    <row r="78" spans="1:11" x14ac:dyDescent="0.3">
      <c r="A78" s="2">
        <v>41673</v>
      </c>
      <c r="B78" s="9">
        <f>MONTH(Table1[[#This Row],[Order Date]])</f>
        <v>2</v>
      </c>
      <c r="C78" s="9">
        <f>YEAR(Table1[[#This Row],[Order Date]])</f>
        <v>2014</v>
      </c>
      <c r="D78" t="s">
        <v>233</v>
      </c>
      <c r="E78" t="s">
        <v>23</v>
      </c>
      <c r="F78" t="s">
        <v>39</v>
      </c>
      <c r="G78" t="s">
        <v>52</v>
      </c>
      <c r="H78" t="s">
        <v>235</v>
      </c>
      <c r="I78" s="7">
        <v>151.19999999999999</v>
      </c>
      <c r="J78" s="8">
        <v>3</v>
      </c>
      <c r="K78" s="7">
        <v>32.130000000000003</v>
      </c>
    </row>
    <row r="79" spans="1:11" x14ac:dyDescent="0.3">
      <c r="A79" s="2">
        <v>41674</v>
      </c>
      <c r="B79" s="9">
        <f>MONTH(Table1[[#This Row],[Order Date]])</f>
        <v>2</v>
      </c>
      <c r="C79" s="9">
        <f>YEAR(Table1[[#This Row],[Order Date]])</f>
        <v>2014</v>
      </c>
      <c r="D79" t="s">
        <v>425</v>
      </c>
      <c r="E79" t="s">
        <v>30</v>
      </c>
      <c r="F79" t="s">
        <v>11</v>
      </c>
      <c r="G79" t="s">
        <v>12</v>
      </c>
      <c r="H79" t="s">
        <v>426</v>
      </c>
      <c r="I79" s="7">
        <v>15.84</v>
      </c>
      <c r="J79" s="8">
        <v>3</v>
      </c>
      <c r="K79" s="7">
        <v>7.13</v>
      </c>
    </row>
    <row r="80" spans="1:11" x14ac:dyDescent="0.3">
      <c r="A80" s="2">
        <v>41674</v>
      </c>
      <c r="B80" s="9">
        <f>MONTH(Table1[[#This Row],[Order Date]])</f>
        <v>2</v>
      </c>
      <c r="C80" s="9">
        <f>YEAR(Table1[[#This Row],[Order Date]])</f>
        <v>2014</v>
      </c>
      <c r="D80" t="s">
        <v>425</v>
      </c>
      <c r="E80" t="s">
        <v>30</v>
      </c>
      <c r="F80" t="s">
        <v>39</v>
      </c>
      <c r="G80" t="s">
        <v>40</v>
      </c>
      <c r="H80" t="s">
        <v>427</v>
      </c>
      <c r="I80" s="7">
        <v>1049.93</v>
      </c>
      <c r="J80" s="8">
        <v>7</v>
      </c>
      <c r="K80" s="7">
        <v>293.98</v>
      </c>
    </row>
    <row r="81" spans="1:11" x14ac:dyDescent="0.3">
      <c r="A81" s="2">
        <v>41674</v>
      </c>
      <c r="B81" s="9">
        <f>MONTH(Table1[[#This Row],[Order Date]])</f>
        <v>2</v>
      </c>
      <c r="C81" s="9">
        <f>YEAR(Table1[[#This Row],[Order Date]])</f>
        <v>2014</v>
      </c>
      <c r="D81" t="s">
        <v>425</v>
      </c>
      <c r="E81" t="s">
        <v>30</v>
      </c>
      <c r="F81" t="s">
        <v>11</v>
      </c>
      <c r="G81" t="s">
        <v>92</v>
      </c>
      <c r="H81" t="s">
        <v>428</v>
      </c>
      <c r="I81" s="7">
        <v>154.9</v>
      </c>
      <c r="J81" s="8">
        <v>5</v>
      </c>
      <c r="K81" s="7">
        <v>40.270000000000003</v>
      </c>
    </row>
    <row r="82" spans="1:11" x14ac:dyDescent="0.3">
      <c r="A82" s="2">
        <v>41674</v>
      </c>
      <c r="B82" s="9">
        <f>MONTH(Table1[[#This Row],[Order Date]])</f>
        <v>2</v>
      </c>
      <c r="C82" s="9">
        <f>YEAR(Table1[[#This Row],[Order Date]])</f>
        <v>2014</v>
      </c>
      <c r="D82" t="s">
        <v>244</v>
      </c>
      <c r="E82" t="s">
        <v>10</v>
      </c>
      <c r="F82" t="s">
        <v>11</v>
      </c>
      <c r="G82" t="s">
        <v>12</v>
      </c>
      <c r="H82" t="s">
        <v>429</v>
      </c>
      <c r="I82" s="7">
        <v>26.72</v>
      </c>
      <c r="J82" s="8">
        <v>5</v>
      </c>
      <c r="K82" s="7">
        <v>9.35</v>
      </c>
    </row>
    <row r="83" spans="1:11" x14ac:dyDescent="0.3">
      <c r="A83" s="2">
        <v>41674</v>
      </c>
      <c r="B83" s="9">
        <f>MONTH(Table1[[#This Row],[Order Date]])</f>
        <v>2</v>
      </c>
      <c r="C83" s="9">
        <f>YEAR(Table1[[#This Row],[Order Date]])</f>
        <v>2014</v>
      </c>
      <c r="D83" t="s">
        <v>244</v>
      </c>
      <c r="E83" t="s">
        <v>10</v>
      </c>
      <c r="F83" t="s">
        <v>11</v>
      </c>
      <c r="G83" t="s">
        <v>12</v>
      </c>
      <c r="H83" t="s">
        <v>430</v>
      </c>
      <c r="I83" s="7">
        <v>33.49</v>
      </c>
      <c r="J83" s="8">
        <v>7</v>
      </c>
      <c r="K83" s="7">
        <v>10.47</v>
      </c>
    </row>
    <row r="84" spans="1:11" x14ac:dyDescent="0.3">
      <c r="A84" s="2">
        <v>41674</v>
      </c>
      <c r="B84" s="9">
        <f>MONTH(Table1[[#This Row],[Order Date]])</f>
        <v>2</v>
      </c>
      <c r="C84" s="9">
        <f>YEAR(Table1[[#This Row],[Order Date]])</f>
        <v>2014</v>
      </c>
      <c r="D84" t="s">
        <v>431</v>
      </c>
      <c r="E84" t="s">
        <v>55</v>
      </c>
      <c r="F84" t="s">
        <v>34</v>
      </c>
      <c r="G84" t="s">
        <v>47</v>
      </c>
      <c r="H84" t="s">
        <v>432</v>
      </c>
      <c r="I84" s="7">
        <v>177.68</v>
      </c>
      <c r="J84" s="8">
        <v>2</v>
      </c>
      <c r="K84" s="7">
        <v>46.2</v>
      </c>
    </row>
    <row r="85" spans="1:11" x14ac:dyDescent="0.3">
      <c r="A85" s="2">
        <v>41675</v>
      </c>
      <c r="B85" s="9">
        <f>MONTH(Table1[[#This Row],[Order Date]])</f>
        <v>2</v>
      </c>
      <c r="C85" s="9">
        <f>YEAR(Table1[[#This Row],[Order Date]])</f>
        <v>2014</v>
      </c>
      <c r="D85" t="s">
        <v>588</v>
      </c>
      <c r="E85" t="s">
        <v>78</v>
      </c>
      <c r="F85" t="s">
        <v>11</v>
      </c>
      <c r="G85" t="s">
        <v>92</v>
      </c>
      <c r="H85" t="s">
        <v>326</v>
      </c>
      <c r="I85" s="7">
        <v>26.14</v>
      </c>
      <c r="J85" s="8">
        <v>3</v>
      </c>
      <c r="K85" s="7">
        <v>1.96</v>
      </c>
    </row>
    <row r="86" spans="1:11" x14ac:dyDescent="0.3">
      <c r="A86" s="2">
        <v>41675</v>
      </c>
      <c r="B86" s="9">
        <f>MONTH(Table1[[#This Row],[Order Date]])</f>
        <v>2</v>
      </c>
      <c r="C86" s="9">
        <f>YEAR(Table1[[#This Row],[Order Date]])</f>
        <v>2014</v>
      </c>
      <c r="D86" t="s">
        <v>589</v>
      </c>
      <c r="E86" t="s">
        <v>120</v>
      </c>
      <c r="F86" t="s">
        <v>39</v>
      </c>
      <c r="G86" t="s">
        <v>590</v>
      </c>
      <c r="H86" t="s">
        <v>591</v>
      </c>
      <c r="I86" s="7">
        <v>479.98</v>
      </c>
      <c r="J86" s="8">
        <v>2</v>
      </c>
      <c r="K86" s="7">
        <v>90</v>
      </c>
    </row>
    <row r="87" spans="1:11" x14ac:dyDescent="0.3">
      <c r="A87" s="2">
        <v>41676</v>
      </c>
      <c r="B87" s="9">
        <f>MONTH(Table1[[#This Row],[Order Date]])</f>
        <v>2</v>
      </c>
      <c r="C87" s="9">
        <f>YEAR(Table1[[#This Row],[Order Date]])</f>
        <v>2014</v>
      </c>
      <c r="D87" t="s">
        <v>284</v>
      </c>
      <c r="E87" t="s">
        <v>287</v>
      </c>
      <c r="F87" t="s">
        <v>34</v>
      </c>
      <c r="G87" t="s">
        <v>47</v>
      </c>
      <c r="H87" t="s">
        <v>747</v>
      </c>
      <c r="I87" s="7">
        <v>73.319999999999993</v>
      </c>
      <c r="J87" s="8">
        <v>6</v>
      </c>
      <c r="K87" s="7">
        <v>22</v>
      </c>
    </row>
    <row r="88" spans="1:11" x14ac:dyDescent="0.3">
      <c r="A88" s="2">
        <v>41676</v>
      </c>
      <c r="B88" s="9">
        <f>MONTH(Table1[[#This Row],[Order Date]])</f>
        <v>2</v>
      </c>
      <c r="C88" s="9">
        <f>YEAR(Table1[[#This Row],[Order Date]])</f>
        <v>2014</v>
      </c>
      <c r="D88" t="s">
        <v>508</v>
      </c>
      <c r="E88" t="s">
        <v>30</v>
      </c>
      <c r="F88" t="s">
        <v>11</v>
      </c>
      <c r="G88" t="s">
        <v>24</v>
      </c>
      <c r="H88" t="s">
        <v>675</v>
      </c>
      <c r="I88" s="7">
        <v>8.56</v>
      </c>
      <c r="J88" s="8">
        <v>2</v>
      </c>
      <c r="K88" s="7">
        <v>2.65</v>
      </c>
    </row>
    <row r="89" spans="1:11" x14ac:dyDescent="0.3">
      <c r="A89" s="2">
        <v>41676</v>
      </c>
      <c r="B89" s="9">
        <f>MONTH(Table1[[#This Row],[Order Date]])</f>
        <v>2</v>
      </c>
      <c r="C89" s="9">
        <f>YEAR(Table1[[#This Row],[Order Date]])</f>
        <v>2014</v>
      </c>
      <c r="D89" t="s">
        <v>508</v>
      </c>
      <c r="E89" t="s">
        <v>30</v>
      </c>
      <c r="F89" t="s">
        <v>39</v>
      </c>
      <c r="G89" t="s">
        <v>40</v>
      </c>
      <c r="H89" t="s">
        <v>748</v>
      </c>
      <c r="I89" s="7">
        <v>239.97</v>
      </c>
      <c r="J89" s="8">
        <v>3</v>
      </c>
      <c r="K89" s="7">
        <v>67.19</v>
      </c>
    </row>
    <row r="90" spans="1:11" x14ac:dyDescent="0.3">
      <c r="A90" s="2">
        <v>41676</v>
      </c>
      <c r="B90" s="9">
        <f>MONTH(Table1[[#This Row],[Order Date]])</f>
        <v>2</v>
      </c>
      <c r="C90" s="9">
        <f>YEAR(Table1[[#This Row],[Order Date]])</f>
        <v>2014</v>
      </c>
      <c r="D90" t="s">
        <v>508</v>
      </c>
      <c r="E90" t="s">
        <v>30</v>
      </c>
      <c r="F90" t="s">
        <v>11</v>
      </c>
      <c r="G90" t="s">
        <v>18</v>
      </c>
      <c r="H90" t="s">
        <v>300</v>
      </c>
      <c r="I90" s="7">
        <v>356.94</v>
      </c>
      <c r="J90" s="8">
        <v>2</v>
      </c>
      <c r="K90" s="7">
        <v>107.08</v>
      </c>
    </row>
    <row r="91" spans="1:11" x14ac:dyDescent="0.3">
      <c r="A91" s="2">
        <v>41677</v>
      </c>
      <c r="B91" s="9">
        <f>MONTH(Table1[[#This Row],[Order Date]])</f>
        <v>2</v>
      </c>
      <c r="C91" s="9">
        <f>YEAR(Table1[[#This Row],[Order Date]])</f>
        <v>2014</v>
      </c>
      <c r="D91" t="s">
        <v>878</v>
      </c>
      <c r="E91" t="s">
        <v>171</v>
      </c>
      <c r="F91" t="s">
        <v>39</v>
      </c>
      <c r="G91" t="s">
        <v>40</v>
      </c>
      <c r="H91" t="s">
        <v>879</v>
      </c>
      <c r="I91" s="7">
        <v>73.98</v>
      </c>
      <c r="J91" s="8">
        <v>2</v>
      </c>
      <c r="K91" s="7">
        <v>19.97</v>
      </c>
    </row>
    <row r="92" spans="1:11" x14ac:dyDescent="0.3">
      <c r="A92" s="2">
        <v>41677</v>
      </c>
      <c r="B92" s="9">
        <f>MONTH(Table1[[#This Row],[Order Date]])</f>
        <v>2</v>
      </c>
      <c r="C92" s="9">
        <f>YEAR(Table1[[#This Row],[Order Date]])</f>
        <v>2014</v>
      </c>
      <c r="D92" t="s">
        <v>878</v>
      </c>
      <c r="E92" t="s">
        <v>171</v>
      </c>
      <c r="F92" t="s">
        <v>11</v>
      </c>
      <c r="G92" t="s">
        <v>24</v>
      </c>
      <c r="H92" t="s">
        <v>632</v>
      </c>
      <c r="I92" s="7">
        <v>5.58</v>
      </c>
      <c r="J92" s="8">
        <v>1</v>
      </c>
      <c r="K92" s="7">
        <v>2.1800000000000002</v>
      </c>
    </row>
    <row r="93" spans="1:11" x14ac:dyDescent="0.3">
      <c r="A93" s="2">
        <v>41678</v>
      </c>
      <c r="B93" s="9">
        <f>MONTH(Table1[[#This Row],[Order Date]])</f>
        <v>2</v>
      </c>
      <c r="C93" s="9">
        <f>YEAR(Table1[[#This Row],[Order Date]])</f>
        <v>2014</v>
      </c>
      <c r="D93" t="s">
        <v>1022</v>
      </c>
      <c r="E93" t="s">
        <v>179</v>
      </c>
      <c r="F93" t="s">
        <v>11</v>
      </c>
      <c r="G93" t="s">
        <v>20</v>
      </c>
      <c r="H93" t="s">
        <v>136</v>
      </c>
      <c r="I93" s="7">
        <v>26.7</v>
      </c>
      <c r="J93" s="8">
        <v>5</v>
      </c>
      <c r="K93" s="7">
        <v>12.55</v>
      </c>
    </row>
    <row r="94" spans="1:11" x14ac:dyDescent="0.3">
      <c r="A94" s="2">
        <v>41678</v>
      </c>
      <c r="B94" s="9">
        <f>MONTH(Table1[[#This Row],[Order Date]])</f>
        <v>2</v>
      </c>
      <c r="C94" s="9">
        <f>YEAR(Table1[[#This Row],[Order Date]])</f>
        <v>2014</v>
      </c>
      <c r="D94" t="s">
        <v>1022</v>
      </c>
      <c r="E94" t="s">
        <v>179</v>
      </c>
      <c r="F94" t="s">
        <v>39</v>
      </c>
      <c r="G94" t="s">
        <v>52</v>
      </c>
      <c r="H94" t="s">
        <v>1023</v>
      </c>
      <c r="I94" s="7">
        <v>21.2</v>
      </c>
      <c r="J94" s="8">
        <v>2</v>
      </c>
      <c r="K94" s="7">
        <v>9.1199999999999992</v>
      </c>
    </row>
    <row r="95" spans="1:11" x14ac:dyDescent="0.3">
      <c r="A95" s="2">
        <v>41678</v>
      </c>
      <c r="B95" s="9">
        <f>MONTH(Table1[[#This Row],[Order Date]])</f>
        <v>2</v>
      </c>
      <c r="C95" s="9">
        <f>YEAR(Table1[[#This Row],[Order Date]])</f>
        <v>2014</v>
      </c>
      <c r="D95" t="s">
        <v>1022</v>
      </c>
      <c r="E95" t="s">
        <v>179</v>
      </c>
      <c r="F95" t="s">
        <v>11</v>
      </c>
      <c r="G95" t="s">
        <v>18</v>
      </c>
      <c r="H95" t="s">
        <v>1024</v>
      </c>
      <c r="I95" s="7">
        <v>838.38</v>
      </c>
      <c r="J95" s="8">
        <v>2</v>
      </c>
      <c r="K95" s="7">
        <v>226.36</v>
      </c>
    </row>
    <row r="96" spans="1:11" x14ac:dyDescent="0.3">
      <c r="A96" s="2">
        <v>41679</v>
      </c>
      <c r="B96" s="9">
        <f>MONTH(Table1[[#This Row],[Order Date]])</f>
        <v>2</v>
      </c>
      <c r="C96" s="9">
        <f>YEAR(Table1[[#This Row],[Order Date]])</f>
        <v>2014</v>
      </c>
      <c r="D96" t="s">
        <v>586</v>
      </c>
      <c r="E96" t="s">
        <v>144</v>
      </c>
      <c r="F96" t="s">
        <v>11</v>
      </c>
      <c r="G96" t="s">
        <v>92</v>
      </c>
      <c r="H96" t="s">
        <v>200</v>
      </c>
      <c r="I96" s="7">
        <v>19.899999999999999</v>
      </c>
      <c r="J96" s="8">
        <v>1</v>
      </c>
      <c r="K96" s="7">
        <v>8.9600000000000009</v>
      </c>
    </row>
    <row r="97" spans="1:11" x14ac:dyDescent="0.3">
      <c r="A97" s="2">
        <v>41679</v>
      </c>
      <c r="B97" s="9">
        <f>MONTH(Table1[[#This Row],[Order Date]])</f>
        <v>2</v>
      </c>
      <c r="C97" s="9">
        <f>YEAR(Table1[[#This Row],[Order Date]])</f>
        <v>2014</v>
      </c>
      <c r="D97" t="s">
        <v>586</v>
      </c>
      <c r="E97" t="s">
        <v>144</v>
      </c>
      <c r="F97" t="s">
        <v>34</v>
      </c>
      <c r="G97" t="s">
        <v>47</v>
      </c>
      <c r="H97" t="s">
        <v>1177</v>
      </c>
      <c r="I97" s="7">
        <v>70.709999999999994</v>
      </c>
      <c r="J97" s="8">
        <v>1</v>
      </c>
      <c r="K97" s="7">
        <v>4.95</v>
      </c>
    </row>
    <row r="98" spans="1:11" x14ac:dyDescent="0.3">
      <c r="A98" s="2">
        <v>41679</v>
      </c>
      <c r="B98" s="9">
        <f>MONTH(Table1[[#This Row],[Order Date]])</f>
        <v>2</v>
      </c>
      <c r="C98" s="9">
        <f>YEAR(Table1[[#This Row],[Order Date]])</f>
        <v>2014</v>
      </c>
      <c r="D98" t="s">
        <v>248</v>
      </c>
      <c r="E98" t="s">
        <v>144</v>
      </c>
      <c r="F98" t="s">
        <v>11</v>
      </c>
      <c r="G98" t="s">
        <v>24</v>
      </c>
      <c r="H98" t="s">
        <v>1178</v>
      </c>
      <c r="I98" s="7">
        <v>21.24</v>
      </c>
      <c r="J98" s="8">
        <v>3</v>
      </c>
      <c r="K98" s="7">
        <v>8.07</v>
      </c>
    </row>
    <row r="99" spans="1:11" x14ac:dyDescent="0.3">
      <c r="A99" s="2">
        <v>41679</v>
      </c>
      <c r="B99" s="9">
        <f>MONTH(Table1[[#This Row],[Order Date]])</f>
        <v>2</v>
      </c>
      <c r="C99" s="9">
        <f>YEAR(Table1[[#This Row],[Order Date]])</f>
        <v>2014</v>
      </c>
      <c r="D99" t="s">
        <v>1179</v>
      </c>
      <c r="E99" t="s">
        <v>144</v>
      </c>
      <c r="F99" t="s">
        <v>11</v>
      </c>
      <c r="G99" t="s">
        <v>24</v>
      </c>
      <c r="H99" t="s">
        <v>982</v>
      </c>
      <c r="I99" s="7">
        <v>57.75</v>
      </c>
      <c r="J99" s="8">
        <v>5</v>
      </c>
      <c r="K99" s="7">
        <v>16.170000000000002</v>
      </c>
    </row>
    <row r="100" spans="1:11" x14ac:dyDescent="0.3">
      <c r="A100" s="2">
        <v>41679</v>
      </c>
      <c r="B100" s="9">
        <f>MONTH(Table1[[#This Row],[Order Date]])</f>
        <v>2</v>
      </c>
      <c r="C100" s="9">
        <f>YEAR(Table1[[#This Row],[Order Date]])</f>
        <v>2014</v>
      </c>
      <c r="D100" t="s">
        <v>385</v>
      </c>
      <c r="E100" t="s">
        <v>15</v>
      </c>
      <c r="F100" t="s">
        <v>39</v>
      </c>
      <c r="G100" t="s">
        <v>52</v>
      </c>
      <c r="H100" t="s">
        <v>714</v>
      </c>
      <c r="I100" s="7">
        <v>239.98</v>
      </c>
      <c r="J100" s="8">
        <v>3</v>
      </c>
      <c r="K100" s="7">
        <v>53.99</v>
      </c>
    </row>
    <row r="101" spans="1:11" x14ac:dyDescent="0.3">
      <c r="A101" s="2">
        <v>41679</v>
      </c>
      <c r="B101" s="9">
        <f>MONTH(Table1[[#This Row],[Order Date]])</f>
        <v>2</v>
      </c>
      <c r="C101" s="9">
        <f>YEAR(Table1[[#This Row],[Order Date]])</f>
        <v>2014</v>
      </c>
      <c r="D101" t="s">
        <v>1071</v>
      </c>
      <c r="E101" t="s">
        <v>10</v>
      </c>
      <c r="F101" t="s">
        <v>39</v>
      </c>
      <c r="G101" t="s">
        <v>293</v>
      </c>
      <c r="H101" t="s">
        <v>1180</v>
      </c>
      <c r="I101" s="7">
        <v>559.71</v>
      </c>
      <c r="J101" s="8">
        <v>3</v>
      </c>
      <c r="K101" s="7">
        <v>-121.27</v>
      </c>
    </row>
    <row r="102" spans="1:11" x14ac:dyDescent="0.3">
      <c r="A102" s="2">
        <v>41679</v>
      </c>
      <c r="B102" s="9">
        <f>MONTH(Table1[[#This Row],[Order Date]])</f>
        <v>2</v>
      </c>
      <c r="C102" s="9">
        <f>YEAR(Table1[[#This Row],[Order Date]])</f>
        <v>2014</v>
      </c>
      <c r="D102" t="s">
        <v>186</v>
      </c>
      <c r="E102" t="s">
        <v>100</v>
      </c>
      <c r="F102" t="s">
        <v>11</v>
      </c>
      <c r="G102" t="s">
        <v>20</v>
      </c>
      <c r="H102" t="s">
        <v>1115</v>
      </c>
      <c r="I102" s="7">
        <v>1793.98</v>
      </c>
      <c r="J102" s="8">
        <v>2</v>
      </c>
      <c r="K102" s="7">
        <v>843.17</v>
      </c>
    </row>
    <row r="103" spans="1:11" x14ac:dyDescent="0.3">
      <c r="A103" s="2">
        <v>41679</v>
      </c>
      <c r="B103" s="9">
        <f>MONTH(Table1[[#This Row],[Order Date]])</f>
        <v>2</v>
      </c>
      <c r="C103" s="9">
        <f>YEAR(Table1[[#This Row],[Order Date]])</f>
        <v>2014</v>
      </c>
      <c r="D103" t="s">
        <v>759</v>
      </c>
      <c r="E103" t="s">
        <v>15</v>
      </c>
      <c r="F103" t="s">
        <v>39</v>
      </c>
      <c r="G103" t="s">
        <v>52</v>
      </c>
      <c r="H103" t="s">
        <v>1108</v>
      </c>
      <c r="I103" s="7">
        <v>475.94</v>
      </c>
      <c r="J103" s="8">
        <v>7</v>
      </c>
      <c r="K103" s="7">
        <v>95.19</v>
      </c>
    </row>
    <row r="104" spans="1:11" x14ac:dyDescent="0.3">
      <c r="A104" s="2">
        <v>41680</v>
      </c>
      <c r="B104" s="9">
        <f>MONTH(Table1[[#This Row],[Order Date]])</f>
        <v>2</v>
      </c>
      <c r="C104" s="9">
        <f>YEAR(Table1[[#This Row],[Order Date]])</f>
        <v>2014</v>
      </c>
      <c r="D104" t="s">
        <v>1384</v>
      </c>
      <c r="E104" t="s">
        <v>95</v>
      </c>
      <c r="F104" t="s">
        <v>11</v>
      </c>
      <c r="G104" t="s">
        <v>12</v>
      </c>
      <c r="H104" t="s">
        <v>1385</v>
      </c>
      <c r="I104" s="7">
        <v>9.41</v>
      </c>
      <c r="J104" s="8">
        <v>2</v>
      </c>
      <c r="K104" s="7">
        <v>3.41</v>
      </c>
    </row>
    <row r="105" spans="1:11" x14ac:dyDescent="0.3">
      <c r="A105" s="2">
        <v>41680</v>
      </c>
      <c r="B105" s="9">
        <f>MONTH(Table1[[#This Row],[Order Date]])</f>
        <v>2</v>
      </c>
      <c r="C105" s="9">
        <f>YEAR(Table1[[#This Row],[Order Date]])</f>
        <v>2014</v>
      </c>
      <c r="D105" t="s">
        <v>1384</v>
      </c>
      <c r="E105" t="s">
        <v>95</v>
      </c>
      <c r="F105" t="s">
        <v>39</v>
      </c>
      <c r="G105" t="s">
        <v>40</v>
      </c>
      <c r="H105" t="s">
        <v>1386</v>
      </c>
      <c r="I105" s="7">
        <v>318.39999999999998</v>
      </c>
      <c r="J105" s="8">
        <v>2</v>
      </c>
      <c r="K105" s="7">
        <v>107.46</v>
      </c>
    </row>
    <row r="106" spans="1:11" x14ac:dyDescent="0.3">
      <c r="A106" s="2">
        <v>41680</v>
      </c>
      <c r="B106" s="9">
        <f>MONTH(Table1[[#This Row],[Order Date]])</f>
        <v>2</v>
      </c>
      <c r="C106" s="9">
        <f>YEAR(Table1[[#This Row],[Order Date]])</f>
        <v>2014</v>
      </c>
      <c r="D106" t="s">
        <v>1384</v>
      </c>
      <c r="E106" t="s">
        <v>95</v>
      </c>
      <c r="F106" t="s">
        <v>11</v>
      </c>
      <c r="G106" t="s">
        <v>63</v>
      </c>
      <c r="H106" t="s">
        <v>1387</v>
      </c>
      <c r="I106" s="7">
        <v>12.77</v>
      </c>
      <c r="J106" s="8">
        <v>6</v>
      </c>
      <c r="K106" s="7">
        <v>4.63</v>
      </c>
    </row>
    <row r="107" spans="1:11" x14ac:dyDescent="0.3">
      <c r="A107" s="2">
        <v>41680</v>
      </c>
      <c r="B107" s="9">
        <f>MONTH(Table1[[#This Row],[Order Date]])</f>
        <v>2</v>
      </c>
      <c r="C107" s="9">
        <f>YEAR(Table1[[#This Row],[Order Date]])</f>
        <v>2014</v>
      </c>
      <c r="D107" t="s">
        <v>1384</v>
      </c>
      <c r="E107" t="s">
        <v>95</v>
      </c>
      <c r="F107" t="s">
        <v>11</v>
      </c>
      <c r="G107" t="s">
        <v>194</v>
      </c>
      <c r="H107" t="s">
        <v>1388</v>
      </c>
      <c r="I107" s="7">
        <v>15.36</v>
      </c>
      <c r="J107" s="8">
        <v>2</v>
      </c>
      <c r="K107" s="7">
        <v>-3.26</v>
      </c>
    </row>
    <row r="108" spans="1:11" x14ac:dyDescent="0.3">
      <c r="A108" s="2">
        <v>41680</v>
      </c>
      <c r="B108" s="9">
        <f>MONTH(Table1[[#This Row],[Order Date]])</f>
        <v>2</v>
      </c>
      <c r="C108" s="9">
        <f>YEAR(Table1[[#This Row],[Order Date]])</f>
        <v>2014</v>
      </c>
      <c r="D108" t="s">
        <v>1384</v>
      </c>
      <c r="E108" t="s">
        <v>95</v>
      </c>
      <c r="F108" t="s">
        <v>39</v>
      </c>
      <c r="G108" t="s">
        <v>40</v>
      </c>
      <c r="H108" t="s">
        <v>505</v>
      </c>
      <c r="I108" s="7">
        <v>230.38</v>
      </c>
      <c r="J108" s="8">
        <v>3</v>
      </c>
      <c r="K108" s="7">
        <v>20.16</v>
      </c>
    </row>
    <row r="109" spans="1:11" x14ac:dyDescent="0.3">
      <c r="A109" s="2">
        <v>41680</v>
      </c>
      <c r="B109" s="9">
        <f>MONTH(Table1[[#This Row],[Order Date]])</f>
        <v>2</v>
      </c>
      <c r="C109" s="9">
        <f>YEAR(Table1[[#This Row],[Order Date]])</f>
        <v>2014</v>
      </c>
      <c r="D109" t="s">
        <v>1384</v>
      </c>
      <c r="E109" t="s">
        <v>95</v>
      </c>
      <c r="F109" t="s">
        <v>39</v>
      </c>
      <c r="G109" t="s">
        <v>52</v>
      </c>
      <c r="H109" t="s">
        <v>1389</v>
      </c>
      <c r="I109" s="7">
        <v>7.16</v>
      </c>
      <c r="J109" s="8">
        <v>1</v>
      </c>
      <c r="K109" s="7">
        <v>-0.09</v>
      </c>
    </row>
    <row r="110" spans="1:11" x14ac:dyDescent="0.3">
      <c r="A110" s="2">
        <v>41681</v>
      </c>
      <c r="B110" s="9">
        <f>MONTH(Table1[[#This Row],[Order Date]])</f>
        <v>2</v>
      </c>
      <c r="C110" s="9">
        <f>YEAR(Table1[[#This Row],[Order Date]])</f>
        <v>2014</v>
      </c>
      <c r="D110" t="s">
        <v>960</v>
      </c>
      <c r="E110" t="s">
        <v>144</v>
      </c>
      <c r="F110" t="s">
        <v>11</v>
      </c>
      <c r="G110" t="s">
        <v>16</v>
      </c>
      <c r="H110" t="s">
        <v>1308</v>
      </c>
      <c r="I110" s="7">
        <v>34.86</v>
      </c>
      <c r="J110" s="8">
        <v>7</v>
      </c>
      <c r="K110" s="7">
        <v>16.04</v>
      </c>
    </row>
    <row r="111" spans="1:11" x14ac:dyDescent="0.3">
      <c r="A111" s="2">
        <v>41681</v>
      </c>
      <c r="B111" s="9">
        <f>MONTH(Table1[[#This Row],[Order Date]])</f>
        <v>2</v>
      </c>
      <c r="C111" s="9">
        <f>YEAR(Table1[[#This Row],[Order Date]])</f>
        <v>2014</v>
      </c>
      <c r="D111" t="s">
        <v>960</v>
      </c>
      <c r="E111" t="s">
        <v>144</v>
      </c>
      <c r="F111" t="s">
        <v>34</v>
      </c>
      <c r="G111" t="s">
        <v>47</v>
      </c>
      <c r="H111" t="s">
        <v>996</v>
      </c>
      <c r="I111" s="7">
        <v>89.34</v>
      </c>
      <c r="J111" s="8">
        <v>6</v>
      </c>
      <c r="K111" s="7">
        <v>24.12</v>
      </c>
    </row>
    <row r="112" spans="1:11" x14ac:dyDescent="0.3">
      <c r="A112" s="2">
        <v>41681</v>
      </c>
      <c r="B112" s="9">
        <f>MONTH(Table1[[#This Row],[Order Date]])</f>
        <v>2</v>
      </c>
      <c r="C112" s="9">
        <f>YEAR(Table1[[#This Row],[Order Date]])</f>
        <v>2014</v>
      </c>
      <c r="D112" t="s">
        <v>149</v>
      </c>
      <c r="E112" t="s">
        <v>78</v>
      </c>
      <c r="F112" t="s">
        <v>39</v>
      </c>
      <c r="G112" t="s">
        <v>40</v>
      </c>
      <c r="H112" t="s">
        <v>1323</v>
      </c>
      <c r="I112" s="7">
        <v>539.96</v>
      </c>
      <c r="J112" s="8">
        <v>6</v>
      </c>
      <c r="K112" s="7">
        <v>-107.99</v>
      </c>
    </row>
    <row r="113" spans="1:11" x14ac:dyDescent="0.3">
      <c r="A113" s="2">
        <v>41681</v>
      </c>
      <c r="B113" s="9">
        <f>MONTH(Table1[[#This Row],[Order Date]])</f>
        <v>2</v>
      </c>
      <c r="C113" s="9">
        <f>YEAR(Table1[[#This Row],[Order Date]])</f>
        <v>2014</v>
      </c>
      <c r="D113" t="s">
        <v>149</v>
      </c>
      <c r="E113" t="s">
        <v>78</v>
      </c>
      <c r="F113" t="s">
        <v>39</v>
      </c>
      <c r="G113" t="s">
        <v>40</v>
      </c>
      <c r="H113" t="s">
        <v>718</v>
      </c>
      <c r="I113" s="7">
        <v>50.23</v>
      </c>
      <c r="J113" s="8">
        <v>7</v>
      </c>
      <c r="K113" s="7">
        <v>-10.050000000000001</v>
      </c>
    </row>
    <row r="114" spans="1:11" x14ac:dyDescent="0.3">
      <c r="A114" s="2">
        <v>41681</v>
      </c>
      <c r="B114" s="9">
        <f>MONTH(Table1[[#This Row],[Order Date]])</f>
        <v>2</v>
      </c>
      <c r="C114" s="9">
        <f>YEAR(Table1[[#This Row],[Order Date]])</f>
        <v>2014</v>
      </c>
      <c r="D114" t="s">
        <v>149</v>
      </c>
      <c r="E114" t="s">
        <v>78</v>
      </c>
      <c r="F114" t="s">
        <v>11</v>
      </c>
      <c r="G114" t="s">
        <v>20</v>
      </c>
      <c r="H114" t="s">
        <v>931</v>
      </c>
      <c r="I114" s="7">
        <v>19.239999999999998</v>
      </c>
      <c r="J114" s="8">
        <v>3</v>
      </c>
      <c r="K114" s="7">
        <v>-13.47</v>
      </c>
    </row>
    <row r="115" spans="1:11" x14ac:dyDescent="0.3">
      <c r="A115" s="2">
        <v>41681</v>
      </c>
      <c r="B115" s="9">
        <f>MONTH(Table1[[#This Row],[Order Date]])</f>
        <v>2</v>
      </c>
      <c r="C115" s="9">
        <f>YEAR(Table1[[#This Row],[Order Date]])</f>
        <v>2014</v>
      </c>
      <c r="D115" t="s">
        <v>1511</v>
      </c>
      <c r="E115" t="s">
        <v>120</v>
      </c>
      <c r="F115" t="s">
        <v>39</v>
      </c>
      <c r="G115" t="s">
        <v>52</v>
      </c>
      <c r="H115" t="s">
        <v>472</v>
      </c>
      <c r="I115" s="7">
        <v>799.92</v>
      </c>
      <c r="J115" s="8">
        <v>10</v>
      </c>
      <c r="K115" s="7">
        <v>239.98</v>
      </c>
    </row>
    <row r="116" spans="1:11" x14ac:dyDescent="0.3">
      <c r="A116" s="2">
        <v>41681</v>
      </c>
      <c r="B116" s="9">
        <f>MONTH(Table1[[#This Row],[Order Date]])</f>
        <v>2</v>
      </c>
      <c r="C116" s="9">
        <f>YEAR(Table1[[#This Row],[Order Date]])</f>
        <v>2014</v>
      </c>
      <c r="D116" t="s">
        <v>1512</v>
      </c>
      <c r="E116" t="s">
        <v>27</v>
      </c>
      <c r="F116" t="s">
        <v>39</v>
      </c>
      <c r="G116" t="s">
        <v>40</v>
      </c>
      <c r="H116" t="s">
        <v>168</v>
      </c>
      <c r="I116" s="7">
        <v>46.38</v>
      </c>
      <c r="J116" s="8">
        <v>2</v>
      </c>
      <c r="K116" s="7">
        <v>5.22</v>
      </c>
    </row>
    <row r="117" spans="1:11" x14ac:dyDescent="0.3">
      <c r="A117" s="2">
        <v>41681</v>
      </c>
      <c r="B117" s="9">
        <f>MONTH(Table1[[#This Row],[Order Date]])</f>
        <v>2</v>
      </c>
      <c r="C117" s="9">
        <f>YEAR(Table1[[#This Row],[Order Date]])</f>
        <v>2014</v>
      </c>
      <c r="D117" t="s">
        <v>1512</v>
      </c>
      <c r="E117" t="s">
        <v>27</v>
      </c>
      <c r="F117" t="s">
        <v>11</v>
      </c>
      <c r="G117" t="s">
        <v>18</v>
      </c>
      <c r="H117" t="s">
        <v>1513</v>
      </c>
      <c r="I117" s="7">
        <v>362.92</v>
      </c>
      <c r="J117" s="8">
        <v>2</v>
      </c>
      <c r="K117" s="7">
        <v>105.25</v>
      </c>
    </row>
    <row r="118" spans="1:11" x14ac:dyDescent="0.3">
      <c r="A118" s="2">
        <v>41681</v>
      </c>
      <c r="B118" s="9">
        <f>MONTH(Table1[[#This Row],[Order Date]])</f>
        <v>2</v>
      </c>
      <c r="C118" s="9">
        <f>YEAR(Table1[[#This Row],[Order Date]])</f>
        <v>2014</v>
      </c>
      <c r="D118" t="s">
        <v>1514</v>
      </c>
      <c r="E118" t="s">
        <v>158</v>
      </c>
      <c r="F118" t="s">
        <v>39</v>
      </c>
      <c r="G118" t="s">
        <v>52</v>
      </c>
      <c r="H118" t="s">
        <v>963</v>
      </c>
      <c r="I118" s="7">
        <v>41.94</v>
      </c>
      <c r="J118" s="8">
        <v>2</v>
      </c>
      <c r="K118" s="7">
        <v>15.1</v>
      </c>
    </row>
    <row r="119" spans="1:11" x14ac:dyDescent="0.3">
      <c r="A119" s="2">
        <v>41681</v>
      </c>
      <c r="B119" s="9">
        <f>MONTH(Table1[[#This Row],[Order Date]])</f>
        <v>2</v>
      </c>
      <c r="C119" s="9">
        <f>YEAR(Table1[[#This Row],[Order Date]])</f>
        <v>2014</v>
      </c>
      <c r="D119" t="s">
        <v>1514</v>
      </c>
      <c r="E119" t="s">
        <v>158</v>
      </c>
      <c r="F119" t="s">
        <v>39</v>
      </c>
      <c r="G119" t="s">
        <v>40</v>
      </c>
      <c r="H119" t="s">
        <v>1515</v>
      </c>
      <c r="I119" s="7">
        <v>52.79</v>
      </c>
      <c r="J119" s="8">
        <v>1</v>
      </c>
      <c r="K119" s="7">
        <v>4.62</v>
      </c>
    </row>
    <row r="120" spans="1:11" x14ac:dyDescent="0.3">
      <c r="A120" s="2">
        <v>41682</v>
      </c>
      <c r="B120" s="9">
        <f>MONTH(Table1[[#This Row],[Order Date]])</f>
        <v>2</v>
      </c>
      <c r="C120" s="9">
        <f>YEAR(Table1[[#This Row],[Order Date]])</f>
        <v>2014</v>
      </c>
      <c r="D120" t="s">
        <v>1687</v>
      </c>
      <c r="E120" t="s">
        <v>144</v>
      </c>
      <c r="F120" t="s">
        <v>39</v>
      </c>
      <c r="G120" t="s">
        <v>52</v>
      </c>
      <c r="H120" t="s">
        <v>84</v>
      </c>
      <c r="I120" s="7">
        <v>119.96</v>
      </c>
      <c r="J120" s="8">
        <v>4</v>
      </c>
      <c r="K120" s="7">
        <v>52.78</v>
      </c>
    </row>
    <row r="121" spans="1:11" x14ac:dyDescent="0.3">
      <c r="A121" s="2">
        <v>41682</v>
      </c>
      <c r="B121" s="9">
        <f>MONTH(Table1[[#This Row],[Order Date]])</f>
        <v>2</v>
      </c>
      <c r="C121" s="9">
        <f>YEAR(Table1[[#This Row],[Order Date]])</f>
        <v>2014</v>
      </c>
      <c r="D121" t="s">
        <v>1687</v>
      </c>
      <c r="E121" t="s">
        <v>144</v>
      </c>
      <c r="F121" t="s">
        <v>34</v>
      </c>
      <c r="G121" t="s">
        <v>74</v>
      </c>
      <c r="H121" t="s">
        <v>758</v>
      </c>
      <c r="I121" s="7">
        <v>883.92</v>
      </c>
      <c r="J121" s="8">
        <v>5</v>
      </c>
      <c r="K121" s="7">
        <v>-110.49</v>
      </c>
    </row>
    <row r="122" spans="1:11" x14ac:dyDescent="0.3">
      <c r="A122" s="2">
        <v>41682</v>
      </c>
      <c r="B122" s="9">
        <f>MONTH(Table1[[#This Row],[Order Date]])</f>
        <v>2</v>
      </c>
      <c r="C122" s="9">
        <f>YEAR(Table1[[#This Row],[Order Date]])</f>
        <v>2014</v>
      </c>
      <c r="D122" t="s">
        <v>1687</v>
      </c>
      <c r="E122" t="s">
        <v>144</v>
      </c>
      <c r="F122" t="s">
        <v>11</v>
      </c>
      <c r="G122" t="s">
        <v>20</v>
      </c>
      <c r="H122" t="s">
        <v>1197</v>
      </c>
      <c r="I122" s="7">
        <v>46.72</v>
      </c>
      <c r="J122" s="8">
        <v>8</v>
      </c>
      <c r="K122" s="7">
        <v>15.77</v>
      </c>
    </row>
    <row r="123" spans="1:11" x14ac:dyDescent="0.3">
      <c r="A123" s="2">
        <v>41682</v>
      </c>
      <c r="B123" s="9">
        <f>MONTH(Table1[[#This Row],[Order Date]])</f>
        <v>2</v>
      </c>
      <c r="C123" s="9">
        <f>YEAR(Table1[[#This Row],[Order Date]])</f>
        <v>2014</v>
      </c>
      <c r="D123" t="s">
        <v>1688</v>
      </c>
      <c r="E123" t="s">
        <v>10</v>
      </c>
      <c r="F123" t="s">
        <v>34</v>
      </c>
      <c r="G123" t="s">
        <v>47</v>
      </c>
      <c r="H123" t="s">
        <v>1358</v>
      </c>
      <c r="I123" s="7">
        <v>58.36</v>
      </c>
      <c r="J123" s="8">
        <v>5</v>
      </c>
      <c r="K123" s="7">
        <v>-24.8</v>
      </c>
    </row>
    <row r="124" spans="1:11" x14ac:dyDescent="0.3">
      <c r="A124" s="2">
        <v>41682</v>
      </c>
      <c r="B124" s="9">
        <f>MONTH(Table1[[#This Row],[Order Date]])</f>
        <v>2</v>
      </c>
      <c r="C124" s="9">
        <f>YEAR(Table1[[#This Row],[Order Date]])</f>
        <v>2014</v>
      </c>
      <c r="D124" t="s">
        <v>1688</v>
      </c>
      <c r="E124" t="s">
        <v>10</v>
      </c>
      <c r="F124" t="s">
        <v>11</v>
      </c>
      <c r="G124" t="s">
        <v>24</v>
      </c>
      <c r="H124" t="s">
        <v>1533</v>
      </c>
      <c r="I124" s="7">
        <v>16.46</v>
      </c>
      <c r="J124" s="8">
        <v>7</v>
      </c>
      <c r="K124" s="7">
        <v>1.44</v>
      </c>
    </row>
    <row r="125" spans="1:11" x14ac:dyDescent="0.3">
      <c r="A125" s="2">
        <v>41682</v>
      </c>
      <c r="B125" s="9">
        <f>MONTH(Table1[[#This Row],[Order Date]])</f>
        <v>2</v>
      </c>
      <c r="C125" s="9">
        <f>YEAR(Table1[[#This Row],[Order Date]])</f>
        <v>2014</v>
      </c>
      <c r="D125" t="s">
        <v>1688</v>
      </c>
      <c r="E125" t="s">
        <v>10</v>
      </c>
      <c r="F125" t="s">
        <v>34</v>
      </c>
      <c r="G125" t="s">
        <v>47</v>
      </c>
      <c r="H125" t="s">
        <v>1689</v>
      </c>
      <c r="I125" s="7">
        <v>39.96</v>
      </c>
      <c r="J125" s="8">
        <v>5</v>
      </c>
      <c r="K125" s="7">
        <v>-23.98</v>
      </c>
    </row>
    <row r="126" spans="1:11" x14ac:dyDescent="0.3">
      <c r="A126" s="2">
        <v>41682</v>
      </c>
      <c r="B126" s="9">
        <f>MONTH(Table1[[#This Row],[Order Date]])</f>
        <v>2</v>
      </c>
      <c r="C126" s="9">
        <f>YEAR(Table1[[#This Row],[Order Date]])</f>
        <v>2014</v>
      </c>
      <c r="D126" t="s">
        <v>1690</v>
      </c>
      <c r="E126" t="s">
        <v>78</v>
      </c>
      <c r="F126" t="s">
        <v>39</v>
      </c>
      <c r="G126" t="s">
        <v>52</v>
      </c>
      <c r="H126" t="s">
        <v>1691</v>
      </c>
      <c r="I126" s="7">
        <v>119.8</v>
      </c>
      <c r="J126" s="8">
        <v>5</v>
      </c>
      <c r="K126" s="7">
        <v>29.95</v>
      </c>
    </row>
    <row r="127" spans="1:11" x14ac:dyDescent="0.3">
      <c r="A127" s="2">
        <v>41682</v>
      </c>
      <c r="B127" s="9">
        <f>MONTH(Table1[[#This Row],[Order Date]])</f>
        <v>2</v>
      </c>
      <c r="C127" s="9">
        <f>YEAR(Table1[[#This Row],[Order Date]])</f>
        <v>2014</v>
      </c>
      <c r="D127" t="s">
        <v>1692</v>
      </c>
      <c r="E127" t="s">
        <v>15</v>
      </c>
      <c r="F127" t="s">
        <v>11</v>
      </c>
      <c r="G127" t="s">
        <v>92</v>
      </c>
      <c r="H127" t="s">
        <v>645</v>
      </c>
      <c r="I127" s="7">
        <v>2.39</v>
      </c>
      <c r="J127" s="8">
        <v>1</v>
      </c>
      <c r="K127" s="7">
        <v>-6.34</v>
      </c>
    </row>
    <row r="128" spans="1:11" x14ac:dyDescent="0.3">
      <c r="A128" s="2">
        <v>41682</v>
      </c>
      <c r="B128" s="9">
        <f>MONTH(Table1[[#This Row],[Order Date]])</f>
        <v>2</v>
      </c>
      <c r="C128" s="9">
        <f>YEAR(Table1[[#This Row],[Order Date]])</f>
        <v>2014</v>
      </c>
      <c r="D128" t="s">
        <v>1262</v>
      </c>
      <c r="E128" t="s">
        <v>517</v>
      </c>
      <c r="F128" t="s">
        <v>34</v>
      </c>
      <c r="G128" t="s">
        <v>47</v>
      </c>
      <c r="H128" t="s">
        <v>1693</v>
      </c>
      <c r="I128" s="7">
        <v>60.72</v>
      </c>
      <c r="J128" s="8">
        <v>3</v>
      </c>
      <c r="K128" s="7">
        <v>23.68</v>
      </c>
    </row>
    <row r="129" spans="1:11" x14ac:dyDescent="0.3">
      <c r="A129" s="2">
        <v>41682</v>
      </c>
      <c r="B129" s="9">
        <f>MONTH(Table1[[#This Row],[Order Date]])</f>
        <v>2</v>
      </c>
      <c r="C129" s="9">
        <f>YEAR(Table1[[#This Row],[Order Date]])</f>
        <v>2014</v>
      </c>
      <c r="D129" t="s">
        <v>1262</v>
      </c>
      <c r="E129" t="s">
        <v>517</v>
      </c>
      <c r="F129" t="s">
        <v>11</v>
      </c>
      <c r="G129" t="s">
        <v>12</v>
      </c>
      <c r="H129" t="s">
        <v>1267</v>
      </c>
      <c r="I129" s="7">
        <v>146.82</v>
      </c>
      <c r="J129" s="8">
        <v>3</v>
      </c>
      <c r="K129" s="7">
        <v>73.41</v>
      </c>
    </row>
    <row r="130" spans="1:11" x14ac:dyDescent="0.3">
      <c r="A130" s="2">
        <v>41682</v>
      </c>
      <c r="B130" s="9">
        <f>MONTH(Table1[[#This Row],[Order Date]])</f>
        <v>2</v>
      </c>
      <c r="C130" s="9">
        <f>YEAR(Table1[[#This Row],[Order Date]])</f>
        <v>2014</v>
      </c>
      <c r="D130" t="s">
        <v>1262</v>
      </c>
      <c r="E130" t="s">
        <v>517</v>
      </c>
      <c r="F130" t="s">
        <v>34</v>
      </c>
      <c r="G130" t="s">
        <v>35</v>
      </c>
      <c r="H130" t="s">
        <v>1539</v>
      </c>
      <c r="I130" s="7">
        <v>239.84</v>
      </c>
      <c r="J130" s="8">
        <v>8</v>
      </c>
      <c r="K130" s="7">
        <v>64.760000000000005</v>
      </c>
    </row>
    <row r="131" spans="1:11" x14ac:dyDescent="0.3">
      <c r="A131" s="2">
        <v>41682</v>
      </c>
      <c r="B131" s="9">
        <f>MONTH(Table1[[#This Row],[Order Date]])</f>
        <v>2</v>
      </c>
      <c r="C131" s="9">
        <f>YEAR(Table1[[#This Row],[Order Date]])</f>
        <v>2014</v>
      </c>
      <c r="D131" t="s">
        <v>1262</v>
      </c>
      <c r="E131" t="s">
        <v>517</v>
      </c>
      <c r="F131" t="s">
        <v>11</v>
      </c>
      <c r="G131" t="s">
        <v>16</v>
      </c>
      <c r="H131" t="s">
        <v>1694</v>
      </c>
      <c r="I131" s="7">
        <v>15.66</v>
      </c>
      <c r="J131" s="8">
        <v>6</v>
      </c>
      <c r="K131" s="7">
        <v>7.2</v>
      </c>
    </row>
    <row r="132" spans="1:11" x14ac:dyDescent="0.3">
      <c r="A132" s="2">
        <v>41682</v>
      </c>
      <c r="B132" s="9">
        <f>MONTH(Table1[[#This Row],[Order Date]])</f>
        <v>2</v>
      </c>
      <c r="C132" s="9">
        <f>YEAR(Table1[[#This Row],[Order Date]])</f>
        <v>2014</v>
      </c>
      <c r="D132" t="s">
        <v>1695</v>
      </c>
      <c r="E132" t="s">
        <v>30</v>
      </c>
      <c r="F132" t="s">
        <v>39</v>
      </c>
      <c r="G132" t="s">
        <v>52</v>
      </c>
      <c r="H132" t="s">
        <v>1696</v>
      </c>
      <c r="I132" s="7">
        <v>5.95</v>
      </c>
      <c r="J132" s="8">
        <v>1</v>
      </c>
      <c r="K132" s="7">
        <v>0.83</v>
      </c>
    </row>
    <row r="133" spans="1:11" x14ac:dyDescent="0.3">
      <c r="A133" s="2">
        <v>41682</v>
      </c>
      <c r="B133" s="9">
        <f>MONTH(Table1[[#This Row],[Order Date]])</f>
        <v>2</v>
      </c>
      <c r="C133" s="9">
        <f>YEAR(Table1[[#This Row],[Order Date]])</f>
        <v>2014</v>
      </c>
      <c r="D133" t="s">
        <v>1695</v>
      </c>
      <c r="E133" t="s">
        <v>30</v>
      </c>
      <c r="F133" t="s">
        <v>11</v>
      </c>
      <c r="G133" t="s">
        <v>12</v>
      </c>
      <c r="H133" t="s">
        <v>1496</v>
      </c>
      <c r="I133" s="7">
        <v>15.24</v>
      </c>
      <c r="J133" s="8">
        <v>3</v>
      </c>
      <c r="K133" s="7">
        <v>7.16</v>
      </c>
    </row>
    <row r="134" spans="1:11" x14ac:dyDescent="0.3">
      <c r="A134" s="2">
        <v>41699</v>
      </c>
      <c r="B134" s="9">
        <f>MONTH(Table1[[#This Row],[Order Date]])</f>
        <v>3</v>
      </c>
      <c r="C134" s="9">
        <f>YEAR(Table1[[#This Row],[Order Date]])</f>
        <v>2014</v>
      </c>
      <c r="D134" t="s">
        <v>9</v>
      </c>
      <c r="E134" t="s">
        <v>10</v>
      </c>
      <c r="F134" t="s">
        <v>11</v>
      </c>
      <c r="G134" t="s">
        <v>12</v>
      </c>
      <c r="H134" t="s">
        <v>13</v>
      </c>
      <c r="I134" s="7">
        <v>16.45</v>
      </c>
      <c r="J134" s="8">
        <v>2</v>
      </c>
      <c r="K134" s="7">
        <v>5.55</v>
      </c>
    </row>
    <row r="135" spans="1:11" x14ac:dyDescent="0.3">
      <c r="A135" s="2">
        <v>41700</v>
      </c>
      <c r="B135" s="9">
        <f>MONTH(Table1[[#This Row],[Order Date]])</f>
        <v>3</v>
      </c>
      <c r="C135" s="9">
        <f>YEAR(Table1[[#This Row],[Order Date]])</f>
        <v>2014</v>
      </c>
      <c r="D135" t="s">
        <v>119</v>
      </c>
      <c r="E135" t="s">
        <v>158</v>
      </c>
      <c r="F135" t="s">
        <v>11</v>
      </c>
      <c r="G135" t="s">
        <v>20</v>
      </c>
      <c r="H135" t="s">
        <v>159</v>
      </c>
      <c r="I135" s="7">
        <v>83.84</v>
      </c>
      <c r="J135" s="8">
        <v>2</v>
      </c>
      <c r="K135" s="7">
        <v>27.25</v>
      </c>
    </row>
    <row r="136" spans="1:11" x14ac:dyDescent="0.3">
      <c r="A136" s="2">
        <v>41700</v>
      </c>
      <c r="B136" s="9">
        <f>MONTH(Table1[[#This Row],[Order Date]])</f>
        <v>3</v>
      </c>
      <c r="C136" s="9">
        <f>YEAR(Table1[[#This Row],[Order Date]])</f>
        <v>2014</v>
      </c>
      <c r="D136" t="s">
        <v>119</v>
      </c>
      <c r="E136" t="s">
        <v>158</v>
      </c>
      <c r="F136" t="s">
        <v>11</v>
      </c>
      <c r="G136" t="s">
        <v>20</v>
      </c>
      <c r="H136" t="s">
        <v>160</v>
      </c>
      <c r="I136" s="7">
        <v>13.27</v>
      </c>
      <c r="J136" s="8">
        <v>3</v>
      </c>
      <c r="K136" s="7">
        <v>4.3099999999999996</v>
      </c>
    </row>
    <row r="137" spans="1:11" x14ac:dyDescent="0.3">
      <c r="A137" s="2">
        <v>41701</v>
      </c>
      <c r="B137" s="9">
        <f>MONTH(Table1[[#This Row],[Order Date]])</f>
        <v>3</v>
      </c>
      <c r="C137" s="9">
        <f>YEAR(Table1[[#This Row],[Order Date]])</f>
        <v>2014</v>
      </c>
      <c r="D137" t="s">
        <v>236</v>
      </c>
      <c r="E137" t="s">
        <v>237</v>
      </c>
      <c r="F137" t="s">
        <v>11</v>
      </c>
      <c r="G137" t="s">
        <v>24</v>
      </c>
      <c r="H137" t="s">
        <v>218</v>
      </c>
      <c r="I137" s="7">
        <v>19.46</v>
      </c>
      <c r="J137" s="8">
        <v>4</v>
      </c>
      <c r="K137" s="7">
        <v>3.4</v>
      </c>
    </row>
    <row r="138" spans="1:11" x14ac:dyDescent="0.3">
      <c r="A138" s="2">
        <v>41701</v>
      </c>
      <c r="B138" s="9">
        <f>MONTH(Table1[[#This Row],[Order Date]])</f>
        <v>3</v>
      </c>
      <c r="C138" s="9">
        <f>YEAR(Table1[[#This Row],[Order Date]])</f>
        <v>2014</v>
      </c>
      <c r="D138" t="s">
        <v>238</v>
      </c>
      <c r="E138" t="s">
        <v>144</v>
      </c>
      <c r="F138" t="s">
        <v>39</v>
      </c>
      <c r="G138" t="s">
        <v>40</v>
      </c>
      <c r="H138" t="s">
        <v>239</v>
      </c>
      <c r="I138" s="7">
        <v>9.99</v>
      </c>
      <c r="J138" s="8">
        <v>1</v>
      </c>
      <c r="K138" s="7">
        <v>4.5999999999999996</v>
      </c>
    </row>
    <row r="139" spans="1:11" x14ac:dyDescent="0.3">
      <c r="A139" s="2">
        <v>41701</v>
      </c>
      <c r="B139" s="9">
        <f>MONTH(Table1[[#This Row],[Order Date]])</f>
        <v>3</v>
      </c>
      <c r="C139" s="9">
        <f>YEAR(Table1[[#This Row],[Order Date]])</f>
        <v>2014</v>
      </c>
      <c r="D139" t="s">
        <v>238</v>
      </c>
      <c r="E139" t="s">
        <v>144</v>
      </c>
      <c r="F139" t="s">
        <v>11</v>
      </c>
      <c r="G139" t="s">
        <v>20</v>
      </c>
      <c r="H139" t="s">
        <v>240</v>
      </c>
      <c r="I139" s="7">
        <v>25.32</v>
      </c>
      <c r="J139" s="8">
        <v>5</v>
      </c>
      <c r="K139" s="7">
        <v>9.18</v>
      </c>
    </row>
    <row r="140" spans="1:11" x14ac:dyDescent="0.3">
      <c r="A140" s="2">
        <v>41701</v>
      </c>
      <c r="B140" s="9">
        <f>MONTH(Table1[[#This Row],[Order Date]])</f>
        <v>3</v>
      </c>
      <c r="C140" s="9">
        <f>YEAR(Table1[[#This Row],[Order Date]])</f>
        <v>2014</v>
      </c>
      <c r="D140" t="s">
        <v>241</v>
      </c>
      <c r="E140" t="s">
        <v>78</v>
      </c>
      <c r="F140" t="s">
        <v>11</v>
      </c>
      <c r="G140" t="s">
        <v>16</v>
      </c>
      <c r="H140" t="s">
        <v>242</v>
      </c>
      <c r="I140" s="7">
        <v>15.12</v>
      </c>
      <c r="J140" s="8">
        <v>3</v>
      </c>
      <c r="K140" s="7">
        <v>4.91</v>
      </c>
    </row>
    <row r="141" spans="1:11" x14ac:dyDescent="0.3">
      <c r="A141" s="2">
        <v>41701</v>
      </c>
      <c r="B141" s="9">
        <f>MONTH(Table1[[#This Row],[Order Date]])</f>
        <v>3</v>
      </c>
      <c r="C141" s="9">
        <f>YEAR(Table1[[#This Row],[Order Date]])</f>
        <v>2014</v>
      </c>
      <c r="D141" t="s">
        <v>241</v>
      </c>
      <c r="E141" t="s">
        <v>78</v>
      </c>
      <c r="F141" t="s">
        <v>34</v>
      </c>
      <c r="G141" t="s">
        <v>74</v>
      </c>
      <c r="H141" t="s">
        <v>99</v>
      </c>
      <c r="I141" s="7">
        <v>302.45</v>
      </c>
      <c r="J141" s="8">
        <v>5</v>
      </c>
      <c r="K141" s="7">
        <v>-199.62</v>
      </c>
    </row>
    <row r="142" spans="1:11" x14ac:dyDescent="0.3">
      <c r="A142" s="2">
        <v>41701</v>
      </c>
      <c r="B142" s="9">
        <f>MONTH(Table1[[#This Row],[Order Date]])</f>
        <v>3</v>
      </c>
      <c r="C142" s="9">
        <f>YEAR(Table1[[#This Row],[Order Date]])</f>
        <v>2014</v>
      </c>
      <c r="D142" t="s">
        <v>241</v>
      </c>
      <c r="E142" t="s">
        <v>78</v>
      </c>
      <c r="F142" t="s">
        <v>11</v>
      </c>
      <c r="G142" t="s">
        <v>18</v>
      </c>
      <c r="H142" t="s">
        <v>243</v>
      </c>
      <c r="I142" s="7">
        <v>44.67</v>
      </c>
      <c r="J142" s="8">
        <v>8</v>
      </c>
      <c r="K142" s="7">
        <v>-10.050000000000001</v>
      </c>
    </row>
    <row r="143" spans="1:11" x14ac:dyDescent="0.3">
      <c r="A143" s="2">
        <v>41701</v>
      </c>
      <c r="B143" s="9">
        <f>MONTH(Table1[[#This Row],[Order Date]])</f>
        <v>3</v>
      </c>
      <c r="C143" s="9">
        <f>YEAR(Table1[[#This Row],[Order Date]])</f>
        <v>2014</v>
      </c>
      <c r="D143" t="s">
        <v>244</v>
      </c>
      <c r="E143" t="s">
        <v>10</v>
      </c>
      <c r="F143" t="s">
        <v>11</v>
      </c>
      <c r="G143" t="s">
        <v>92</v>
      </c>
      <c r="H143" t="s">
        <v>245</v>
      </c>
      <c r="I143" s="7">
        <v>176.77</v>
      </c>
      <c r="J143" s="8">
        <v>3</v>
      </c>
      <c r="K143" s="7">
        <v>-459.61</v>
      </c>
    </row>
    <row r="144" spans="1:11" x14ac:dyDescent="0.3">
      <c r="A144" s="2">
        <v>41701</v>
      </c>
      <c r="B144" s="9">
        <f>MONTH(Table1[[#This Row],[Order Date]])</f>
        <v>3</v>
      </c>
      <c r="C144" s="9">
        <f>YEAR(Table1[[#This Row],[Order Date]])</f>
        <v>2014</v>
      </c>
      <c r="D144" t="s">
        <v>246</v>
      </c>
      <c r="E144" t="s">
        <v>27</v>
      </c>
      <c r="F144" t="s">
        <v>34</v>
      </c>
      <c r="G144" t="s">
        <v>140</v>
      </c>
      <c r="H144" t="s">
        <v>247</v>
      </c>
      <c r="I144" s="7">
        <v>626.35</v>
      </c>
      <c r="J144" s="8">
        <v>3</v>
      </c>
      <c r="K144" s="7">
        <v>-23.49</v>
      </c>
    </row>
    <row r="145" spans="1:11" x14ac:dyDescent="0.3">
      <c r="A145" s="2">
        <v>41702</v>
      </c>
      <c r="B145" s="9">
        <f>MONTH(Table1[[#This Row],[Order Date]])</f>
        <v>3</v>
      </c>
      <c r="C145" s="9">
        <f>YEAR(Table1[[#This Row],[Order Date]])</f>
        <v>2014</v>
      </c>
      <c r="D145" t="s">
        <v>433</v>
      </c>
      <c r="E145" t="s">
        <v>27</v>
      </c>
      <c r="F145" t="s">
        <v>39</v>
      </c>
      <c r="G145" t="s">
        <v>52</v>
      </c>
      <c r="H145" t="s">
        <v>207</v>
      </c>
      <c r="I145" s="7">
        <v>62.31</v>
      </c>
      <c r="J145" s="8">
        <v>3</v>
      </c>
      <c r="K145" s="7">
        <v>22.43</v>
      </c>
    </row>
    <row r="146" spans="1:11" x14ac:dyDescent="0.3">
      <c r="A146" s="2">
        <v>41702</v>
      </c>
      <c r="B146" s="9">
        <f>MONTH(Table1[[#This Row],[Order Date]])</f>
        <v>3</v>
      </c>
      <c r="C146" s="9">
        <f>YEAR(Table1[[#This Row],[Order Date]])</f>
        <v>2014</v>
      </c>
      <c r="D146" t="s">
        <v>433</v>
      </c>
      <c r="E146" t="s">
        <v>27</v>
      </c>
      <c r="F146" t="s">
        <v>39</v>
      </c>
      <c r="G146" t="s">
        <v>52</v>
      </c>
      <c r="H146" t="s">
        <v>192</v>
      </c>
      <c r="I146" s="7">
        <v>159.97999999999999</v>
      </c>
      <c r="J146" s="8">
        <v>2</v>
      </c>
      <c r="K146" s="7">
        <v>57.59</v>
      </c>
    </row>
    <row r="147" spans="1:11" x14ac:dyDescent="0.3">
      <c r="A147" s="2">
        <v>41703</v>
      </c>
      <c r="B147" s="9">
        <f>MONTH(Table1[[#This Row],[Order Date]])</f>
        <v>3</v>
      </c>
      <c r="C147" s="9">
        <f>YEAR(Table1[[#This Row],[Order Date]])</f>
        <v>2014</v>
      </c>
      <c r="D147" t="s">
        <v>592</v>
      </c>
      <c r="E147" t="s">
        <v>152</v>
      </c>
      <c r="F147" t="s">
        <v>11</v>
      </c>
      <c r="G147" t="s">
        <v>16</v>
      </c>
      <c r="H147" t="s">
        <v>593</v>
      </c>
      <c r="I147" s="7">
        <v>21.56</v>
      </c>
      <c r="J147" s="8">
        <v>7</v>
      </c>
      <c r="K147" s="7">
        <v>10.35</v>
      </c>
    </row>
    <row r="148" spans="1:11" x14ac:dyDescent="0.3">
      <c r="A148" s="2">
        <v>41703</v>
      </c>
      <c r="B148" s="9">
        <f>MONTH(Table1[[#This Row],[Order Date]])</f>
        <v>3</v>
      </c>
      <c r="C148" s="9">
        <f>YEAR(Table1[[#This Row],[Order Date]])</f>
        <v>2014</v>
      </c>
      <c r="D148" t="s">
        <v>594</v>
      </c>
      <c r="E148" t="s">
        <v>144</v>
      </c>
      <c r="F148" t="s">
        <v>11</v>
      </c>
      <c r="G148" t="s">
        <v>20</v>
      </c>
      <c r="H148" t="s">
        <v>595</v>
      </c>
      <c r="I148" s="7">
        <v>40.18</v>
      </c>
      <c r="J148" s="8">
        <v>3</v>
      </c>
      <c r="K148" s="7">
        <v>14.56</v>
      </c>
    </row>
    <row r="149" spans="1:11" x14ac:dyDescent="0.3">
      <c r="A149" s="2">
        <v>41703</v>
      </c>
      <c r="B149" s="9">
        <f>MONTH(Table1[[#This Row],[Order Date]])</f>
        <v>3</v>
      </c>
      <c r="C149" s="9">
        <f>YEAR(Table1[[#This Row],[Order Date]])</f>
        <v>2014</v>
      </c>
      <c r="D149" t="s">
        <v>594</v>
      </c>
      <c r="E149" t="s">
        <v>144</v>
      </c>
      <c r="F149" t="s">
        <v>11</v>
      </c>
      <c r="G149" t="s">
        <v>20</v>
      </c>
      <c r="H149" t="s">
        <v>596</v>
      </c>
      <c r="I149" s="7">
        <v>10.9</v>
      </c>
      <c r="J149" s="8">
        <v>3</v>
      </c>
      <c r="K149" s="7">
        <v>3.95</v>
      </c>
    </row>
    <row r="150" spans="1:11" x14ac:dyDescent="0.3">
      <c r="A150" s="2">
        <v>41704</v>
      </c>
      <c r="B150" s="9">
        <f>MONTH(Table1[[#This Row],[Order Date]])</f>
        <v>3</v>
      </c>
      <c r="C150" s="9">
        <f>YEAR(Table1[[#This Row],[Order Date]])</f>
        <v>2014</v>
      </c>
      <c r="D150" t="s">
        <v>749</v>
      </c>
      <c r="E150" t="s">
        <v>158</v>
      </c>
      <c r="F150" t="s">
        <v>34</v>
      </c>
      <c r="G150" t="s">
        <v>140</v>
      </c>
      <c r="H150" t="s">
        <v>459</v>
      </c>
      <c r="I150" s="7">
        <v>515.88</v>
      </c>
      <c r="J150" s="8">
        <v>6</v>
      </c>
      <c r="K150" s="7">
        <v>113.49</v>
      </c>
    </row>
    <row r="151" spans="1:11" x14ac:dyDescent="0.3">
      <c r="A151" s="2">
        <v>41704</v>
      </c>
      <c r="B151" s="9">
        <f>MONTH(Table1[[#This Row],[Order Date]])</f>
        <v>3</v>
      </c>
      <c r="C151" s="9">
        <f>YEAR(Table1[[#This Row],[Order Date]])</f>
        <v>2014</v>
      </c>
      <c r="D151" t="s">
        <v>750</v>
      </c>
      <c r="E151" t="s">
        <v>108</v>
      </c>
      <c r="F151" t="s">
        <v>11</v>
      </c>
      <c r="G151" t="s">
        <v>63</v>
      </c>
      <c r="H151" t="s">
        <v>751</v>
      </c>
      <c r="I151" s="7">
        <v>15.28</v>
      </c>
      <c r="J151" s="8">
        <v>2</v>
      </c>
      <c r="K151" s="7">
        <v>7.49</v>
      </c>
    </row>
    <row r="152" spans="1:11" x14ac:dyDescent="0.3">
      <c r="A152" s="2">
        <v>41704</v>
      </c>
      <c r="B152" s="9">
        <f>MONTH(Table1[[#This Row],[Order Date]])</f>
        <v>3</v>
      </c>
      <c r="C152" s="9">
        <f>YEAR(Table1[[#This Row],[Order Date]])</f>
        <v>2014</v>
      </c>
      <c r="D152" t="s">
        <v>752</v>
      </c>
      <c r="E152" t="s">
        <v>15</v>
      </c>
      <c r="F152" t="s">
        <v>34</v>
      </c>
      <c r="G152" t="s">
        <v>47</v>
      </c>
      <c r="H152" t="s">
        <v>754</v>
      </c>
      <c r="I152" s="7">
        <v>61.54</v>
      </c>
      <c r="J152" s="8">
        <v>7</v>
      </c>
      <c r="K152" s="7">
        <v>-40</v>
      </c>
    </row>
    <row r="153" spans="1:11" x14ac:dyDescent="0.3">
      <c r="A153" s="2">
        <v>41704</v>
      </c>
      <c r="B153" s="9">
        <f>MONTH(Table1[[#This Row],[Order Date]])</f>
        <v>3</v>
      </c>
      <c r="C153" s="9">
        <f>YEAR(Table1[[#This Row],[Order Date]])</f>
        <v>2014</v>
      </c>
      <c r="D153" t="s">
        <v>752</v>
      </c>
      <c r="E153" t="s">
        <v>15</v>
      </c>
      <c r="F153" t="s">
        <v>11</v>
      </c>
      <c r="G153" t="s">
        <v>18</v>
      </c>
      <c r="H153" t="s">
        <v>567</v>
      </c>
      <c r="I153" s="7">
        <v>132.69999999999999</v>
      </c>
      <c r="J153" s="8">
        <v>3</v>
      </c>
      <c r="K153" s="7">
        <v>9.9499999999999993</v>
      </c>
    </row>
    <row r="154" spans="1:11" x14ac:dyDescent="0.3">
      <c r="A154" s="2">
        <v>41706</v>
      </c>
      <c r="B154" s="9">
        <f>MONTH(Table1[[#This Row],[Order Date]])</f>
        <v>3</v>
      </c>
      <c r="C154" s="9">
        <f>YEAR(Table1[[#This Row],[Order Date]])</f>
        <v>2014</v>
      </c>
      <c r="D154" t="s">
        <v>662</v>
      </c>
      <c r="E154" t="s">
        <v>269</v>
      </c>
      <c r="F154" t="s">
        <v>34</v>
      </c>
      <c r="G154" t="s">
        <v>140</v>
      </c>
      <c r="H154" t="s">
        <v>1025</v>
      </c>
      <c r="I154" s="7">
        <v>218.75</v>
      </c>
      <c r="J154" s="8">
        <v>2</v>
      </c>
      <c r="K154" s="7">
        <v>-161.88</v>
      </c>
    </row>
    <row r="155" spans="1:11" x14ac:dyDescent="0.3">
      <c r="A155" s="2">
        <v>41706</v>
      </c>
      <c r="B155" s="9">
        <f>MONTH(Table1[[#This Row],[Order Date]])</f>
        <v>3</v>
      </c>
      <c r="C155" s="9">
        <f>YEAR(Table1[[#This Row],[Order Date]])</f>
        <v>2014</v>
      </c>
      <c r="D155" t="s">
        <v>662</v>
      </c>
      <c r="E155" t="s">
        <v>269</v>
      </c>
      <c r="F155" t="s">
        <v>11</v>
      </c>
      <c r="G155" t="s">
        <v>92</v>
      </c>
      <c r="H155" t="s">
        <v>1026</v>
      </c>
      <c r="I155" s="7">
        <v>2.6</v>
      </c>
      <c r="J155" s="8">
        <v>1</v>
      </c>
      <c r="K155" s="7">
        <v>0.28999999999999998</v>
      </c>
    </row>
    <row r="156" spans="1:11" x14ac:dyDescent="0.3">
      <c r="A156" s="2">
        <v>41706</v>
      </c>
      <c r="B156" s="9">
        <f>MONTH(Table1[[#This Row],[Order Date]])</f>
        <v>3</v>
      </c>
      <c r="C156" s="9">
        <f>YEAR(Table1[[#This Row],[Order Date]])</f>
        <v>2014</v>
      </c>
      <c r="D156" t="s">
        <v>1027</v>
      </c>
      <c r="E156" t="s">
        <v>144</v>
      </c>
      <c r="F156" t="s">
        <v>11</v>
      </c>
      <c r="G156" t="s">
        <v>12</v>
      </c>
      <c r="H156" t="s">
        <v>1028</v>
      </c>
      <c r="I156" s="7">
        <v>39.96</v>
      </c>
      <c r="J156" s="8">
        <v>2</v>
      </c>
      <c r="K156" s="7">
        <v>18.78</v>
      </c>
    </row>
    <row r="157" spans="1:11" x14ac:dyDescent="0.3">
      <c r="A157" s="2">
        <v>41706</v>
      </c>
      <c r="B157" s="9">
        <f>MONTH(Table1[[#This Row],[Order Date]])</f>
        <v>3</v>
      </c>
      <c r="C157" s="9">
        <f>YEAR(Table1[[#This Row],[Order Date]])</f>
        <v>2014</v>
      </c>
      <c r="D157" t="s">
        <v>1027</v>
      </c>
      <c r="E157" t="s">
        <v>144</v>
      </c>
      <c r="F157" t="s">
        <v>11</v>
      </c>
      <c r="G157" t="s">
        <v>194</v>
      </c>
      <c r="H157" t="s">
        <v>1029</v>
      </c>
      <c r="I157" s="7">
        <v>102.3</v>
      </c>
      <c r="J157" s="8">
        <v>10</v>
      </c>
      <c r="K157" s="7">
        <v>26.6</v>
      </c>
    </row>
    <row r="158" spans="1:11" x14ac:dyDescent="0.3">
      <c r="A158" s="2">
        <v>41706</v>
      </c>
      <c r="B158" s="9">
        <f>MONTH(Table1[[#This Row],[Order Date]])</f>
        <v>3</v>
      </c>
      <c r="C158" s="9">
        <f>YEAR(Table1[[#This Row],[Order Date]])</f>
        <v>2014</v>
      </c>
      <c r="D158" t="s">
        <v>1027</v>
      </c>
      <c r="E158" t="s">
        <v>144</v>
      </c>
      <c r="F158" t="s">
        <v>11</v>
      </c>
      <c r="G158" t="s">
        <v>18</v>
      </c>
      <c r="H158" t="s">
        <v>290</v>
      </c>
      <c r="I158" s="7">
        <v>21.36</v>
      </c>
      <c r="J158" s="8">
        <v>2</v>
      </c>
      <c r="K158" s="7">
        <v>5.77</v>
      </c>
    </row>
    <row r="159" spans="1:11" x14ac:dyDescent="0.3">
      <c r="A159" s="2">
        <v>41706</v>
      </c>
      <c r="B159" s="9">
        <f>MONTH(Table1[[#This Row],[Order Date]])</f>
        <v>3</v>
      </c>
      <c r="C159" s="9">
        <f>YEAR(Table1[[#This Row],[Order Date]])</f>
        <v>2014</v>
      </c>
      <c r="D159" t="s">
        <v>903</v>
      </c>
      <c r="E159" t="s">
        <v>95</v>
      </c>
      <c r="F159" t="s">
        <v>11</v>
      </c>
      <c r="G159" t="s">
        <v>12</v>
      </c>
      <c r="H159" t="s">
        <v>1030</v>
      </c>
      <c r="I159" s="7">
        <v>93.02</v>
      </c>
      <c r="J159" s="8">
        <v>3</v>
      </c>
      <c r="K159" s="7">
        <v>33.72</v>
      </c>
    </row>
    <row r="160" spans="1:11" x14ac:dyDescent="0.3">
      <c r="A160" s="2">
        <v>41707</v>
      </c>
      <c r="B160" s="9">
        <f>MONTH(Table1[[#This Row],[Order Date]])</f>
        <v>3</v>
      </c>
      <c r="C160" s="9">
        <f>YEAR(Table1[[#This Row],[Order Date]])</f>
        <v>2014</v>
      </c>
      <c r="D160" t="s">
        <v>534</v>
      </c>
      <c r="E160" t="s">
        <v>144</v>
      </c>
      <c r="F160" t="s">
        <v>11</v>
      </c>
      <c r="G160" t="s">
        <v>16</v>
      </c>
      <c r="H160" t="s">
        <v>910</v>
      </c>
      <c r="I160" s="7">
        <v>14.4</v>
      </c>
      <c r="J160" s="8">
        <v>5</v>
      </c>
      <c r="K160" s="7">
        <v>7.06</v>
      </c>
    </row>
    <row r="161" spans="1:11" x14ac:dyDescent="0.3">
      <c r="A161" s="2">
        <v>41707</v>
      </c>
      <c r="B161" s="9">
        <f>MONTH(Table1[[#This Row],[Order Date]])</f>
        <v>3</v>
      </c>
      <c r="C161" s="9">
        <f>YEAR(Table1[[#This Row],[Order Date]])</f>
        <v>2014</v>
      </c>
      <c r="D161" t="s">
        <v>1181</v>
      </c>
      <c r="E161" t="s">
        <v>10</v>
      </c>
      <c r="F161" t="s">
        <v>11</v>
      </c>
      <c r="G161" t="s">
        <v>20</v>
      </c>
      <c r="H161" t="s">
        <v>1182</v>
      </c>
      <c r="I161" s="7">
        <v>7.68</v>
      </c>
      <c r="J161" s="8">
        <v>5</v>
      </c>
      <c r="K161" s="7">
        <v>-11.52</v>
      </c>
    </row>
    <row r="162" spans="1:11" x14ac:dyDescent="0.3">
      <c r="A162" s="2">
        <v>41708</v>
      </c>
      <c r="B162" s="9">
        <f>MONTH(Table1[[#This Row],[Order Date]])</f>
        <v>3</v>
      </c>
      <c r="C162" s="9">
        <f>YEAR(Table1[[#This Row],[Order Date]])</f>
        <v>2014</v>
      </c>
      <c r="D162" t="s">
        <v>1390</v>
      </c>
      <c r="E162" t="s">
        <v>15</v>
      </c>
      <c r="F162" t="s">
        <v>34</v>
      </c>
      <c r="G162" t="s">
        <v>35</v>
      </c>
      <c r="H162" t="s">
        <v>897</v>
      </c>
      <c r="I162" s="7">
        <v>258.27999999999997</v>
      </c>
      <c r="J162" s="8">
        <v>3</v>
      </c>
      <c r="K162" s="7">
        <v>-70.099999999999994</v>
      </c>
    </row>
    <row r="163" spans="1:11" x14ac:dyDescent="0.3">
      <c r="A163" s="2">
        <v>41708</v>
      </c>
      <c r="B163" s="9">
        <f>MONTH(Table1[[#This Row],[Order Date]])</f>
        <v>3</v>
      </c>
      <c r="C163" s="9">
        <f>YEAR(Table1[[#This Row],[Order Date]])</f>
        <v>2014</v>
      </c>
      <c r="D163" t="s">
        <v>1391</v>
      </c>
      <c r="E163" t="s">
        <v>27</v>
      </c>
      <c r="F163" t="s">
        <v>34</v>
      </c>
      <c r="G163" t="s">
        <v>35</v>
      </c>
      <c r="H163" t="s">
        <v>1392</v>
      </c>
      <c r="I163" s="7">
        <v>122.35</v>
      </c>
      <c r="J163" s="8">
        <v>3</v>
      </c>
      <c r="K163" s="7">
        <v>13.76</v>
      </c>
    </row>
    <row r="164" spans="1:11" x14ac:dyDescent="0.3">
      <c r="A164" s="2">
        <v>41708</v>
      </c>
      <c r="B164" s="9">
        <f>MONTH(Table1[[#This Row],[Order Date]])</f>
        <v>3</v>
      </c>
      <c r="C164" s="9">
        <f>YEAR(Table1[[#This Row],[Order Date]])</f>
        <v>2014</v>
      </c>
      <c r="D164" t="s">
        <v>1327</v>
      </c>
      <c r="E164" t="s">
        <v>237</v>
      </c>
      <c r="F164" t="s">
        <v>11</v>
      </c>
      <c r="G164" t="s">
        <v>18</v>
      </c>
      <c r="H164" t="s">
        <v>1063</v>
      </c>
      <c r="I164" s="7">
        <v>61.57</v>
      </c>
      <c r="J164" s="8">
        <v>2</v>
      </c>
      <c r="K164" s="7">
        <v>4.62</v>
      </c>
    </row>
    <row r="165" spans="1:11" x14ac:dyDescent="0.3">
      <c r="A165" s="2">
        <v>41708</v>
      </c>
      <c r="B165" s="9">
        <f>MONTH(Table1[[#This Row],[Order Date]])</f>
        <v>3</v>
      </c>
      <c r="C165" s="9">
        <f>YEAR(Table1[[#This Row],[Order Date]])</f>
        <v>2014</v>
      </c>
      <c r="D165" t="s">
        <v>1327</v>
      </c>
      <c r="E165" t="s">
        <v>237</v>
      </c>
      <c r="F165" t="s">
        <v>11</v>
      </c>
      <c r="G165" t="s">
        <v>24</v>
      </c>
      <c r="H165" t="s">
        <v>791</v>
      </c>
      <c r="I165" s="7">
        <v>6.19</v>
      </c>
      <c r="J165" s="8">
        <v>3</v>
      </c>
      <c r="K165" s="7">
        <v>0.46</v>
      </c>
    </row>
    <row r="166" spans="1:11" x14ac:dyDescent="0.3">
      <c r="A166" s="2">
        <v>41708</v>
      </c>
      <c r="B166" s="9">
        <f>MONTH(Table1[[#This Row],[Order Date]])</f>
        <v>3</v>
      </c>
      <c r="C166" s="9">
        <f>YEAR(Table1[[#This Row],[Order Date]])</f>
        <v>2014</v>
      </c>
      <c r="D166" t="s">
        <v>1393</v>
      </c>
      <c r="E166" t="s">
        <v>78</v>
      </c>
      <c r="F166" t="s">
        <v>11</v>
      </c>
      <c r="G166" t="s">
        <v>24</v>
      </c>
      <c r="H166" t="s">
        <v>587</v>
      </c>
      <c r="I166" s="7">
        <v>55.98</v>
      </c>
      <c r="J166" s="8">
        <v>2</v>
      </c>
      <c r="K166" s="7">
        <v>4.2</v>
      </c>
    </row>
    <row r="167" spans="1:11" x14ac:dyDescent="0.3">
      <c r="A167" s="2">
        <v>41708</v>
      </c>
      <c r="B167" s="9">
        <f>MONTH(Table1[[#This Row],[Order Date]])</f>
        <v>3</v>
      </c>
      <c r="C167" s="9">
        <f>YEAR(Table1[[#This Row],[Order Date]])</f>
        <v>2014</v>
      </c>
      <c r="D167" t="s">
        <v>1393</v>
      </c>
      <c r="E167" t="s">
        <v>78</v>
      </c>
      <c r="F167" t="s">
        <v>11</v>
      </c>
      <c r="G167" t="s">
        <v>63</v>
      </c>
      <c r="H167" t="s">
        <v>1394</v>
      </c>
      <c r="I167" s="7">
        <v>14.48</v>
      </c>
      <c r="J167" s="8">
        <v>5</v>
      </c>
      <c r="K167" s="7">
        <v>4.8899999999999997</v>
      </c>
    </row>
    <row r="168" spans="1:11" x14ac:dyDescent="0.3">
      <c r="A168" s="2">
        <v>41708</v>
      </c>
      <c r="B168" s="9">
        <f>MONTH(Table1[[#This Row],[Order Date]])</f>
        <v>3</v>
      </c>
      <c r="C168" s="9">
        <f>YEAR(Table1[[#This Row],[Order Date]])</f>
        <v>2014</v>
      </c>
      <c r="D168" t="s">
        <v>1393</v>
      </c>
      <c r="E168" t="s">
        <v>78</v>
      </c>
      <c r="F168" t="s">
        <v>39</v>
      </c>
      <c r="G168" t="s">
        <v>52</v>
      </c>
      <c r="H168" t="s">
        <v>1395</v>
      </c>
      <c r="I168" s="7">
        <v>142.49</v>
      </c>
      <c r="J168" s="8">
        <v>3</v>
      </c>
      <c r="K168" s="7">
        <v>-3.56</v>
      </c>
    </row>
    <row r="169" spans="1:11" x14ac:dyDescent="0.3">
      <c r="A169" s="2">
        <v>41708</v>
      </c>
      <c r="B169" s="9">
        <f>MONTH(Table1[[#This Row],[Order Date]])</f>
        <v>3</v>
      </c>
      <c r="C169" s="9">
        <f>YEAR(Table1[[#This Row],[Order Date]])</f>
        <v>2014</v>
      </c>
      <c r="D169" t="s">
        <v>1396</v>
      </c>
      <c r="E169" t="s">
        <v>10</v>
      </c>
      <c r="F169" t="s">
        <v>11</v>
      </c>
      <c r="G169" t="s">
        <v>43</v>
      </c>
      <c r="H169" t="s">
        <v>1107</v>
      </c>
      <c r="I169" s="7">
        <v>4.34</v>
      </c>
      <c r="J169" s="8">
        <v>3</v>
      </c>
      <c r="K169" s="7">
        <v>0.87</v>
      </c>
    </row>
    <row r="170" spans="1:11" x14ac:dyDescent="0.3">
      <c r="A170" s="2">
        <v>41708</v>
      </c>
      <c r="B170" s="9">
        <f>MONTH(Table1[[#This Row],[Order Date]])</f>
        <v>3</v>
      </c>
      <c r="C170" s="9">
        <f>YEAR(Table1[[#This Row],[Order Date]])</f>
        <v>2014</v>
      </c>
      <c r="D170" t="s">
        <v>1396</v>
      </c>
      <c r="E170" t="s">
        <v>10</v>
      </c>
      <c r="F170" t="s">
        <v>34</v>
      </c>
      <c r="G170" t="s">
        <v>47</v>
      </c>
      <c r="H170" t="s">
        <v>1188</v>
      </c>
      <c r="I170" s="7">
        <v>31.78</v>
      </c>
      <c r="J170" s="8">
        <v>3</v>
      </c>
      <c r="K170" s="7">
        <v>-19.07</v>
      </c>
    </row>
    <row r="171" spans="1:11" x14ac:dyDescent="0.3">
      <c r="A171" s="2">
        <v>41708</v>
      </c>
      <c r="B171" s="9">
        <f>MONTH(Table1[[#This Row],[Order Date]])</f>
        <v>3</v>
      </c>
      <c r="C171" s="9">
        <f>YEAR(Table1[[#This Row],[Order Date]])</f>
        <v>2014</v>
      </c>
      <c r="D171" t="s">
        <v>1396</v>
      </c>
      <c r="E171" t="s">
        <v>10</v>
      </c>
      <c r="F171" t="s">
        <v>11</v>
      </c>
      <c r="G171" t="s">
        <v>16</v>
      </c>
      <c r="H171" t="s">
        <v>1397</v>
      </c>
      <c r="I171" s="7">
        <v>4.93</v>
      </c>
      <c r="J171" s="8">
        <v>2</v>
      </c>
      <c r="K171" s="7">
        <v>1.72</v>
      </c>
    </row>
    <row r="172" spans="1:11" x14ac:dyDescent="0.3">
      <c r="A172" s="2">
        <v>41708</v>
      </c>
      <c r="B172" s="9">
        <f>MONTH(Table1[[#This Row],[Order Date]])</f>
        <v>3</v>
      </c>
      <c r="C172" s="9">
        <f>YEAR(Table1[[#This Row],[Order Date]])</f>
        <v>2014</v>
      </c>
      <c r="D172" t="s">
        <v>1396</v>
      </c>
      <c r="E172" t="s">
        <v>10</v>
      </c>
      <c r="F172" t="s">
        <v>11</v>
      </c>
      <c r="G172" t="s">
        <v>20</v>
      </c>
      <c r="H172" t="s">
        <v>907</v>
      </c>
      <c r="I172" s="7">
        <v>1.79</v>
      </c>
      <c r="J172" s="8">
        <v>3</v>
      </c>
      <c r="K172" s="7">
        <v>-3.04</v>
      </c>
    </row>
    <row r="173" spans="1:11" x14ac:dyDescent="0.3">
      <c r="A173" s="2">
        <v>41709</v>
      </c>
      <c r="B173" s="9">
        <f>MONTH(Table1[[#This Row],[Order Date]])</f>
        <v>3</v>
      </c>
      <c r="C173" s="9">
        <f>YEAR(Table1[[#This Row],[Order Date]])</f>
        <v>2014</v>
      </c>
      <c r="D173" t="s">
        <v>880</v>
      </c>
      <c r="E173" t="s">
        <v>23</v>
      </c>
      <c r="F173" t="s">
        <v>11</v>
      </c>
      <c r="G173" t="s">
        <v>194</v>
      </c>
      <c r="H173" t="s">
        <v>195</v>
      </c>
      <c r="I173" s="7">
        <v>286.33999999999997</v>
      </c>
      <c r="J173" s="8">
        <v>3</v>
      </c>
      <c r="K173" s="7">
        <v>-64.430000000000007</v>
      </c>
    </row>
    <row r="174" spans="1:11" x14ac:dyDescent="0.3">
      <c r="A174" s="2">
        <v>41709</v>
      </c>
      <c r="B174" s="9">
        <f>MONTH(Table1[[#This Row],[Order Date]])</f>
        <v>3</v>
      </c>
      <c r="C174" s="9">
        <f>YEAR(Table1[[#This Row],[Order Date]])</f>
        <v>2014</v>
      </c>
      <c r="D174" t="s">
        <v>125</v>
      </c>
      <c r="E174" t="s">
        <v>144</v>
      </c>
      <c r="F174" t="s">
        <v>39</v>
      </c>
      <c r="G174" t="s">
        <v>40</v>
      </c>
      <c r="H174" t="s">
        <v>277</v>
      </c>
      <c r="I174" s="7">
        <v>783.96</v>
      </c>
      <c r="J174" s="8">
        <v>4</v>
      </c>
      <c r="K174" s="7">
        <v>219.51</v>
      </c>
    </row>
    <row r="175" spans="1:11" x14ac:dyDescent="0.3">
      <c r="A175" s="2">
        <v>41709</v>
      </c>
      <c r="B175" s="9">
        <f>MONTH(Table1[[#This Row],[Order Date]])</f>
        <v>3</v>
      </c>
      <c r="C175" s="9">
        <f>YEAR(Table1[[#This Row],[Order Date]])</f>
        <v>2014</v>
      </c>
      <c r="D175" t="s">
        <v>125</v>
      </c>
      <c r="E175" t="s">
        <v>144</v>
      </c>
      <c r="F175" t="s">
        <v>11</v>
      </c>
      <c r="G175" t="s">
        <v>20</v>
      </c>
      <c r="H175" t="s">
        <v>1286</v>
      </c>
      <c r="I175" s="7">
        <v>7.86</v>
      </c>
      <c r="J175" s="8">
        <v>2</v>
      </c>
      <c r="K175" s="7">
        <v>2.85</v>
      </c>
    </row>
    <row r="176" spans="1:11" x14ac:dyDescent="0.3">
      <c r="A176" s="2">
        <v>41709</v>
      </c>
      <c r="B176" s="9">
        <f>MONTH(Table1[[#This Row],[Order Date]])</f>
        <v>3</v>
      </c>
      <c r="C176" s="9">
        <f>YEAR(Table1[[#This Row],[Order Date]])</f>
        <v>2014</v>
      </c>
      <c r="D176" t="s">
        <v>697</v>
      </c>
      <c r="E176" t="s">
        <v>600</v>
      </c>
      <c r="F176" t="s">
        <v>11</v>
      </c>
      <c r="G176" t="s">
        <v>194</v>
      </c>
      <c r="H176" t="s">
        <v>849</v>
      </c>
      <c r="I176" s="7">
        <v>11.64</v>
      </c>
      <c r="J176" s="8">
        <v>3</v>
      </c>
      <c r="K176" s="7">
        <v>3.38</v>
      </c>
    </row>
    <row r="177" spans="1:11" x14ac:dyDescent="0.3">
      <c r="A177" s="2">
        <v>41709</v>
      </c>
      <c r="B177" s="9">
        <f>MONTH(Table1[[#This Row],[Order Date]])</f>
        <v>3</v>
      </c>
      <c r="C177" s="9">
        <f>YEAR(Table1[[#This Row],[Order Date]])</f>
        <v>2014</v>
      </c>
      <c r="D177" t="s">
        <v>1168</v>
      </c>
      <c r="E177" t="s">
        <v>117</v>
      </c>
      <c r="F177" t="s">
        <v>11</v>
      </c>
      <c r="G177" t="s">
        <v>12</v>
      </c>
      <c r="H177" t="s">
        <v>1516</v>
      </c>
      <c r="I177" s="7">
        <v>3.49</v>
      </c>
      <c r="J177" s="8">
        <v>2</v>
      </c>
      <c r="K177" s="7">
        <v>1.18</v>
      </c>
    </row>
    <row r="178" spans="1:11" x14ac:dyDescent="0.3">
      <c r="A178" s="2">
        <v>41709</v>
      </c>
      <c r="B178" s="9">
        <f>MONTH(Table1[[#This Row],[Order Date]])</f>
        <v>3</v>
      </c>
      <c r="C178" s="9">
        <f>YEAR(Table1[[#This Row],[Order Date]])</f>
        <v>2014</v>
      </c>
      <c r="D178" t="s">
        <v>1512</v>
      </c>
      <c r="E178" t="s">
        <v>237</v>
      </c>
      <c r="F178" t="s">
        <v>11</v>
      </c>
      <c r="G178" t="s">
        <v>18</v>
      </c>
      <c r="H178" t="s">
        <v>173</v>
      </c>
      <c r="I178" s="7">
        <v>25.98</v>
      </c>
      <c r="J178" s="8">
        <v>2</v>
      </c>
      <c r="K178" s="7">
        <v>-1.62</v>
      </c>
    </row>
    <row r="179" spans="1:11" x14ac:dyDescent="0.3">
      <c r="A179" s="2">
        <v>41709</v>
      </c>
      <c r="B179" s="9">
        <f>MONTH(Table1[[#This Row],[Order Date]])</f>
        <v>3</v>
      </c>
      <c r="C179" s="9">
        <f>YEAR(Table1[[#This Row],[Order Date]])</f>
        <v>2014</v>
      </c>
      <c r="D179" t="s">
        <v>1512</v>
      </c>
      <c r="E179" t="s">
        <v>237</v>
      </c>
      <c r="F179" t="s">
        <v>34</v>
      </c>
      <c r="G179" t="s">
        <v>140</v>
      </c>
      <c r="H179" t="s">
        <v>1517</v>
      </c>
      <c r="I179" s="7">
        <v>945.04</v>
      </c>
      <c r="J179" s="8">
        <v>6</v>
      </c>
      <c r="K179" s="7">
        <v>-299.26</v>
      </c>
    </row>
    <row r="180" spans="1:11" x14ac:dyDescent="0.3">
      <c r="A180" s="2">
        <v>41709</v>
      </c>
      <c r="B180" s="9">
        <f>MONTH(Table1[[#This Row],[Order Date]])</f>
        <v>3</v>
      </c>
      <c r="C180" s="9">
        <f>YEAR(Table1[[#This Row],[Order Date]])</f>
        <v>2014</v>
      </c>
      <c r="D180" t="s">
        <v>1512</v>
      </c>
      <c r="E180" t="s">
        <v>237</v>
      </c>
      <c r="F180" t="s">
        <v>11</v>
      </c>
      <c r="G180" t="s">
        <v>20</v>
      </c>
      <c r="H180" t="s">
        <v>1345</v>
      </c>
      <c r="I180" s="7">
        <v>14.3</v>
      </c>
      <c r="J180" s="8">
        <v>7</v>
      </c>
      <c r="K180" s="7">
        <v>-10.49</v>
      </c>
    </row>
    <row r="181" spans="1:11" x14ac:dyDescent="0.3">
      <c r="A181" s="2">
        <v>41709</v>
      </c>
      <c r="B181" s="9">
        <f>MONTH(Table1[[#This Row],[Order Date]])</f>
        <v>3</v>
      </c>
      <c r="C181" s="9">
        <f>YEAR(Table1[[#This Row],[Order Date]])</f>
        <v>2014</v>
      </c>
      <c r="D181" t="s">
        <v>1512</v>
      </c>
      <c r="E181" t="s">
        <v>237</v>
      </c>
      <c r="F181" t="s">
        <v>34</v>
      </c>
      <c r="G181" t="s">
        <v>47</v>
      </c>
      <c r="H181" t="s">
        <v>1518</v>
      </c>
      <c r="I181" s="7">
        <v>410.35</v>
      </c>
      <c r="J181" s="8">
        <v>3</v>
      </c>
      <c r="K181" s="7">
        <v>-51.29</v>
      </c>
    </row>
    <row r="182" spans="1:11" x14ac:dyDescent="0.3">
      <c r="A182" s="2">
        <v>41709</v>
      </c>
      <c r="B182" s="9">
        <f>MONTH(Table1[[#This Row],[Order Date]])</f>
        <v>3</v>
      </c>
      <c r="C182" s="9">
        <f>YEAR(Table1[[#This Row],[Order Date]])</f>
        <v>2014</v>
      </c>
      <c r="D182" t="s">
        <v>522</v>
      </c>
      <c r="E182" t="s">
        <v>973</v>
      </c>
      <c r="F182" t="s">
        <v>39</v>
      </c>
      <c r="G182" t="s">
        <v>52</v>
      </c>
      <c r="H182" t="s">
        <v>1520</v>
      </c>
      <c r="I182" s="7">
        <v>89.97</v>
      </c>
      <c r="J182" s="8">
        <v>3</v>
      </c>
      <c r="K182" s="7">
        <v>18.89</v>
      </c>
    </row>
    <row r="183" spans="1:11" x14ac:dyDescent="0.3">
      <c r="A183" s="2">
        <v>41709</v>
      </c>
      <c r="B183" s="9">
        <f>MONTH(Table1[[#This Row],[Order Date]])</f>
        <v>3</v>
      </c>
      <c r="C183" s="9">
        <f>YEAR(Table1[[#This Row],[Order Date]])</f>
        <v>2014</v>
      </c>
      <c r="D183" t="s">
        <v>1521</v>
      </c>
      <c r="E183" t="s">
        <v>27</v>
      </c>
      <c r="F183" t="s">
        <v>11</v>
      </c>
      <c r="G183" t="s">
        <v>24</v>
      </c>
      <c r="H183" t="s">
        <v>528</v>
      </c>
      <c r="I183" s="7">
        <v>6.72</v>
      </c>
      <c r="J183" s="8">
        <v>4</v>
      </c>
      <c r="K183" s="7">
        <v>3.36</v>
      </c>
    </row>
    <row r="184" spans="1:11" x14ac:dyDescent="0.3">
      <c r="A184" s="2">
        <v>41710</v>
      </c>
      <c r="B184" s="9">
        <f>MONTH(Table1[[#This Row],[Order Date]])</f>
        <v>3</v>
      </c>
      <c r="C184" s="9">
        <f>YEAR(Table1[[#This Row],[Order Date]])</f>
        <v>2014</v>
      </c>
      <c r="D184" t="s">
        <v>1643</v>
      </c>
      <c r="E184" t="s">
        <v>819</v>
      </c>
      <c r="F184" t="s">
        <v>39</v>
      </c>
      <c r="G184" t="s">
        <v>40</v>
      </c>
      <c r="H184" t="s">
        <v>1697</v>
      </c>
      <c r="I184" s="7">
        <v>479.96</v>
      </c>
      <c r="J184" s="8">
        <v>4</v>
      </c>
      <c r="K184" s="7">
        <v>134.38999999999999</v>
      </c>
    </row>
    <row r="185" spans="1:11" x14ac:dyDescent="0.3">
      <c r="A185" s="2">
        <v>41730</v>
      </c>
      <c r="B185" s="9">
        <f>MONTH(Table1[[#This Row],[Order Date]])</f>
        <v>4</v>
      </c>
      <c r="C185" s="9">
        <f>YEAR(Table1[[#This Row],[Order Date]])</f>
        <v>2014</v>
      </c>
      <c r="D185" t="s">
        <v>14</v>
      </c>
      <c r="E185" t="s">
        <v>15</v>
      </c>
      <c r="F185" t="s">
        <v>11</v>
      </c>
      <c r="G185" t="s">
        <v>16</v>
      </c>
      <c r="H185" t="s">
        <v>17</v>
      </c>
      <c r="I185" s="7">
        <v>11.78</v>
      </c>
      <c r="J185" s="8">
        <v>3</v>
      </c>
      <c r="K185" s="7">
        <v>4.2699999999999996</v>
      </c>
    </row>
    <row r="186" spans="1:11" x14ac:dyDescent="0.3">
      <c r="A186" s="2">
        <v>41730</v>
      </c>
      <c r="B186" s="9">
        <f>MONTH(Table1[[#This Row],[Order Date]])</f>
        <v>4</v>
      </c>
      <c r="C186" s="9">
        <f>YEAR(Table1[[#This Row],[Order Date]])</f>
        <v>2014</v>
      </c>
      <c r="D186" t="s">
        <v>14</v>
      </c>
      <c r="E186" t="s">
        <v>15</v>
      </c>
      <c r="F186" t="s">
        <v>11</v>
      </c>
      <c r="G186" t="s">
        <v>18</v>
      </c>
      <c r="H186" t="s">
        <v>19</v>
      </c>
      <c r="I186" s="7">
        <v>272.74</v>
      </c>
      <c r="J186" s="8">
        <v>3</v>
      </c>
      <c r="K186" s="7">
        <v>-64.77</v>
      </c>
    </row>
    <row r="187" spans="1:11" x14ac:dyDescent="0.3">
      <c r="A187" s="2">
        <v>41730</v>
      </c>
      <c r="B187" s="9">
        <f>MONTH(Table1[[#This Row],[Order Date]])</f>
        <v>4</v>
      </c>
      <c r="C187" s="9">
        <f>YEAR(Table1[[#This Row],[Order Date]])</f>
        <v>2014</v>
      </c>
      <c r="D187" t="s">
        <v>14</v>
      </c>
      <c r="E187" t="s">
        <v>15</v>
      </c>
      <c r="F187" t="s">
        <v>11</v>
      </c>
      <c r="G187" t="s">
        <v>20</v>
      </c>
      <c r="H187" t="s">
        <v>21</v>
      </c>
      <c r="I187" s="7">
        <v>3.54</v>
      </c>
      <c r="J187" s="8">
        <v>2</v>
      </c>
      <c r="K187" s="7">
        <v>-5.49</v>
      </c>
    </row>
    <row r="188" spans="1:11" x14ac:dyDescent="0.3">
      <c r="A188" s="2">
        <v>41731</v>
      </c>
      <c r="B188" s="9">
        <f>MONTH(Table1[[#This Row],[Order Date]])</f>
        <v>4</v>
      </c>
      <c r="C188" s="9">
        <f>YEAR(Table1[[#This Row],[Order Date]])</f>
        <v>2014</v>
      </c>
      <c r="D188" t="s">
        <v>161</v>
      </c>
      <c r="E188" t="s">
        <v>27</v>
      </c>
      <c r="F188" t="s">
        <v>11</v>
      </c>
      <c r="G188" t="s">
        <v>20</v>
      </c>
      <c r="H188" t="s">
        <v>162</v>
      </c>
      <c r="I188" s="7">
        <v>82.9</v>
      </c>
      <c r="J188" s="8">
        <v>3</v>
      </c>
      <c r="K188" s="7">
        <v>29.01</v>
      </c>
    </row>
    <row r="189" spans="1:11" x14ac:dyDescent="0.3">
      <c r="A189" s="2">
        <v>41731</v>
      </c>
      <c r="B189" s="9">
        <f>MONTH(Table1[[#This Row],[Order Date]])</f>
        <v>4</v>
      </c>
      <c r="C189" s="9">
        <f>YEAR(Table1[[#This Row],[Order Date]])</f>
        <v>2014</v>
      </c>
      <c r="D189" t="s">
        <v>161</v>
      </c>
      <c r="E189" t="s">
        <v>27</v>
      </c>
      <c r="F189" t="s">
        <v>11</v>
      </c>
      <c r="G189" t="s">
        <v>12</v>
      </c>
      <c r="H189" t="s">
        <v>163</v>
      </c>
      <c r="I189" s="7">
        <v>34.24</v>
      </c>
      <c r="J189" s="8">
        <v>4</v>
      </c>
      <c r="K189" s="7">
        <v>16.09</v>
      </c>
    </row>
    <row r="190" spans="1:11" x14ac:dyDescent="0.3">
      <c r="A190" s="2">
        <v>41731</v>
      </c>
      <c r="B190" s="9">
        <f>MONTH(Table1[[#This Row],[Order Date]])</f>
        <v>4</v>
      </c>
      <c r="C190" s="9">
        <f>YEAR(Table1[[#This Row],[Order Date]])</f>
        <v>2014</v>
      </c>
      <c r="D190" t="s">
        <v>164</v>
      </c>
      <c r="E190" t="s">
        <v>27</v>
      </c>
      <c r="F190" t="s">
        <v>11</v>
      </c>
      <c r="G190" t="s">
        <v>20</v>
      </c>
      <c r="H190" t="s">
        <v>96</v>
      </c>
      <c r="I190" s="7">
        <v>17.25</v>
      </c>
      <c r="J190" s="8">
        <v>2</v>
      </c>
      <c r="K190" s="7">
        <v>6.04</v>
      </c>
    </row>
    <row r="191" spans="1:11" x14ac:dyDescent="0.3">
      <c r="A191" s="2">
        <v>41732</v>
      </c>
      <c r="B191" s="9">
        <f>MONTH(Table1[[#This Row],[Order Date]])</f>
        <v>4</v>
      </c>
      <c r="C191" s="9">
        <f>YEAR(Table1[[#This Row],[Order Date]])</f>
        <v>2014</v>
      </c>
      <c r="D191" t="s">
        <v>248</v>
      </c>
      <c r="E191" t="s">
        <v>70</v>
      </c>
      <c r="F191" t="s">
        <v>11</v>
      </c>
      <c r="G191" t="s">
        <v>18</v>
      </c>
      <c r="H191" t="s">
        <v>249</v>
      </c>
      <c r="I191" s="7">
        <v>354.9</v>
      </c>
      <c r="J191" s="8">
        <v>5</v>
      </c>
      <c r="K191" s="7">
        <v>17.75</v>
      </c>
    </row>
    <row r="192" spans="1:11" x14ac:dyDescent="0.3">
      <c r="A192" s="2">
        <v>41732</v>
      </c>
      <c r="B192" s="9">
        <f>MONTH(Table1[[#This Row],[Order Date]])</f>
        <v>4</v>
      </c>
      <c r="C192" s="9">
        <f>YEAR(Table1[[#This Row],[Order Date]])</f>
        <v>2014</v>
      </c>
      <c r="D192" t="s">
        <v>186</v>
      </c>
      <c r="E192" t="s">
        <v>120</v>
      </c>
      <c r="F192" t="s">
        <v>11</v>
      </c>
      <c r="G192" t="s">
        <v>24</v>
      </c>
      <c r="H192" t="s">
        <v>250</v>
      </c>
      <c r="I192" s="7">
        <v>15.55</v>
      </c>
      <c r="J192" s="8">
        <v>3</v>
      </c>
      <c r="K192" s="7">
        <v>2.33</v>
      </c>
    </row>
    <row r="193" spans="1:11" x14ac:dyDescent="0.3">
      <c r="A193" s="2">
        <v>41733</v>
      </c>
      <c r="B193" s="9">
        <f>MONTH(Table1[[#This Row],[Order Date]])</f>
        <v>4</v>
      </c>
      <c r="C193" s="9">
        <f>YEAR(Table1[[#This Row],[Order Date]])</f>
        <v>2014</v>
      </c>
      <c r="D193" t="s">
        <v>434</v>
      </c>
      <c r="E193" t="s">
        <v>27</v>
      </c>
      <c r="F193" t="s">
        <v>11</v>
      </c>
      <c r="G193" t="s">
        <v>16</v>
      </c>
      <c r="H193" t="s">
        <v>435</v>
      </c>
      <c r="I193" s="7">
        <v>18.899999999999999</v>
      </c>
      <c r="J193" s="8">
        <v>6</v>
      </c>
      <c r="K193" s="7">
        <v>9.07</v>
      </c>
    </row>
    <row r="194" spans="1:11" x14ac:dyDescent="0.3">
      <c r="A194" s="2">
        <v>41733</v>
      </c>
      <c r="B194" s="9">
        <f>MONTH(Table1[[#This Row],[Order Date]])</f>
        <v>4</v>
      </c>
      <c r="C194" s="9">
        <f>YEAR(Table1[[#This Row],[Order Date]])</f>
        <v>2014</v>
      </c>
      <c r="D194" t="s">
        <v>370</v>
      </c>
      <c r="E194" t="s">
        <v>108</v>
      </c>
      <c r="F194" t="s">
        <v>34</v>
      </c>
      <c r="G194" t="s">
        <v>47</v>
      </c>
      <c r="H194" t="s">
        <v>436</v>
      </c>
      <c r="I194" s="7">
        <v>5.47</v>
      </c>
      <c r="J194" s="8">
        <v>1</v>
      </c>
      <c r="K194" s="7">
        <v>2.35</v>
      </c>
    </row>
    <row r="195" spans="1:11" x14ac:dyDescent="0.3">
      <c r="A195" s="2">
        <v>41733</v>
      </c>
      <c r="B195" s="9">
        <f>MONTH(Table1[[#This Row],[Order Date]])</f>
        <v>4</v>
      </c>
      <c r="C195" s="9">
        <f>YEAR(Table1[[#This Row],[Order Date]])</f>
        <v>2014</v>
      </c>
      <c r="D195" t="s">
        <v>370</v>
      </c>
      <c r="E195" t="s">
        <v>108</v>
      </c>
      <c r="F195" t="s">
        <v>11</v>
      </c>
      <c r="G195" t="s">
        <v>24</v>
      </c>
      <c r="H195" t="s">
        <v>437</v>
      </c>
      <c r="I195" s="7">
        <v>79.36</v>
      </c>
      <c r="J195" s="8">
        <v>4</v>
      </c>
      <c r="K195" s="7">
        <v>23.81</v>
      </c>
    </row>
    <row r="196" spans="1:11" x14ac:dyDescent="0.3">
      <c r="A196" s="2">
        <v>41733</v>
      </c>
      <c r="B196" s="9">
        <f>MONTH(Table1[[#This Row],[Order Date]])</f>
        <v>4</v>
      </c>
      <c r="C196" s="9">
        <f>YEAR(Table1[[#This Row],[Order Date]])</f>
        <v>2014</v>
      </c>
      <c r="D196" t="s">
        <v>438</v>
      </c>
      <c r="E196" t="s">
        <v>27</v>
      </c>
      <c r="F196" t="s">
        <v>11</v>
      </c>
      <c r="G196" t="s">
        <v>20</v>
      </c>
      <c r="H196" t="s">
        <v>439</v>
      </c>
      <c r="I196" s="7">
        <v>7.18</v>
      </c>
      <c r="J196" s="8">
        <v>2</v>
      </c>
      <c r="K196" s="7">
        <v>2.25</v>
      </c>
    </row>
    <row r="197" spans="1:11" x14ac:dyDescent="0.3">
      <c r="A197" s="2">
        <v>41733</v>
      </c>
      <c r="B197" s="9">
        <f>MONTH(Table1[[#This Row],[Order Date]])</f>
        <v>4</v>
      </c>
      <c r="C197" s="9">
        <f>YEAR(Table1[[#This Row],[Order Date]])</f>
        <v>2014</v>
      </c>
      <c r="D197" t="s">
        <v>440</v>
      </c>
      <c r="E197" t="s">
        <v>62</v>
      </c>
      <c r="F197" t="s">
        <v>11</v>
      </c>
      <c r="G197" t="s">
        <v>18</v>
      </c>
      <c r="H197" t="s">
        <v>441</v>
      </c>
      <c r="I197" s="7">
        <v>232.55</v>
      </c>
      <c r="J197" s="8">
        <v>5</v>
      </c>
      <c r="K197" s="7">
        <v>9.3000000000000007</v>
      </c>
    </row>
    <row r="198" spans="1:11" x14ac:dyDescent="0.3">
      <c r="A198" s="2">
        <v>41733</v>
      </c>
      <c r="B198" s="9">
        <f>MONTH(Table1[[#This Row],[Order Date]])</f>
        <v>4</v>
      </c>
      <c r="C198" s="9">
        <f>YEAR(Table1[[#This Row],[Order Date]])</f>
        <v>2014</v>
      </c>
      <c r="D198" t="s">
        <v>440</v>
      </c>
      <c r="E198" t="s">
        <v>62</v>
      </c>
      <c r="F198" t="s">
        <v>39</v>
      </c>
      <c r="G198" t="s">
        <v>52</v>
      </c>
      <c r="H198" t="s">
        <v>442</v>
      </c>
      <c r="I198" s="7">
        <v>99.98</v>
      </c>
      <c r="J198" s="8">
        <v>2</v>
      </c>
      <c r="K198" s="7">
        <v>42.99</v>
      </c>
    </row>
    <row r="199" spans="1:11" x14ac:dyDescent="0.3">
      <c r="A199" s="2">
        <v>41733</v>
      </c>
      <c r="B199" s="9">
        <f>MONTH(Table1[[#This Row],[Order Date]])</f>
        <v>4</v>
      </c>
      <c r="C199" s="9">
        <f>YEAR(Table1[[#This Row],[Order Date]])</f>
        <v>2014</v>
      </c>
      <c r="D199" t="s">
        <v>440</v>
      </c>
      <c r="E199" t="s">
        <v>62</v>
      </c>
      <c r="F199" t="s">
        <v>11</v>
      </c>
      <c r="G199" t="s">
        <v>12</v>
      </c>
      <c r="H199" t="s">
        <v>443</v>
      </c>
      <c r="I199" s="7">
        <v>19.440000000000001</v>
      </c>
      <c r="J199" s="8">
        <v>3</v>
      </c>
      <c r="K199" s="7">
        <v>9.33</v>
      </c>
    </row>
    <row r="200" spans="1:11" x14ac:dyDescent="0.3">
      <c r="A200" s="2">
        <v>41733</v>
      </c>
      <c r="B200" s="9">
        <f>MONTH(Table1[[#This Row],[Order Date]])</f>
        <v>4</v>
      </c>
      <c r="C200" s="9">
        <f>YEAR(Table1[[#This Row],[Order Date]])</f>
        <v>2014</v>
      </c>
      <c r="D200" t="s">
        <v>440</v>
      </c>
      <c r="E200" t="s">
        <v>62</v>
      </c>
      <c r="F200" t="s">
        <v>11</v>
      </c>
      <c r="G200" t="s">
        <v>12</v>
      </c>
      <c r="H200" t="s">
        <v>320</v>
      </c>
      <c r="I200" s="7">
        <v>12.96</v>
      </c>
      <c r="J200" s="8">
        <v>2</v>
      </c>
      <c r="K200" s="7">
        <v>6.35</v>
      </c>
    </row>
    <row r="201" spans="1:11" x14ac:dyDescent="0.3">
      <c r="A201" s="2">
        <v>41734</v>
      </c>
      <c r="B201" s="9">
        <f>MONTH(Table1[[#This Row],[Order Date]])</f>
        <v>4</v>
      </c>
      <c r="C201" s="9">
        <f>YEAR(Table1[[#This Row],[Order Date]])</f>
        <v>2014</v>
      </c>
      <c r="D201" t="s">
        <v>597</v>
      </c>
      <c r="E201" t="s">
        <v>108</v>
      </c>
      <c r="F201" t="s">
        <v>11</v>
      </c>
      <c r="G201" t="s">
        <v>20</v>
      </c>
      <c r="H201" t="s">
        <v>598</v>
      </c>
      <c r="I201" s="7">
        <v>46.8</v>
      </c>
      <c r="J201" s="8">
        <v>4</v>
      </c>
      <c r="K201" s="7">
        <v>21.06</v>
      </c>
    </row>
    <row r="202" spans="1:11" x14ac:dyDescent="0.3">
      <c r="A202" s="2">
        <v>41734</v>
      </c>
      <c r="B202" s="9">
        <f>MONTH(Table1[[#This Row],[Order Date]])</f>
        <v>4</v>
      </c>
      <c r="C202" s="9">
        <f>YEAR(Table1[[#This Row],[Order Date]])</f>
        <v>2014</v>
      </c>
      <c r="D202" t="s">
        <v>599</v>
      </c>
      <c r="E202" t="s">
        <v>600</v>
      </c>
      <c r="F202" t="s">
        <v>34</v>
      </c>
      <c r="G202" t="s">
        <v>47</v>
      </c>
      <c r="H202" t="s">
        <v>359</v>
      </c>
      <c r="I202" s="7">
        <v>27.46</v>
      </c>
      <c r="J202" s="8">
        <v>2</v>
      </c>
      <c r="K202" s="7">
        <v>9.89</v>
      </c>
    </row>
    <row r="203" spans="1:11" x14ac:dyDescent="0.3">
      <c r="A203" s="2">
        <v>41734</v>
      </c>
      <c r="B203" s="9">
        <f>MONTH(Table1[[#This Row],[Order Date]])</f>
        <v>4</v>
      </c>
      <c r="C203" s="9">
        <f>YEAR(Table1[[#This Row],[Order Date]])</f>
        <v>2014</v>
      </c>
      <c r="D203" t="s">
        <v>406</v>
      </c>
      <c r="E203" t="s">
        <v>10</v>
      </c>
      <c r="F203" t="s">
        <v>11</v>
      </c>
      <c r="G203" t="s">
        <v>24</v>
      </c>
      <c r="H203" t="s">
        <v>470</v>
      </c>
      <c r="I203" s="7">
        <v>37.840000000000003</v>
      </c>
      <c r="J203" s="8">
        <v>2</v>
      </c>
      <c r="K203" s="7">
        <v>2.84</v>
      </c>
    </row>
    <row r="204" spans="1:11" x14ac:dyDescent="0.3">
      <c r="A204" s="2">
        <v>41734</v>
      </c>
      <c r="B204" s="9">
        <f>MONTH(Table1[[#This Row],[Order Date]])</f>
        <v>4</v>
      </c>
      <c r="C204" s="9">
        <f>YEAR(Table1[[#This Row],[Order Date]])</f>
        <v>2014</v>
      </c>
      <c r="D204" t="s">
        <v>406</v>
      </c>
      <c r="E204" t="s">
        <v>10</v>
      </c>
      <c r="F204" t="s">
        <v>11</v>
      </c>
      <c r="G204" t="s">
        <v>43</v>
      </c>
      <c r="H204" t="s">
        <v>601</v>
      </c>
      <c r="I204" s="7">
        <v>5.47</v>
      </c>
      <c r="J204" s="8">
        <v>6</v>
      </c>
      <c r="K204" s="7">
        <v>1.85</v>
      </c>
    </row>
    <row r="205" spans="1:11" x14ac:dyDescent="0.3">
      <c r="A205" s="2">
        <v>41734</v>
      </c>
      <c r="B205" s="9">
        <f>MONTH(Table1[[#This Row],[Order Date]])</f>
        <v>4</v>
      </c>
      <c r="C205" s="9">
        <f>YEAR(Table1[[#This Row],[Order Date]])</f>
        <v>2014</v>
      </c>
      <c r="D205" t="s">
        <v>602</v>
      </c>
      <c r="E205" t="s">
        <v>158</v>
      </c>
      <c r="F205" t="s">
        <v>34</v>
      </c>
      <c r="G205" t="s">
        <v>47</v>
      </c>
      <c r="H205" t="s">
        <v>603</v>
      </c>
      <c r="I205" s="7">
        <v>12.18</v>
      </c>
      <c r="J205" s="8">
        <v>7</v>
      </c>
      <c r="K205" s="7">
        <v>3.9</v>
      </c>
    </row>
    <row r="206" spans="1:11" x14ac:dyDescent="0.3">
      <c r="A206" s="2">
        <v>41734</v>
      </c>
      <c r="B206" s="9">
        <f>MONTH(Table1[[#This Row],[Order Date]])</f>
        <v>4</v>
      </c>
      <c r="C206" s="9">
        <f>YEAR(Table1[[#This Row],[Order Date]])</f>
        <v>2014</v>
      </c>
      <c r="D206" t="s">
        <v>602</v>
      </c>
      <c r="E206" t="s">
        <v>158</v>
      </c>
      <c r="F206" t="s">
        <v>11</v>
      </c>
      <c r="G206" t="s">
        <v>92</v>
      </c>
      <c r="H206" t="s">
        <v>604</v>
      </c>
      <c r="I206" s="7">
        <v>57.68</v>
      </c>
      <c r="J206" s="8">
        <v>4</v>
      </c>
      <c r="K206" s="7">
        <v>19.03</v>
      </c>
    </row>
    <row r="207" spans="1:11" x14ac:dyDescent="0.3">
      <c r="A207" s="2">
        <v>41735</v>
      </c>
      <c r="B207" s="9">
        <f>MONTH(Table1[[#This Row],[Order Date]])</f>
        <v>4</v>
      </c>
      <c r="C207" s="9">
        <f>YEAR(Table1[[#This Row],[Order Date]])</f>
        <v>2014</v>
      </c>
      <c r="D207" t="s">
        <v>755</v>
      </c>
      <c r="E207" t="s">
        <v>144</v>
      </c>
      <c r="F207" t="s">
        <v>34</v>
      </c>
      <c r="G207" t="s">
        <v>47</v>
      </c>
      <c r="H207" t="s">
        <v>756</v>
      </c>
      <c r="I207" s="7">
        <v>56.96</v>
      </c>
      <c r="J207" s="8">
        <v>2</v>
      </c>
      <c r="K207" s="7">
        <v>21.08</v>
      </c>
    </row>
    <row r="208" spans="1:11" x14ac:dyDescent="0.3">
      <c r="A208" s="2">
        <v>41735</v>
      </c>
      <c r="B208" s="9">
        <f>MONTH(Table1[[#This Row],[Order Date]])</f>
        <v>4</v>
      </c>
      <c r="C208" s="9">
        <f>YEAR(Table1[[#This Row],[Order Date]])</f>
        <v>2014</v>
      </c>
      <c r="D208" t="s">
        <v>755</v>
      </c>
      <c r="E208" t="s">
        <v>144</v>
      </c>
      <c r="F208" t="s">
        <v>11</v>
      </c>
      <c r="G208" t="s">
        <v>92</v>
      </c>
      <c r="H208" t="s">
        <v>757</v>
      </c>
      <c r="I208" s="7">
        <v>15.56</v>
      </c>
      <c r="J208" s="8">
        <v>4</v>
      </c>
      <c r="K208" s="7">
        <v>4.05</v>
      </c>
    </row>
    <row r="209" spans="1:11" x14ac:dyDescent="0.3">
      <c r="A209" s="2">
        <v>41735</v>
      </c>
      <c r="B209" s="9">
        <f>MONTH(Table1[[#This Row],[Order Date]])</f>
        <v>4</v>
      </c>
      <c r="C209" s="9">
        <f>YEAR(Table1[[#This Row],[Order Date]])</f>
        <v>2014</v>
      </c>
      <c r="D209" t="s">
        <v>755</v>
      </c>
      <c r="E209" t="s">
        <v>144</v>
      </c>
      <c r="F209" t="s">
        <v>34</v>
      </c>
      <c r="G209" t="s">
        <v>47</v>
      </c>
      <c r="H209" t="s">
        <v>550</v>
      </c>
      <c r="I209" s="7">
        <v>13.96</v>
      </c>
      <c r="J209" s="8">
        <v>2</v>
      </c>
      <c r="K209" s="7">
        <v>6.7</v>
      </c>
    </row>
    <row r="210" spans="1:11" x14ac:dyDescent="0.3">
      <c r="A210" s="2">
        <v>41736</v>
      </c>
      <c r="B210" s="9">
        <f>MONTH(Table1[[#This Row],[Order Date]])</f>
        <v>4</v>
      </c>
      <c r="C210" s="9">
        <f>YEAR(Table1[[#This Row],[Order Date]])</f>
        <v>2014</v>
      </c>
      <c r="D210" t="s">
        <v>433</v>
      </c>
      <c r="E210" t="s">
        <v>269</v>
      </c>
      <c r="F210" t="s">
        <v>11</v>
      </c>
      <c r="G210" t="s">
        <v>12</v>
      </c>
      <c r="H210" t="s">
        <v>468</v>
      </c>
      <c r="I210" s="7">
        <v>177.54</v>
      </c>
      <c r="J210" s="8">
        <v>4</v>
      </c>
      <c r="K210" s="7">
        <v>62.14</v>
      </c>
    </row>
    <row r="211" spans="1:11" x14ac:dyDescent="0.3">
      <c r="A211" s="2">
        <v>41736</v>
      </c>
      <c r="B211" s="9">
        <f>MONTH(Table1[[#This Row],[Order Date]])</f>
        <v>4</v>
      </c>
      <c r="C211" s="9">
        <f>YEAR(Table1[[#This Row],[Order Date]])</f>
        <v>2014</v>
      </c>
      <c r="D211" t="s">
        <v>433</v>
      </c>
      <c r="E211" t="s">
        <v>269</v>
      </c>
      <c r="F211" t="s">
        <v>11</v>
      </c>
      <c r="G211" t="s">
        <v>92</v>
      </c>
      <c r="H211" t="s">
        <v>93</v>
      </c>
      <c r="I211" s="7">
        <v>32.43</v>
      </c>
      <c r="J211" s="8">
        <v>2</v>
      </c>
      <c r="K211" s="7">
        <v>3.24</v>
      </c>
    </row>
    <row r="212" spans="1:11" x14ac:dyDescent="0.3">
      <c r="A212" s="2">
        <v>41736</v>
      </c>
      <c r="B212" s="9">
        <f>MONTH(Table1[[#This Row],[Order Date]])</f>
        <v>4</v>
      </c>
      <c r="C212" s="9">
        <f>YEAR(Table1[[#This Row],[Order Date]])</f>
        <v>2014</v>
      </c>
      <c r="D212" t="s">
        <v>880</v>
      </c>
      <c r="E212" t="s">
        <v>55</v>
      </c>
      <c r="F212" t="s">
        <v>11</v>
      </c>
      <c r="G212" t="s">
        <v>12</v>
      </c>
      <c r="H212" t="s">
        <v>881</v>
      </c>
      <c r="I212" s="7">
        <v>21.84</v>
      </c>
      <c r="J212" s="8">
        <v>3</v>
      </c>
      <c r="K212" s="7">
        <v>10.92</v>
      </c>
    </row>
    <row r="213" spans="1:11" x14ac:dyDescent="0.3">
      <c r="A213" s="2">
        <v>41737</v>
      </c>
      <c r="B213" s="9">
        <f>MONTH(Table1[[#This Row],[Order Date]])</f>
        <v>4</v>
      </c>
      <c r="C213" s="9">
        <f>YEAR(Table1[[#This Row],[Order Date]])</f>
        <v>2014</v>
      </c>
      <c r="D213" t="s">
        <v>1031</v>
      </c>
      <c r="E213" t="s">
        <v>287</v>
      </c>
      <c r="F213" t="s">
        <v>11</v>
      </c>
      <c r="G213" t="s">
        <v>92</v>
      </c>
      <c r="H213" t="s">
        <v>1032</v>
      </c>
      <c r="I213" s="7">
        <v>1089.75</v>
      </c>
      <c r="J213" s="8">
        <v>3</v>
      </c>
      <c r="K213" s="7">
        <v>305.13</v>
      </c>
    </row>
    <row r="214" spans="1:11" x14ac:dyDescent="0.3">
      <c r="A214" s="2">
        <v>41737</v>
      </c>
      <c r="B214" s="9">
        <f>MONTH(Table1[[#This Row],[Order Date]])</f>
        <v>4</v>
      </c>
      <c r="C214" s="9">
        <f>YEAR(Table1[[#This Row],[Order Date]])</f>
        <v>2014</v>
      </c>
      <c r="D214" t="s">
        <v>1031</v>
      </c>
      <c r="E214" t="s">
        <v>287</v>
      </c>
      <c r="F214" t="s">
        <v>11</v>
      </c>
      <c r="G214" t="s">
        <v>24</v>
      </c>
      <c r="H214" t="s">
        <v>1034</v>
      </c>
      <c r="I214" s="7">
        <v>16.399999999999999</v>
      </c>
      <c r="J214" s="8">
        <v>5</v>
      </c>
      <c r="K214" s="7">
        <v>4.26</v>
      </c>
    </row>
    <row r="215" spans="1:11" x14ac:dyDescent="0.3">
      <c r="A215" s="2">
        <v>41737</v>
      </c>
      <c r="B215" s="9">
        <f>MONTH(Table1[[#This Row],[Order Date]])</f>
        <v>4</v>
      </c>
      <c r="C215" s="9">
        <f>YEAR(Table1[[#This Row],[Order Date]])</f>
        <v>2014</v>
      </c>
      <c r="D215" t="s">
        <v>1031</v>
      </c>
      <c r="E215" t="s">
        <v>287</v>
      </c>
      <c r="F215" t="s">
        <v>39</v>
      </c>
      <c r="G215" t="s">
        <v>40</v>
      </c>
      <c r="H215" t="s">
        <v>1035</v>
      </c>
      <c r="I215" s="7">
        <v>399.96</v>
      </c>
      <c r="J215" s="8">
        <v>5</v>
      </c>
      <c r="K215" s="7">
        <v>35</v>
      </c>
    </row>
    <row r="216" spans="1:11" x14ac:dyDescent="0.3">
      <c r="A216" s="2">
        <v>41737</v>
      </c>
      <c r="B216" s="9">
        <f>MONTH(Table1[[#This Row],[Order Date]])</f>
        <v>4</v>
      </c>
      <c r="C216" s="9">
        <f>YEAR(Table1[[#This Row],[Order Date]])</f>
        <v>2014</v>
      </c>
      <c r="D216" t="s">
        <v>1031</v>
      </c>
      <c r="E216" t="s">
        <v>287</v>
      </c>
      <c r="F216" t="s">
        <v>11</v>
      </c>
      <c r="G216" t="s">
        <v>18</v>
      </c>
      <c r="H216" t="s">
        <v>1036</v>
      </c>
      <c r="I216" s="7">
        <v>158.9</v>
      </c>
      <c r="J216" s="8">
        <v>5</v>
      </c>
      <c r="K216" s="7">
        <v>7.95</v>
      </c>
    </row>
    <row r="217" spans="1:11" x14ac:dyDescent="0.3">
      <c r="A217" s="2">
        <v>41737</v>
      </c>
      <c r="B217" s="9">
        <f>MONTH(Table1[[#This Row],[Order Date]])</f>
        <v>4</v>
      </c>
      <c r="C217" s="9">
        <f>YEAR(Table1[[#This Row],[Order Date]])</f>
        <v>2014</v>
      </c>
      <c r="D217" t="s">
        <v>1031</v>
      </c>
      <c r="E217" t="s">
        <v>287</v>
      </c>
      <c r="F217" t="s">
        <v>11</v>
      </c>
      <c r="G217" t="s">
        <v>20</v>
      </c>
      <c r="H217" t="s">
        <v>456</v>
      </c>
      <c r="I217" s="7">
        <v>13.18</v>
      </c>
      <c r="J217" s="8">
        <v>1</v>
      </c>
      <c r="K217" s="7">
        <v>4.78</v>
      </c>
    </row>
    <row r="218" spans="1:11" x14ac:dyDescent="0.3">
      <c r="A218" s="2">
        <v>41737</v>
      </c>
      <c r="B218" s="9">
        <f>MONTH(Table1[[#This Row],[Order Date]])</f>
        <v>4</v>
      </c>
      <c r="C218" s="9">
        <f>YEAR(Table1[[#This Row],[Order Date]])</f>
        <v>2014</v>
      </c>
      <c r="D218" t="s">
        <v>191</v>
      </c>
      <c r="E218" t="s">
        <v>1037</v>
      </c>
      <c r="F218" t="s">
        <v>11</v>
      </c>
      <c r="G218" t="s">
        <v>92</v>
      </c>
      <c r="H218" t="s">
        <v>1038</v>
      </c>
      <c r="I218" s="7">
        <v>101.96</v>
      </c>
      <c r="J218" s="8">
        <v>2</v>
      </c>
      <c r="K218" s="7">
        <v>27.53</v>
      </c>
    </row>
    <row r="219" spans="1:11" x14ac:dyDescent="0.3">
      <c r="A219" s="2">
        <v>41737</v>
      </c>
      <c r="B219" s="9">
        <f>MONTH(Table1[[#This Row],[Order Date]])</f>
        <v>4</v>
      </c>
      <c r="C219" s="9">
        <f>YEAR(Table1[[#This Row],[Order Date]])</f>
        <v>2014</v>
      </c>
      <c r="D219" t="s">
        <v>191</v>
      </c>
      <c r="E219" t="s">
        <v>1037</v>
      </c>
      <c r="F219" t="s">
        <v>11</v>
      </c>
      <c r="G219" t="s">
        <v>12</v>
      </c>
      <c r="H219" t="s">
        <v>634</v>
      </c>
      <c r="I219" s="7">
        <v>259.74</v>
      </c>
      <c r="J219" s="8">
        <v>13</v>
      </c>
      <c r="K219" s="7">
        <v>124.68</v>
      </c>
    </row>
    <row r="220" spans="1:11" x14ac:dyDescent="0.3">
      <c r="A220" s="2">
        <v>41737</v>
      </c>
      <c r="B220" s="9">
        <f>MONTH(Table1[[#This Row],[Order Date]])</f>
        <v>4</v>
      </c>
      <c r="C220" s="9">
        <f>YEAR(Table1[[#This Row],[Order Date]])</f>
        <v>2014</v>
      </c>
      <c r="D220" t="s">
        <v>191</v>
      </c>
      <c r="E220" t="s">
        <v>1037</v>
      </c>
      <c r="F220" t="s">
        <v>39</v>
      </c>
      <c r="G220" t="s">
        <v>52</v>
      </c>
      <c r="H220" t="s">
        <v>1039</v>
      </c>
      <c r="I220" s="7">
        <v>255.42</v>
      </c>
      <c r="J220" s="8">
        <v>9</v>
      </c>
      <c r="K220" s="7">
        <v>104.72</v>
      </c>
    </row>
    <row r="221" spans="1:11" x14ac:dyDescent="0.3">
      <c r="A221" s="2">
        <v>41739</v>
      </c>
      <c r="B221" s="9">
        <f>MONTH(Table1[[#This Row],[Order Date]])</f>
        <v>4</v>
      </c>
      <c r="C221" s="9">
        <f>YEAR(Table1[[#This Row],[Order Date]])</f>
        <v>2014</v>
      </c>
      <c r="D221" t="s">
        <v>1398</v>
      </c>
      <c r="E221" t="s">
        <v>27</v>
      </c>
      <c r="F221" t="s">
        <v>11</v>
      </c>
      <c r="G221" t="s">
        <v>16</v>
      </c>
      <c r="H221" t="s">
        <v>1399</v>
      </c>
      <c r="I221" s="7">
        <v>14.45</v>
      </c>
      <c r="J221" s="8">
        <v>5</v>
      </c>
      <c r="K221" s="7">
        <v>6.79</v>
      </c>
    </row>
    <row r="222" spans="1:11" x14ac:dyDescent="0.3">
      <c r="A222" s="2">
        <v>41739</v>
      </c>
      <c r="B222" s="9">
        <f>MONTH(Table1[[#This Row],[Order Date]])</f>
        <v>4</v>
      </c>
      <c r="C222" s="9">
        <f>YEAR(Table1[[#This Row],[Order Date]])</f>
        <v>2014</v>
      </c>
      <c r="D222" t="s">
        <v>1398</v>
      </c>
      <c r="E222" t="s">
        <v>27</v>
      </c>
      <c r="F222" t="s">
        <v>11</v>
      </c>
      <c r="G222" t="s">
        <v>20</v>
      </c>
      <c r="H222" t="s">
        <v>867</v>
      </c>
      <c r="I222" s="7">
        <v>95.65</v>
      </c>
      <c r="J222" s="8">
        <v>2</v>
      </c>
      <c r="K222" s="7">
        <v>31.09</v>
      </c>
    </row>
    <row r="223" spans="1:11" x14ac:dyDescent="0.3">
      <c r="A223" s="2">
        <v>41739</v>
      </c>
      <c r="B223" s="9">
        <f>MONTH(Table1[[#This Row],[Order Date]])</f>
        <v>4</v>
      </c>
      <c r="C223" s="9">
        <f>YEAR(Table1[[#This Row],[Order Date]])</f>
        <v>2014</v>
      </c>
      <c r="D223" t="s">
        <v>1400</v>
      </c>
      <c r="E223" t="s">
        <v>158</v>
      </c>
      <c r="F223" t="s">
        <v>11</v>
      </c>
      <c r="G223" t="s">
        <v>16</v>
      </c>
      <c r="H223" t="s">
        <v>1401</v>
      </c>
      <c r="I223" s="7">
        <v>29.24</v>
      </c>
      <c r="J223" s="8">
        <v>4</v>
      </c>
      <c r="K223" s="7">
        <v>13.74</v>
      </c>
    </row>
    <row r="224" spans="1:11" x14ac:dyDescent="0.3">
      <c r="A224" s="2">
        <v>41739</v>
      </c>
      <c r="B224" s="9">
        <f>MONTH(Table1[[#This Row],[Order Date]])</f>
        <v>4</v>
      </c>
      <c r="C224" s="9">
        <f>YEAR(Table1[[#This Row],[Order Date]])</f>
        <v>2014</v>
      </c>
      <c r="D224" t="s">
        <v>1243</v>
      </c>
      <c r="E224" t="s">
        <v>144</v>
      </c>
      <c r="F224" t="s">
        <v>34</v>
      </c>
      <c r="G224" t="s">
        <v>35</v>
      </c>
      <c r="H224" t="s">
        <v>1402</v>
      </c>
      <c r="I224" s="7">
        <v>589.41</v>
      </c>
      <c r="J224" s="8">
        <v>5</v>
      </c>
      <c r="K224" s="7">
        <v>-6.55</v>
      </c>
    </row>
    <row r="225" spans="1:11" x14ac:dyDescent="0.3">
      <c r="A225" s="2">
        <v>41740</v>
      </c>
      <c r="B225" s="9">
        <f>MONTH(Table1[[#This Row],[Order Date]])</f>
        <v>4</v>
      </c>
      <c r="C225" s="9">
        <f>YEAR(Table1[[#This Row],[Order Date]])</f>
        <v>2014</v>
      </c>
      <c r="D225" t="s">
        <v>174</v>
      </c>
      <c r="E225" t="s">
        <v>144</v>
      </c>
      <c r="F225" t="s">
        <v>34</v>
      </c>
      <c r="G225" t="s">
        <v>35</v>
      </c>
      <c r="H225" t="s">
        <v>529</v>
      </c>
      <c r="I225" s="7">
        <v>135.88</v>
      </c>
      <c r="J225" s="8">
        <v>1</v>
      </c>
      <c r="K225" s="7">
        <v>24.16</v>
      </c>
    </row>
    <row r="226" spans="1:11" x14ac:dyDescent="0.3">
      <c r="A226" s="2">
        <v>41740</v>
      </c>
      <c r="B226" s="9">
        <f>MONTH(Table1[[#This Row],[Order Date]])</f>
        <v>4</v>
      </c>
      <c r="C226" s="9">
        <f>YEAR(Table1[[#This Row],[Order Date]])</f>
        <v>2014</v>
      </c>
      <c r="D226" t="s">
        <v>174</v>
      </c>
      <c r="E226" t="s">
        <v>144</v>
      </c>
      <c r="F226" t="s">
        <v>39</v>
      </c>
      <c r="G226" t="s">
        <v>293</v>
      </c>
      <c r="H226" t="s">
        <v>1522</v>
      </c>
      <c r="I226" s="7">
        <v>3991.98</v>
      </c>
      <c r="J226" s="8">
        <v>2</v>
      </c>
      <c r="K226" s="7">
        <v>1995.99</v>
      </c>
    </row>
    <row r="227" spans="1:11" x14ac:dyDescent="0.3">
      <c r="A227" s="2">
        <v>41740</v>
      </c>
      <c r="B227" s="9">
        <f>MONTH(Table1[[#This Row],[Order Date]])</f>
        <v>4</v>
      </c>
      <c r="C227" s="9">
        <f>YEAR(Table1[[#This Row],[Order Date]])</f>
        <v>2014</v>
      </c>
      <c r="D227" t="s">
        <v>174</v>
      </c>
      <c r="E227" t="s">
        <v>144</v>
      </c>
      <c r="F227" t="s">
        <v>39</v>
      </c>
      <c r="G227" t="s">
        <v>40</v>
      </c>
      <c r="H227" t="s">
        <v>843</v>
      </c>
      <c r="I227" s="7">
        <v>275.94</v>
      </c>
      <c r="J227" s="8">
        <v>6</v>
      </c>
      <c r="K227" s="7">
        <v>80.02</v>
      </c>
    </row>
    <row r="228" spans="1:11" x14ac:dyDescent="0.3">
      <c r="A228" s="2">
        <v>41740</v>
      </c>
      <c r="B228" s="9">
        <f>MONTH(Table1[[#This Row],[Order Date]])</f>
        <v>4</v>
      </c>
      <c r="C228" s="9">
        <f>YEAR(Table1[[#This Row],[Order Date]])</f>
        <v>2014</v>
      </c>
      <c r="D228" t="s">
        <v>174</v>
      </c>
      <c r="E228" t="s">
        <v>144</v>
      </c>
      <c r="F228" t="s">
        <v>39</v>
      </c>
      <c r="G228" t="s">
        <v>52</v>
      </c>
      <c r="H228" t="s">
        <v>1523</v>
      </c>
      <c r="I228" s="7">
        <v>360</v>
      </c>
      <c r="J228" s="8">
        <v>4</v>
      </c>
      <c r="K228" s="7">
        <v>129.6</v>
      </c>
    </row>
    <row r="229" spans="1:11" x14ac:dyDescent="0.3">
      <c r="A229" s="2">
        <v>41740</v>
      </c>
      <c r="B229" s="9">
        <f>MONTH(Table1[[#This Row],[Order Date]])</f>
        <v>4</v>
      </c>
      <c r="C229" s="9">
        <f>YEAR(Table1[[#This Row],[Order Date]])</f>
        <v>2014</v>
      </c>
      <c r="D229" t="s">
        <v>174</v>
      </c>
      <c r="E229" t="s">
        <v>144</v>
      </c>
      <c r="F229" t="s">
        <v>11</v>
      </c>
      <c r="G229" t="s">
        <v>18</v>
      </c>
      <c r="H229" t="s">
        <v>1524</v>
      </c>
      <c r="I229" s="7">
        <v>43.57</v>
      </c>
      <c r="J229" s="8">
        <v>1</v>
      </c>
      <c r="K229" s="7">
        <v>13.07</v>
      </c>
    </row>
    <row r="230" spans="1:11" x14ac:dyDescent="0.3">
      <c r="A230" s="2">
        <v>41740</v>
      </c>
      <c r="B230" s="9">
        <f>MONTH(Table1[[#This Row],[Order Date]])</f>
        <v>4</v>
      </c>
      <c r="C230" s="9">
        <f>YEAR(Table1[[#This Row],[Order Date]])</f>
        <v>2014</v>
      </c>
      <c r="D230" t="s">
        <v>1262</v>
      </c>
      <c r="E230" t="s">
        <v>237</v>
      </c>
      <c r="F230" t="s">
        <v>11</v>
      </c>
      <c r="G230" t="s">
        <v>43</v>
      </c>
      <c r="H230" t="s">
        <v>1525</v>
      </c>
      <c r="I230" s="7">
        <v>8.3800000000000008</v>
      </c>
      <c r="J230" s="8">
        <v>3</v>
      </c>
      <c r="K230" s="7">
        <v>2.72</v>
      </c>
    </row>
    <row r="231" spans="1:11" x14ac:dyDescent="0.3">
      <c r="A231" s="2">
        <v>41740</v>
      </c>
      <c r="B231" s="9">
        <f>MONTH(Table1[[#This Row],[Order Date]])</f>
        <v>4</v>
      </c>
      <c r="C231" s="9">
        <f>YEAR(Table1[[#This Row],[Order Date]])</f>
        <v>2014</v>
      </c>
      <c r="D231" t="s">
        <v>1526</v>
      </c>
      <c r="E231" t="s">
        <v>27</v>
      </c>
      <c r="F231" t="s">
        <v>34</v>
      </c>
      <c r="G231" t="s">
        <v>47</v>
      </c>
      <c r="H231" t="s">
        <v>1291</v>
      </c>
      <c r="I231" s="7">
        <v>35.340000000000003</v>
      </c>
      <c r="J231" s="8">
        <v>2</v>
      </c>
      <c r="K231" s="7">
        <v>13.43</v>
      </c>
    </row>
    <row r="232" spans="1:11" x14ac:dyDescent="0.3">
      <c r="A232" s="2">
        <v>41740</v>
      </c>
      <c r="B232" s="9">
        <f>MONTH(Table1[[#This Row],[Order Date]])</f>
        <v>4</v>
      </c>
      <c r="C232" s="9">
        <f>YEAR(Table1[[#This Row],[Order Date]])</f>
        <v>2014</v>
      </c>
      <c r="D232" t="s">
        <v>1527</v>
      </c>
      <c r="E232" t="s">
        <v>27</v>
      </c>
      <c r="F232" t="s">
        <v>39</v>
      </c>
      <c r="G232" t="s">
        <v>40</v>
      </c>
      <c r="H232" t="s">
        <v>1528</v>
      </c>
      <c r="I232" s="7">
        <v>666.34</v>
      </c>
      <c r="J232" s="8">
        <v>7</v>
      </c>
      <c r="K232" s="7">
        <v>66.63</v>
      </c>
    </row>
    <row r="233" spans="1:11" x14ac:dyDescent="0.3">
      <c r="A233" s="2">
        <v>41740</v>
      </c>
      <c r="B233" s="9">
        <f>MONTH(Table1[[#This Row],[Order Date]])</f>
        <v>4</v>
      </c>
      <c r="C233" s="9">
        <f>YEAR(Table1[[#This Row],[Order Date]])</f>
        <v>2014</v>
      </c>
      <c r="D233" t="s">
        <v>1527</v>
      </c>
      <c r="E233" t="s">
        <v>27</v>
      </c>
      <c r="F233" t="s">
        <v>34</v>
      </c>
      <c r="G233" t="s">
        <v>140</v>
      </c>
      <c r="H233" t="s">
        <v>770</v>
      </c>
      <c r="I233" s="7">
        <v>573.73</v>
      </c>
      <c r="J233" s="8">
        <v>4</v>
      </c>
      <c r="K233" s="7">
        <v>-64.540000000000006</v>
      </c>
    </row>
    <row r="234" spans="1:11" x14ac:dyDescent="0.3">
      <c r="A234" s="2">
        <v>41740</v>
      </c>
      <c r="B234" s="9">
        <f>MONTH(Table1[[#This Row],[Order Date]])</f>
        <v>4</v>
      </c>
      <c r="C234" s="9">
        <f>YEAR(Table1[[#This Row],[Order Date]])</f>
        <v>2014</v>
      </c>
      <c r="D234" t="s">
        <v>1527</v>
      </c>
      <c r="E234" t="s">
        <v>27</v>
      </c>
      <c r="F234" t="s">
        <v>11</v>
      </c>
      <c r="G234" t="s">
        <v>20</v>
      </c>
      <c r="H234" t="s">
        <v>1529</v>
      </c>
      <c r="I234" s="7">
        <v>21.94</v>
      </c>
      <c r="J234" s="8">
        <v>3</v>
      </c>
      <c r="K234" s="7">
        <v>8.23</v>
      </c>
    </row>
    <row r="235" spans="1:11" x14ac:dyDescent="0.3">
      <c r="A235" s="2">
        <v>41740</v>
      </c>
      <c r="B235" s="9">
        <f>MONTH(Table1[[#This Row],[Order Date]])</f>
        <v>4</v>
      </c>
      <c r="C235" s="9">
        <f>YEAR(Table1[[#This Row],[Order Date]])</f>
        <v>2014</v>
      </c>
      <c r="D235" t="s">
        <v>1527</v>
      </c>
      <c r="E235" t="s">
        <v>27</v>
      </c>
      <c r="F235" t="s">
        <v>11</v>
      </c>
      <c r="G235" t="s">
        <v>12</v>
      </c>
      <c r="H235" t="s">
        <v>1191</v>
      </c>
      <c r="I235" s="7">
        <v>19.440000000000001</v>
      </c>
      <c r="J235" s="8">
        <v>3</v>
      </c>
      <c r="K235" s="7">
        <v>9.33</v>
      </c>
    </row>
    <row r="236" spans="1:11" x14ac:dyDescent="0.3">
      <c r="A236" s="2">
        <v>41740</v>
      </c>
      <c r="B236" s="9">
        <f>MONTH(Table1[[#This Row],[Order Date]])</f>
        <v>4</v>
      </c>
      <c r="C236" s="9">
        <f>YEAR(Table1[[#This Row],[Order Date]])</f>
        <v>2014</v>
      </c>
      <c r="D236" t="s">
        <v>1527</v>
      </c>
      <c r="E236" t="s">
        <v>27</v>
      </c>
      <c r="F236" t="s">
        <v>39</v>
      </c>
      <c r="G236" t="s">
        <v>293</v>
      </c>
      <c r="H236" t="s">
        <v>1530</v>
      </c>
      <c r="I236" s="7">
        <v>447.97</v>
      </c>
      <c r="J236" s="8">
        <v>4</v>
      </c>
      <c r="K236" s="7">
        <v>139.99</v>
      </c>
    </row>
    <row r="237" spans="1:11" x14ac:dyDescent="0.3">
      <c r="A237" s="2">
        <v>41740</v>
      </c>
      <c r="B237" s="9">
        <f>MONTH(Table1[[#This Row],[Order Date]])</f>
        <v>4</v>
      </c>
      <c r="C237" s="9">
        <f>YEAR(Table1[[#This Row],[Order Date]])</f>
        <v>2014</v>
      </c>
      <c r="D237" t="s">
        <v>1195</v>
      </c>
      <c r="E237" t="s">
        <v>144</v>
      </c>
      <c r="F237" t="s">
        <v>11</v>
      </c>
      <c r="G237" t="s">
        <v>20</v>
      </c>
      <c r="H237" t="s">
        <v>1531</v>
      </c>
      <c r="I237" s="7">
        <v>52.06</v>
      </c>
      <c r="J237" s="8">
        <v>4</v>
      </c>
      <c r="K237" s="7">
        <v>18.87</v>
      </c>
    </row>
    <row r="238" spans="1:11" x14ac:dyDescent="0.3">
      <c r="A238" s="2">
        <v>41760</v>
      </c>
      <c r="B238" s="9">
        <f>MONTH(Table1[[#This Row],[Order Date]])</f>
        <v>5</v>
      </c>
      <c r="C238" s="9">
        <f>YEAR(Table1[[#This Row],[Order Date]])</f>
        <v>2014</v>
      </c>
      <c r="D238" t="s">
        <v>22</v>
      </c>
      <c r="E238" t="s">
        <v>23</v>
      </c>
      <c r="F238" t="s">
        <v>11</v>
      </c>
      <c r="G238" t="s">
        <v>24</v>
      </c>
      <c r="H238" t="s">
        <v>25</v>
      </c>
      <c r="I238" s="7">
        <v>19.54</v>
      </c>
      <c r="J238" s="8">
        <v>3</v>
      </c>
      <c r="K238" s="7">
        <v>4.88</v>
      </c>
    </row>
    <row r="239" spans="1:11" x14ac:dyDescent="0.3">
      <c r="A239" s="2">
        <v>41762</v>
      </c>
      <c r="B239" s="9">
        <f>MONTH(Table1[[#This Row],[Order Date]])</f>
        <v>5</v>
      </c>
      <c r="C239" s="9">
        <f>YEAR(Table1[[#This Row],[Order Date]])</f>
        <v>2014</v>
      </c>
      <c r="D239" t="s">
        <v>251</v>
      </c>
      <c r="E239" t="s">
        <v>144</v>
      </c>
      <c r="F239" t="s">
        <v>11</v>
      </c>
      <c r="G239" t="s">
        <v>24</v>
      </c>
      <c r="H239" t="s">
        <v>252</v>
      </c>
      <c r="I239" s="7">
        <v>59.52</v>
      </c>
      <c r="J239" s="8">
        <v>3</v>
      </c>
      <c r="K239" s="7">
        <v>15.48</v>
      </c>
    </row>
    <row r="240" spans="1:11" x14ac:dyDescent="0.3">
      <c r="A240" s="2">
        <v>41762</v>
      </c>
      <c r="B240" s="9">
        <f>MONTH(Table1[[#This Row],[Order Date]])</f>
        <v>5</v>
      </c>
      <c r="C240" s="9">
        <f>YEAR(Table1[[#This Row],[Order Date]])</f>
        <v>2014</v>
      </c>
      <c r="D240" t="s">
        <v>251</v>
      </c>
      <c r="E240" t="s">
        <v>144</v>
      </c>
      <c r="F240" t="s">
        <v>39</v>
      </c>
      <c r="G240" t="s">
        <v>52</v>
      </c>
      <c r="H240" t="s">
        <v>253</v>
      </c>
      <c r="I240" s="7">
        <v>479.97</v>
      </c>
      <c r="J240" s="8">
        <v>3</v>
      </c>
      <c r="K240" s="7">
        <v>177.59</v>
      </c>
    </row>
    <row r="241" spans="1:11" x14ac:dyDescent="0.3">
      <c r="A241" s="2">
        <v>41762</v>
      </c>
      <c r="B241" s="9">
        <f>MONTH(Table1[[#This Row],[Order Date]])</f>
        <v>5</v>
      </c>
      <c r="C241" s="9">
        <f>YEAR(Table1[[#This Row],[Order Date]])</f>
        <v>2014</v>
      </c>
      <c r="D241" t="s">
        <v>251</v>
      </c>
      <c r="E241" t="s">
        <v>144</v>
      </c>
      <c r="F241" t="s">
        <v>11</v>
      </c>
      <c r="G241" t="s">
        <v>194</v>
      </c>
      <c r="H241" t="s">
        <v>254</v>
      </c>
      <c r="I241" s="7">
        <v>18.62</v>
      </c>
      <c r="J241" s="8">
        <v>2</v>
      </c>
      <c r="K241" s="7">
        <v>5.4</v>
      </c>
    </row>
    <row r="242" spans="1:11" x14ac:dyDescent="0.3">
      <c r="A242" s="2">
        <v>41762</v>
      </c>
      <c r="B242" s="9">
        <f>MONTH(Table1[[#This Row],[Order Date]])</f>
        <v>5</v>
      </c>
      <c r="C242" s="9">
        <f>YEAR(Table1[[#This Row],[Order Date]])</f>
        <v>2014</v>
      </c>
      <c r="D242" t="s">
        <v>251</v>
      </c>
      <c r="E242" t="s">
        <v>144</v>
      </c>
      <c r="F242" t="s">
        <v>11</v>
      </c>
      <c r="G242" t="s">
        <v>20</v>
      </c>
      <c r="H242" t="s">
        <v>255</v>
      </c>
      <c r="I242" s="7">
        <v>49.63</v>
      </c>
      <c r="J242" s="8">
        <v>6</v>
      </c>
      <c r="K242" s="7">
        <v>16.75</v>
      </c>
    </row>
    <row r="243" spans="1:11" x14ac:dyDescent="0.3">
      <c r="A243" s="2">
        <v>41762</v>
      </c>
      <c r="B243" s="9">
        <f>MONTH(Table1[[#This Row],[Order Date]])</f>
        <v>5</v>
      </c>
      <c r="C243" s="9">
        <f>YEAR(Table1[[#This Row],[Order Date]])</f>
        <v>2014</v>
      </c>
      <c r="D243" t="s">
        <v>251</v>
      </c>
      <c r="E243" t="s">
        <v>144</v>
      </c>
      <c r="F243" t="s">
        <v>11</v>
      </c>
      <c r="G243" t="s">
        <v>12</v>
      </c>
      <c r="H243" t="s">
        <v>256</v>
      </c>
      <c r="I243" s="7">
        <v>97.82</v>
      </c>
      <c r="J243" s="8">
        <v>2</v>
      </c>
      <c r="K243" s="7">
        <v>45.98</v>
      </c>
    </row>
    <row r="244" spans="1:11" x14ac:dyDescent="0.3">
      <c r="A244" s="2">
        <v>41763</v>
      </c>
      <c r="B244" s="9">
        <f>MONTH(Table1[[#This Row],[Order Date]])</f>
        <v>5</v>
      </c>
      <c r="C244" s="9">
        <f>YEAR(Table1[[#This Row],[Order Date]])</f>
        <v>2014</v>
      </c>
      <c r="D244" t="s">
        <v>444</v>
      </c>
      <c r="E244" t="s">
        <v>144</v>
      </c>
      <c r="F244" t="s">
        <v>11</v>
      </c>
      <c r="G244" t="s">
        <v>12</v>
      </c>
      <c r="H244" t="s">
        <v>445</v>
      </c>
      <c r="I244" s="7">
        <v>55.48</v>
      </c>
      <c r="J244" s="8">
        <v>1</v>
      </c>
      <c r="K244" s="7">
        <v>26.63</v>
      </c>
    </row>
    <row r="245" spans="1:11" x14ac:dyDescent="0.3">
      <c r="A245" s="2">
        <v>41763</v>
      </c>
      <c r="B245" s="9">
        <f>MONTH(Table1[[#This Row],[Order Date]])</f>
        <v>5</v>
      </c>
      <c r="C245" s="9">
        <f>YEAR(Table1[[#This Row],[Order Date]])</f>
        <v>2014</v>
      </c>
      <c r="D245" t="s">
        <v>446</v>
      </c>
      <c r="E245" t="s">
        <v>55</v>
      </c>
      <c r="F245" t="s">
        <v>11</v>
      </c>
      <c r="G245" t="s">
        <v>24</v>
      </c>
      <c r="H245" t="s">
        <v>447</v>
      </c>
      <c r="I245" s="7">
        <v>22.96</v>
      </c>
      <c r="J245" s="8">
        <v>7</v>
      </c>
      <c r="K245" s="7">
        <v>7.58</v>
      </c>
    </row>
    <row r="246" spans="1:11" x14ac:dyDescent="0.3">
      <c r="A246" s="2">
        <v>41763</v>
      </c>
      <c r="B246" s="9">
        <f>MONTH(Table1[[#This Row],[Order Date]])</f>
        <v>5</v>
      </c>
      <c r="C246" s="9">
        <f>YEAR(Table1[[#This Row],[Order Date]])</f>
        <v>2014</v>
      </c>
      <c r="D246" t="s">
        <v>446</v>
      </c>
      <c r="E246" t="s">
        <v>55</v>
      </c>
      <c r="F246" t="s">
        <v>11</v>
      </c>
      <c r="G246" t="s">
        <v>12</v>
      </c>
      <c r="H246" t="s">
        <v>324</v>
      </c>
      <c r="I246" s="7">
        <v>12.96</v>
      </c>
      <c r="J246" s="8">
        <v>2</v>
      </c>
      <c r="K246" s="7">
        <v>6.35</v>
      </c>
    </row>
    <row r="247" spans="1:11" x14ac:dyDescent="0.3">
      <c r="A247" s="2">
        <v>41763</v>
      </c>
      <c r="B247" s="9">
        <f>MONTH(Table1[[#This Row],[Order Date]])</f>
        <v>5</v>
      </c>
      <c r="C247" s="9">
        <f>YEAR(Table1[[#This Row],[Order Date]])</f>
        <v>2014</v>
      </c>
      <c r="D247" t="s">
        <v>446</v>
      </c>
      <c r="E247" t="s">
        <v>55</v>
      </c>
      <c r="F247" t="s">
        <v>11</v>
      </c>
      <c r="G247" t="s">
        <v>24</v>
      </c>
      <c r="H247" t="s">
        <v>448</v>
      </c>
      <c r="I247" s="7">
        <v>22.96</v>
      </c>
      <c r="J247" s="8">
        <v>7</v>
      </c>
      <c r="K247" s="7">
        <v>6.66</v>
      </c>
    </row>
    <row r="248" spans="1:11" x14ac:dyDescent="0.3">
      <c r="A248" s="2">
        <v>41763</v>
      </c>
      <c r="B248" s="9">
        <f>MONTH(Table1[[#This Row],[Order Date]])</f>
        <v>5</v>
      </c>
      <c r="C248" s="9">
        <f>YEAR(Table1[[#This Row],[Order Date]])</f>
        <v>2014</v>
      </c>
      <c r="D248" t="s">
        <v>446</v>
      </c>
      <c r="E248" t="s">
        <v>55</v>
      </c>
      <c r="F248" t="s">
        <v>11</v>
      </c>
      <c r="G248" t="s">
        <v>194</v>
      </c>
      <c r="H248" t="s">
        <v>449</v>
      </c>
      <c r="I248" s="7">
        <v>4164.05</v>
      </c>
      <c r="J248" s="8">
        <v>5</v>
      </c>
      <c r="K248" s="7">
        <v>83.28</v>
      </c>
    </row>
    <row r="249" spans="1:11" x14ac:dyDescent="0.3">
      <c r="A249" s="2">
        <v>41763</v>
      </c>
      <c r="B249" s="9">
        <f>MONTH(Table1[[#This Row],[Order Date]])</f>
        <v>5</v>
      </c>
      <c r="C249" s="9">
        <f>YEAR(Table1[[#This Row],[Order Date]])</f>
        <v>2014</v>
      </c>
      <c r="D249" t="s">
        <v>450</v>
      </c>
      <c r="E249" t="s">
        <v>15</v>
      </c>
      <c r="F249" t="s">
        <v>11</v>
      </c>
      <c r="G249" t="s">
        <v>18</v>
      </c>
      <c r="H249" t="s">
        <v>451</v>
      </c>
      <c r="I249" s="7">
        <v>49.63</v>
      </c>
      <c r="J249" s="8">
        <v>4</v>
      </c>
      <c r="K249" s="7">
        <v>3.72</v>
      </c>
    </row>
    <row r="250" spans="1:11" x14ac:dyDescent="0.3">
      <c r="A250" s="2">
        <v>41763</v>
      </c>
      <c r="B250" s="9">
        <f>MONTH(Table1[[#This Row],[Order Date]])</f>
        <v>5</v>
      </c>
      <c r="C250" s="9">
        <f>YEAR(Table1[[#This Row],[Order Date]])</f>
        <v>2014</v>
      </c>
      <c r="D250" t="s">
        <v>450</v>
      </c>
      <c r="E250" t="s">
        <v>15</v>
      </c>
      <c r="F250" t="s">
        <v>11</v>
      </c>
      <c r="G250" t="s">
        <v>18</v>
      </c>
      <c r="H250" t="s">
        <v>452</v>
      </c>
      <c r="I250" s="7">
        <v>52.1</v>
      </c>
      <c r="J250" s="8">
        <v>4</v>
      </c>
      <c r="K250" s="7">
        <v>3.91</v>
      </c>
    </row>
    <row r="251" spans="1:11" x14ac:dyDescent="0.3">
      <c r="A251" s="2">
        <v>41763</v>
      </c>
      <c r="B251" s="9">
        <f>MONTH(Table1[[#This Row],[Order Date]])</f>
        <v>5</v>
      </c>
      <c r="C251" s="9">
        <f>YEAR(Table1[[#This Row],[Order Date]])</f>
        <v>2014</v>
      </c>
      <c r="D251" t="s">
        <v>453</v>
      </c>
      <c r="E251" t="s">
        <v>108</v>
      </c>
      <c r="F251" t="s">
        <v>11</v>
      </c>
      <c r="G251" t="s">
        <v>24</v>
      </c>
      <c r="H251" t="s">
        <v>454</v>
      </c>
      <c r="I251" s="7">
        <v>26.7</v>
      </c>
      <c r="J251" s="8">
        <v>2</v>
      </c>
      <c r="K251" s="7">
        <v>7.48</v>
      </c>
    </row>
    <row r="252" spans="1:11" x14ac:dyDescent="0.3">
      <c r="A252" s="2">
        <v>41763</v>
      </c>
      <c r="B252" s="9">
        <f>MONTH(Table1[[#This Row],[Order Date]])</f>
        <v>5</v>
      </c>
      <c r="C252" s="9">
        <f>YEAR(Table1[[#This Row],[Order Date]])</f>
        <v>2014</v>
      </c>
      <c r="D252" t="s">
        <v>453</v>
      </c>
      <c r="E252" t="s">
        <v>108</v>
      </c>
      <c r="F252" t="s">
        <v>11</v>
      </c>
      <c r="G252" t="s">
        <v>20</v>
      </c>
      <c r="H252" t="s">
        <v>455</v>
      </c>
      <c r="I252" s="7">
        <v>40.200000000000003</v>
      </c>
      <c r="J252" s="8">
        <v>5</v>
      </c>
      <c r="K252" s="7">
        <v>18.09</v>
      </c>
    </row>
    <row r="253" spans="1:11" x14ac:dyDescent="0.3">
      <c r="A253" s="2">
        <v>41763</v>
      </c>
      <c r="B253" s="9">
        <f>MONTH(Table1[[#This Row],[Order Date]])</f>
        <v>5</v>
      </c>
      <c r="C253" s="9">
        <f>YEAR(Table1[[#This Row],[Order Date]])</f>
        <v>2014</v>
      </c>
      <c r="D253" t="s">
        <v>453</v>
      </c>
      <c r="E253" t="s">
        <v>108</v>
      </c>
      <c r="F253" t="s">
        <v>11</v>
      </c>
      <c r="G253" t="s">
        <v>24</v>
      </c>
      <c r="H253" t="s">
        <v>348</v>
      </c>
      <c r="I253" s="7">
        <v>13.89</v>
      </c>
      <c r="J253" s="8">
        <v>3</v>
      </c>
      <c r="K253" s="7">
        <v>4.58</v>
      </c>
    </row>
    <row r="254" spans="1:11" x14ac:dyDescent="0.3">
      <c r="A254" s="2">
        <v>41763</v>
      </c>
      <c r="B254" s="9">
        <f>MONTH(Table1[[#This Row],[Order Date]])</f>
        <v>5</v>
      </c>
      <c r="C254" s="9">
        <f>YEAR(Table1[[#This Row],[Order Date]])</f>
        <v>2014</v>
      </c>
      <c r="D254" t="s">
        <v>453</v>
      </c>
      <c r="E254" t="s">
        <v>108</v>
      </c>
      <c r="F254" t="s">
        <v>11</v>
      </c>
      <c r="G254" t="s">
        <v>18</v>
      </c>
      <c r="H254" t="s">
        <v>148</v>
      </c>
      <c r="I254" s="7">
        <v>689.82</v>
      </c>
      <c r="J254" s="8">
        <v>6</v>
      </c>
      <c r="K254" s="7">
        <v>20.69</v>
      </c>
    </row>
    <row r="255" spans="1:11" x14ac:dyDescent="0.3">
      <c r="A255" s="2">
        <v>41764</v>
      </c>
      <c r="B255" s="9">
        <f>MONTH(Table1[[#This Row],[Order Date]])</f>
        <v>5</v>
      </c>
      <c r="C255" s="9">
        <f>YEAR(Table1[[#This Row],[Order Date]])</f>
        <v>2014</v>
      </c>
      <c r="D255" t="s">
        <v>605</v>
      </c>
      <c r="E255" t="s">
        <v>33</v>
      </c>
      <c r="F255" t="s">
        <v>11</v>
      </c>
      <c r="G255" t="s">
        <v>12</v>
      </c>
      <c r="H255" t="s">
        <v>606</v>
      </c>
      <c r="I255" s="7">
        <v>9.42</v>
      </c>
      <c r="J255" s="8">
        <v>3</v>
      </c>
      <c r="K255" s="7">
        <v>4.24</v>
      </c>
    </row>
    <row r="256" spans="1:11" x14ac:dyDescent="0.3">
      <c r="A256" s="2">
        <v>41764</v>
      </c>
      <c r="B256" s="9">
        <f>MONTH(Table1[[#This Row],[Order Date]])</f>
        <v>5</v>
      </c>
      <c r="C256" s="9">
        <f>YEAR(Table1[[#This Row],[Order Date]])</f>
        <v>2014</v>
      </c>
      <c r="D256" t="s">
        <v>605</v>
      </c>
      <c r="E256" t="s">
        <v>33</v>
      </c>
      <c r="F256" t="s">
        <v>11</v>
      </c>
      <c r="G256" t="s">
        <v>24</v>
      </c>
      <c r="H256" t="s">
        <v>607</v>
      </c>
      <c r="I256" s="7">
        <v>6.56</v>
      </c>
      <c r="J256" s="8">
        <v>2</v>
      </c>
      <c r="K256" s="7">
        <v>1.9</v>
      </c>
    </row>
    <row r="257" spans="1:11" x14ac:dyDescent="0.3">
      <c r="A257" s="2">
        <v>41764</v>
      </c>
      <c r="B257" s="9">
        <f>MONTH(Table1[[#This Row],[Order Date]])</f>
        <v>5</v>
      </c>
      <c r="C257" s="9">
        <f>YEAR(Table1[[#This Row],[Order Date]])</f>
        <v>2014</v>
      </c>
      <c r="D257" t="s">
        <v>605</v>
      </c>
      <c r="E257" t="s">
        <v>33</v>
      </c>
      <c r="F257" t="s">
        <v>11</v>
      </c>
      <c r="G257" t="s">
        <v>12</v>
      </c>
      <c r="H257" t="s">
        <v>608</v>
      </c>
      <c r="I257" s="7">
        <v>24.56</v>
      </c>
      <c r="J257" s="8">
        <v>2</v>
      </c>
      <c r="K257" s="7">
        <v>11.54</v>
      </c>
    </row>
    <row r="258" spans="1:11" x14ac:dyDescent="0.3">
      <c r="A258" s="2">
        <v>41764</v>
      </c>
      <c r="B258" s="9">
        <f>MONTH(Table1[[#This Row],[Order Date]])</f>
        <v>5</v>
      </c>
      <c r="C258" s="9">
        <f>YEAR(Table1[[#This Row],[Order Date]])</f>
        <v>2014</v>
      </c>
      <c r="D258" t="s">
        <v>609</v>
      </c>
      <c r="E258" t="s">
        <v>10</v>
      </c>
      <c r="F258" t="s">
        <v>34</v>
      </c>
      <c r="G258" t="s">
        <v>35</v>
      </c>
      <c r="H258" t="s">
        <v>180</v>
      </c>
      <c r="I258" s="7">
        <v>127.87</v>
      </c>
      <c r="J258" s="8">
        <v>3</v>
      </c>
      <c r="K258" s="7">
        <v>-9.1300000000000008</v>
      </c>
    </row>
    <row r="259" spans="1:11" x14ac:dyDescent="0.3">
      <c r="A259" s="2">
        <v>41764</v>
      </c>
      <c r="B259" s="9">
        <f>MONTH(Table1[[#This Row],[Order Date]])</f>
        <v>5</v>
      </c>
      <c r="C259" s="9">
        <f>YEAR(Table1[[#This Row],[Order Date]])</f>
        <v>2014</v>
      </c>
      <c r="D259" t="s">
        <v>421</v>
      </c>
      <c r="E259" t="s">
        <v>15</v>
      </c>
      <c r="F259" t="s">
        <v>11</v>
      </c>
      <c r="G259" t="s">
        <v>18</v>
      </c>
      <c r="H259" t="s">
        <v>610</v>
      </c>
      <c r="I259" s="7">
        <v>45.25</v>
      </c>
      <c r="J259" s="8">
        <v>2</v>
      </c>
      <c r="K259" s="7">
        <v>3.96</v>
      </c>
    </row>
    <row r="260" spans="1:11" x14ac:dyDescent="0.3">
      <c r="A260" s="2">
        <v>41764</v>
      </c>
      <c r="B260" s="9">
        <f>MONTH(Table1[[#This Row],[Order Date]])</f>
        <v>5</v>
      </c>
      <c r="C260" s="9">
        <f>YEAR(Table1[[#This Row],[Order Date]])</f>
        <v>2014</v>
      </c>
      <c r="D260" t="s">
        <v>611</v>
      </c>
      <c r="E260" t="s">
        <v>55</v>
      </c>
      <c r="F260" t="s">
        <v>11</v>
      </c>
      <c r="G260" t="s">
        <v>20</v>
      </c>
      <c r="H260" t="s">
        <v>116</v>
      </c>
      <c r="I260" s="7">
        <v>11.88</v>
      </c>
      <c r="J260" s="8">
        <v>2</v>
      </c>
      <c r="K260" s="7">
        <v>5.35</v>
      </c>
    </row>
    <row r="261" spans="1:11" x14ac:dyDescent="0.3">
      <c r="A261" s="2">
        <v>41766</v>
      </c>
      <c r="B261" s="9">
        <f>MONTH(Table1[[#This Row],[Order Date]])</f>
        <v>5</v>
      </c>
      <c r="C261" s="9">
        <f>YEAR(Table1[[#This Row],[Order Date]])</f>
        <v>2014</v>
      </c>
      <c r="D261" t="s">
        <v>882</v>
      </c>
      <c r="E261" t="s">
        <v>322</v>
      </c>
      <c r="F261" t="s">
        <v>39</v>
      </c>
      <c r="G261" t="s">
        <v>52</v>
      </c>
      <c r="H261" t="s">
        <v>883</v>
      </c>
      <c r="I261" s="7">
        <v>479.97</v>
      </c>
      <c r="J261" s="8">
        <v>3</v>
      </c>
      <c r="K261" s="7">
        <v>163.19</v>
      </c>
    </row>
    <row r="262" spans="1:11" x14ac:dyDescent="0.3">
      <c r="A262" s="2">
        <v>41766</v>
      </c>
      <c r="B262" s="9">
        <f>MONTH(Table1[[#This Row],[Order Date]])</f>
        <v>5</v>
      </c>
      <c r="C262" s="9">
        <f>YEAR(Table1[[#This Row],[Order Date]])</f>
        <v>2014</v>
      </c>
      <c r="D262" t="s">
        <v>882</v>
      </c>
      <c r="E262" t="s">
        <v>322</v>
      </c>
      <c r="F262" t="s">
        <v>11</v>
      </c>
      <c r="G262" t="s">
        <v>16</v>
      </c>
      <c r="H262" t="s">
        <v>884</v>
      </c>
      <c r="I262" s="7">
        <v>14.62</v>
      </c>
      <c r="J262" s="8">
        <v>2</v>
      </c>
      <c r="K262" s="7">
        <v>6.87</v>
      </c>
    </row>
    <row r="263" spans="1:11" x14ac:dyDescent="0.3">
      <c r="A263" s="2">
        <v>41766</v>
      </c>
      <c r="B263" s="9">
        <f>MONTH(Table1[[#This Row],[Order Date]])</f>
        <v>5</v>
      </c>
      <c r="C263" s="9">
        <f>YEAR(Table1[[#This Row],[Order Date]])</f>
        <v>2014</v>
      </c>
      <c r="D263" t="s">
        <v>882</v>
      </c>
      <c r="E263" t="s">
        <v>322</v>
      </c>
      <c r="F263" t="s">
        <v>11</v>
      </c>
      <c r="G263" t="s">
        <v>12</v>
      </c>
      <c r="H263" t="s">
        <v>859</v>
      </c>
      <c r="I263" s="7">
        <v>19.440000000000001</v>
      </c>
      <c r="J263" s="8">
        <v>3</v>
      </c>
      <c r="K263" s="7">
        <v>9.33</v>
      </c>
    </row>
    <row r="264" spans="1:11" x14ac:dyDescent="0.3">
      <c r="A264" s="2">
        <v>41766</v>
      </c>
      <c r="B264" s="9">
        <f>MONTH(Table1[[#This Row],[Order Date]])</f>
        <v>5</v>
      </c>
      <c r="C264" s="9">
        <f>YEAR(Table1[[#This Row],[Order Date]])</f>
        <v>2014</v>
      </c>
      <c r="D264" t="s">
        <v>885</v>
      </c>
      <c r="E264" t="s">
        <v>10</v>
      </c>
      <c r="F264" t="s">
        <v>11</v>
      </c>
      <c r="G264" t="s">
        <v>18</v>
      </c>
      <c r="H264" t="s">
        <v>886</v>
      </c>
      <c r="I264" s="7">
        <v>220.78</v>
      </c>
      <c r="J264" s="8">
        <v>3</v>
      </c>
      <c r="K264" s="7">
        <v>-44.16</v>
      </c>
    </row>
    <row r="265" spans="1:11" x14ac:dyDescent="0.3">
      <c r="A265" s="2">
        <v>41766</v>
      </c>
      <c r="B265" s="9">
        <f>MONTH(Table1[[#This Row],[Order Date]])</f>
        <v>5</v>
      </c>
      <c r="C265" s="9">
        <f>YEAR(Table1[[#This Row],[Order Date]])</f>
        <v>2014</v>
      </c>
      <c r="D265" t="s">
        <v>885</v>
      </c>
      <c r="E265" t="s">
        <v>10</v>
      </c>
      <c r="F265" t="s">
        <v>11</v>
      </c>
      <c r="G265" t="s">
        <v>18</v>
      </c>
      <c r="H265" t="s">
        <v>887</v>
      </c>
      <c r="I265" s="7">
        <v>281.42</v>
      </c>
      <c r="J265" s="8">
        <v>11</v>
      </c>
      <c r="K265" s="7">
        <v>-35.18</v>
      </c>
    </row>
    <row r="266" spans="1:11" x14ac:dyDescent="0.3">
      <c r="A266" s="2">
        <v>41766</v>
      </c>
      <c r="B266" s="9">
        <f>MONTH(Table1[[#This Row],[Order Date]])</f>
        <v>5</v>
      </c>
      <c r="C266" s="9">
        <f>YEAR(Table1[[#This Row],[Order Date]])</f>
        <v>2014</v>
      </c>
      <c r="D266" t="s">
        <v>888</v>
      </c>
      <c r="E266" t="s">
        <v>27</v>
      </c>
      <c r="F266" t="s">
        <v>11</v>
      </c>
      <c r="G266" t="s">
        <v>20</v>
      </c>
      <c r="H266" t="s">
        <v>889</v>
      </c>
      <c r="I266" s="7">
        <v>180.96</v>
      </c>
      <c r="J266" s="8">
        <v>6</v>
      </c>
      <c r="K266" s="7">
        <v>67.86</v>
      </c>
    </row>
    <row r="267" spans="1:11" x14ac:dyDescent="0.3">
      <c r="A267" s="2">
        <v>41766</v>
      </c>
      <c r="B267" s="9">
        <f>MONTH(Table1[[#This Row],[Order Date]])</f>
        <v>5</v>
      </c>
      <c r="C267" s="9">
        <f>YEAR(Table1[[#This Row],[Order Date]])</f>
        <v>2014</v>
      </c>
      <c r="D267" t="s">
        <v>90</v>
      </c>
      <c r="E267" t="s">
        <v>117</v>
      </c>
      <c r="F267" t="s">
        <v>11</v>
      </c>
      <c r="G267" t="s">
        <v>24</v>
      </c>
      <c r="H267" t="s">
        <v>778</v>
      </c>
      <c r="I267" s="7">
        <v>4.37</v>
      </c>
      <c r="J267" s="8">
        <v>3</v>
      </c>
      <c r="K267" s="7">
        <v>0.38</v>
      </c>
    </row>
    <row r="268" spans="1:11" x14ac:dyDescent="0.3">
      <c r="A268" s="2">
        <v>41766</v>
      </c>
      <c r="B268" s="9">
        <f>MONTH(Table1[[#This Row],[Order Date]])</f>
        <v>5</v>
      </c>
      <c r="C268" s="9">
        <f>YEAR(Table1[[#This Row],[Order Date]])</f>
        <v>2014</v>
      </c>
      <c r="D268" t="s">
        <v>890</v>
      </c>
      <c r="E268" t="s">
        <v>120</v>
      </c>
      <c r="F268" t="s">
        <v>34</v>
      </c>
      <c r="G268" t="s">
        <v>47</v>
      </c>
      <c r="H268" t="s">
        <v>891</v>
      </c>
      <c r="I268" s="7">
        <v>19.52</v>
      </c>
      <c r="J268" s="8">
        <v>2</v>
      </c>
      <c r="K268" s="7">
        <v>5.37</v>
      </c>
    </row>
    <row r="269" spans="1:11" x14ac:dyDescent="0.3">
      <c r="A269" s="2">
        <v>41766</v>
      </c>
      <c r="B269" s="9">
        <f>MONTH(Table1[[#This Row],[Order Date]])</f>
        <v>5</v>
      </c>
      <c r="C269" s="9">
        <f>YEAR(Table1[[#This Row],[Order Date]])</f>
        <v>2014</v>
      </c>
      <c r="D269" t="s">
        <v>890</v>
      </c>
      <c r="E269" t="s">
        <v>120</v>
      </c>
      <c r="F269" t="s">
        <v>11</v>
      </c>
      <c r="G269" t="s">
        <v>20</v>
      </c>
      <c r="H269" t="s">
        <v>892</v>
      </c>
      <c r="I269" s="7">
        <v>9.81</v>
      </c>
      <c r="J269" s="8">
        <v>5</v>
      </c>
      <c r="K269" s="7">
        <v>-6.87</v>
      </c>
    </row>
    <row r="270" spans="1:11" x14ac:dyDescent="0.3">
      <c r="A270" s="2">
        <v>41767</v>
      </c>
      <c r="B270" s="9">
        <f>MONTH(Table1[[#This Row],[Order Date]])</f>
        <v>5</v>
      </c>
      <c r="C270" s="9">
        <f>YEAR(Table1[[#This Row],[Order Date]])</f>
        <v>2014</v>
      </c>
      <c r="D270" t="s">
        <v>1040</v>
      </c>
      <c r="E270" t="s">
        <v>27</v>
      </c>
      <c r="F270" t="s">
        <v>11</v>
      </c>
      <c r="G270" t="s">
        <v>12</v>
      </c>
      <c r="H270" t="s">
        <v>1041</v>
      </c>
      <c r="I270" s="7">
        <v>20.94</v>
      </c>
      <c r="J270" s="8">
        <v>3</v>
      </c>
      <c r="K270" s="7">
        <v>9.84</v>
      </c>
    </row>
    <row r="271" spans="1:11" x14ac:dyDescent="0.3">
      <c r="A271" s="2">
        <v>41767</v>
      </c>
      <c r="B271" s="9">
        <f>MONTH(Table1[[#This Row],[Order Date]])</f>
        <v>5</v>
      </c>
      <c r="C271" s="9">
        <f>YEAR(Table1[[#This Row],[Order Date]])</f>
        <v>2014</v>
      </c>
      <c r="D271" t="s">
        <v>1040</v>
      </c>
      <c r="E271" t="s">
        <v>27</v>
      </c>
      <c r="F271" t="s">
        <v>11</v>
      </c>
      <c r="G271" t="s">
        <v>12</v>
      </c>
      <c r="H271" t="s">
        <v>874</v>
      </c>
      <c r="I271" s="7">
        <v>110.96</v>
      </c>
      <c r="J271" s="8">
        <v>2</v>
      </c>
      <c r="K271" s="7">
        <v>53.26</v>
      </c>
    </row>
    <row r="272" spans="1:11" x14ac:dyDescent="0.3">
      <c r="A272" s="2">
        <v>41767</v>
      </c>
      <c r="B272" s="9">
        <f>MONTH(Table1[[#This Row],[Order Date]])</f>
        <v>5</v>
      </c>
      <c r="C272" s="9">
        <f>YEAR(Table1[[#This Row],[Order Date]])</f>
        <v>2014</v>
      </c>
      <c r="D272" t="s">
        <v>1040</v>
      </c>
      <c r="E272" t="s">
        <v>27</v>
      </c>
      <c r="F272" t="s">
        <v>34</v>
      </c>
      <c r="G272" t="s">
        <v>35</v>
      </c>
      <c r="H272" t="s">
        <v>1042</v>
      </c>
      <c r="I272" s="7">
        <v>340.14</v>
      </c>
      <c r="J272" s="8">
        <v>7</v>
      </c>
      <c r="K272" s="7">
        <v>21.26</v>
      </c>
    </row>
    <row r="273" spans="1:11" x14ac:dyDescent="0.3">
      <c r="A273" s="2">
        <v>41767</v>
      </c>
      <c r="B273" s="9">
        <f>MONTH(Table1[[#This Row],[Order Date]])</f>
        <v>5</v>
      </c>
      <c r="C273" s="9">
        <f>YEAR(Table1[[#This Row],[Order Date]])</f>
        <v>2014</v>
      </c>
      <c r="D273" t="s">
        <v>1043</v>
      </c>
      <c r="E273" t="s">
        <v>27</v>
      </c>
      <c r="F273" t="s">
        <v>39</v>
      </c>
      <c r="G273" t="s">
        <v>52</v>
      </c>
      <c r="H273" t="s">
        <v>1044</v>
      </c>
      <c r="I273" s="7">
        <v>16.36</v>
      </c>
      <c r="J273" s="8">
        <v>1</v>
      </c>
      <c r="K273" s="7">
        <v>1.64</v>
      </c>
    </row>
    <row r="274" spans="1:11" x14ac:dyDescent="0.3">
      <c r="A274" s="2">
        <v>41767</v>
      </c>
      <c r="B274" s="9">
        <f>MONTH(Table1[[#This Row],[Order Date]])</f>
        <v>5</v>
      </c>
      <c r="C274" s="9">
        <f>YEAR(Table1[[#This Row],[Order Date]])</f>
        <v>2014</v>
      </c>
      <c r="D274" t="s">
        <v>1043</v>
      </c>
      <c r="E274" t="s">
        <v>27</v>
      </c>
      <c r="F274" t="s">
        <v>11</v>
      </c>
      <c r="G274" t="s">
        <v>18</v>
      </c>
      <c r="H274" t="s">
        <v>205</v>
      </c>
      <c r="I274" s="7">
        <v>15.78</v>
      </c>
      <c r="J274" s="8">
        <v>2</v>
      </c>
      <c r="K274" s="7">
        <v>0.63</v>
      </c>
    </row>
    <row r="275" spans="1:11" x14ac:dyDescent="0.3">
      <c r="A275" s="2">
        <v>41767</v>
      </c>
      <c r="B275" s="9">
        <f>MONTH(Table1[[#This Row],[Order Date]])</f>
        <v>5</v>
      </c>
      <c r="C275" s="9">
        <f>YEAR(Table1[[#This Row],[Order Date]])</f>
        <v>2014</v>
      </c>
      <c r="D275" t="s">
        <v>1043</v>
      </c>
      <c r="E275" t="s">
        <v>27</v>
      </c>
      <c r="F275" t="s">
        <v>11</v>
      </c>
      <c r="G275" t="s">
        <v>24</v>
      </c>
      <c r="H275" t="s">
        <v>1045</v>
      </c>
      <c r="I275" s="7">
        <v>45.98</v>
      </c>
      <c r="J275" s="8">
        <v>2</v>
      </c>
      <c r="K275" s="7">
        <v>12.87</v>
      </c>
    </row>
    <row r="276" spans="1:11" x14ac:dyDescent="0.3">
      <c r="A276" s="2">
        <v>41767</v>
      </c>
      <c r="B276" s="9">
        <f>MONTH(Table1[[#This Row],[Order Date]])</f>
        <v>5</v>
      </c>
      <c r="C276" s="9">
        <f>YEAR(Table1[[#This Row],[Order Date]])</f>
        <v>2014</v>
      </c>
      <c r="D276" t="s">
        <v>1046</v>
      </c>
      <c r="E276" t="s">
        <v>600</v>
      </c>
      <c r="F276" t="s">
        <v>11</v>
      </c>
      <c r="G276" t="s">
        <v>92</v>
      </c>
      <c r="H276" t="s">
        <v>410</v>
      </c>
      <c r="I276" s="7">
        <v>79.47</v>
      </c>
      <c r="J276" s="8">
        <v>3</v>
      </c>
      <c r="K276" s="7">
        <v>22.25</v>
      </c>
    </row>
    <row r="277" spans="1:11" x14ac:dyDescent="0.3">
      <c r="A277" s="2">
        <v>41767</v>
      </c>
      <c r="B277" s="9">
        <f>MONTH(Table1[[#This Row],[Order Date]])</f>
        <v>5</v>
      </c>
      <c r="C277" s="9">
        <f>YEAR(Table1[[#This Row],[Order Date]])</f>
        <v>2014</v>
      </c>
      <c r="D277" t="s">
        <v>1046</v>
      </c>
      <c r="E277" t="s">
        <v>600</v>
      </c>
      <c r="F277" t="s">
        <v>11</v>
      </c>
      <c r="G277" t="s">
        <v>24</v>
      </c>
      <c r="H277" t="s">
        <v>1047</v>
      </c>
      <c r="I277" s="7">
        <v>4.5599999999999996</v>
      </c>
      <c r="J277" s="8">
        <v>2</v>
      </c>
      <c r="K277" s="7">
        <v>2.0099999999999998</v>
      </c>
    </row>
    <row r="278" spans="1:11" x14ac:dyDescent="0.3">
      <c r="A278" s="2">
        <v>41767</v>
      </c>
      <c r="B278" s="9">
        <f>MONTH(Table1[[#This Row],[Order Date]])</f>
        <v>5</v>
      </c>
      <c r="C278" s="9">
        <f>YEAR(Table1[[#This Row],[Order Date]])</f>
        <v>2014</v>
      </c>
      <c r="D278" t="s">
        <v>1046</v>
      </c>
      <c r="E278" t="s">
        <v>600</v>
      </c>
      <c r="F278" t="s">
        <v>34</v>
      </c>
      <c r="G278" t="s">
        <v>35</v>
      </c>
      <c r="H278" t="s">
        <v>1048</v>
      </c>
      <c r="I278" s="7">
        <v>1133.3499999999999</v>
      </c>
      <c r="J278" s="8">
        <v>5</v>
      </c>
      <c r="K278" s="7">
        <v>294.67</v>
      </c>
    </row>
    <row r="279" spans="1:11" x14ac:dyDescent="0.3">
      <c r="A279" s="2">
        <v>41767</v>
      </c>
      <c r="B279" s="9">
        <f>MONTH(Table1[[#This Row],[Order Date]])</f>
        <v>5</v>
      </c>
      <c r="C279" s="9">
        <f>YEAR(Table1[[#This Row],[Order Date]])</f>
        <v>2014</v>
      </c>
      <c r="D279" t="s">
        <v>522</v>
      </c>
      <c r="E279" t="s">
        <v>144</v>
      </c>
      <c r="F279" t="s">
        <v>39</v>
      </c>
      <c r="G279" t="s">
        <v>40</v>
      </c>
      <c r="H279" t="s">
        <v>1049</v>
      </c>
      <c r="I279" s="7">
        <v>135.99</v>
      </c>
      <c r="J279" s="8">
        <v>1</v>
      </c>
      <c r="K279" s="7">
        <v>36.72</v>
      </c>
    </row>
    <row r="280" spans="1:11" x14ac:dyDescent="0.3">
      <c r="A280" s="2">
        <v>41767</v>
      </c>
      <c r="B280" s="9">
        <f>MONTH(Table1[[#This Row],[Order Date]])</f>
        <v>5</v>
      </c>
      <c r="C280" s="9">
        <f>YEAR(Table1[[#This Row],[Order Date]])</f>
        <v>2014</v>
      </c>
      <c r="D280" t="s">
        <v>1050</v>
      </c>
      <c r="E280" t="s">
        <v>10</v>
      </c>
      <c r="F280" t="s">
        <v>34</v>
      </c>
      <c r="G280" t="s">
        <v>140</v>
      </c>
      <c r="H280" t="s">
        <v>1051</v>
      </c>
      <c r="I280" s="7">
        <v>489.23</v>
      </c>
      <c r="J280" s="8">
        <v>2</v>
      </c>
      <c r="K280" s="7">
        <v>41.93</v>
      </c>
    </row>
    <row r="281" spans="1:11" x14ac:dyDescent="0.3">
      <c r="A281" s="2">
        <v>41768</v>
      </c>
      <c r="B281" s="9">
        <f>MONTH(Table1[[#This Row],[Order Date]])</f>
        <v>5</v>
      </c>
      <c r="C281" s="9">
        <f>YEAR(Table1[[#This Row],[Order Date]])</f>
        <v>2014</v>
      </c>
      <c r="D281" t="s">
        <v>1183</v>
      </c>
      <c r="E281" t="s">
        <v>78</v>
      </c>
      <c r="F281" t="s">
        <v>11</v>
      </c>
      <c r="G281" t="s">
        <v>18</v>
      </c>
      <c r="H281" t="s">
        <v>366</v>
      </c>
      <c r="I281" s="7">
        <v>264.32</v>
      </c>
      <c r="J281" s="8">
        <v>2</v>
      </c>
      <c r="K281" s="7">
        <v>19.82</v>
      </c>
    </row>
    <row r="282" spans="1:11" x14ac:dyDescent="0.3">
      <c r="A282" s="2">
        <v>41768</v>
      </c>
      <c r="B282" s="9">
        <f>MONTH(Table1[[#This Row],[Order Date]])</f>
        <v>5</v>
      </c>
      <c r="C282" s="9">
        <f>YEAR(Table1[[#This Row],[Order Date]])</f>
        <v>2014</v>
      </c>
      <c r="D282" t="s">
        <v>1184</v>
      </c>
      <c r="E282" t="s">
        <v>120</v>
      </c>
      <c r="F282" t="s">
        <v>34</v>
      </c>
      <c r="G282" t="s">
        <v>47</v>
      </c>
      <c r="H282" t="s">
        <v>1185</v>
      </c>
      <c r="I282" s="7">
        <v>31.98</v>
      </c>
      <c r="J282" s="8">
        <v>2</v>
      </c>
      <c r="K282" s="7">
        <v>2</v>
      </c>
    </row>
    <row r="283" spans="1:11" x14ac:dyDescent="0.3">
      <c r="A283" s="2">
        <v>41769</v>
      </c>
      <c r="B283" s="9">
        <f>MONTH(Table1[[#This Row],[Order Date]])</f>
        <v>5</v>
      </c>
      <c r="C283" s="9">
        <f>YEAR(Table1[[#This Row],[Order Date]])</f>
        <v>2014</v>
      </c>
      <c r="D283" t="s">
        <v>1403</v>
      </c>
      <c r="E283" t="s">
        <v>78</v>
      </c>
      <c r="F283" t="s">
        <v>11</v>
      </c>
      <c r="G283" t="s">
        <v>92</v>
      </c>
      <c r="H283" t="s">
        <v>781</v>
      </c>
      <c r="I283" s="7">
        <v>91.92</v>
      </c>
      <c r="J283" s="8">
        <v>5</v>
      </c>
      <c r="K283" s="7">
        <v>11.49</v>
      </c>
    </row>
    <row r="284" spans="1:11" x14ac:dyDescent="0.3">
      <c r="A284" s="2">
        <v>41769</v>
      </c>
      <c r="B284" s="9">
        <f>MONTH(Table1[[#This Row],[Order Date]])</f>
        <v>5</v>
      </c>
      <c r="C284" s="9">
        <f>YEAR(Table1[[#This Row],[Order Date]])</f>
        <v>2014</v>
      </c>
      <c r="D284" t="s">
        <v>1097</v>
      </c>
      <c r="E284" t="s">
        <v>27</v>
      </c>
      <c r="F284" t="s">
        <v>39</v>
      </c>
      <c r="G284" t="s">
        <v>52</v>
      </c>
      <c r="H284" t="s">
        <v>655</v>
      </c>
      <c r="I284" s="7">
        <v>99.98</v>
      </c>
      <c r="J284" s="8">
        <v>2</v>
      </c>
      <c r="K284" s="7">
        <v>34.99</v>
      </c>
    </row>
    <row r="285" spans="1:11" x14ac:dyDescent="0.3">
      <c r="A285" s="2">
        <v>41770</v>
      </c>
      <c r="B285" s="9">
        <f>MONTH(Table1[[#This Row],[Order Date]])</f>
        <v>5</v>
      </c>
      <c r="C285" s="9">
        <f>YEAR(Table1[[#This Row],[Order Date]])</f>
        <v>2014</v>
      </c>
      <c r="D285" t="s">
        <v>1117</v>
      </c>
      <c r="E285" t="s">
        <v>27</v>
      </c>
      <c r="F285" t="s">
        <v>34</v>
      </c>
      <c r="G285" t="s">
        <v>47</v>
      </c>
      <c r="H285" t="s">
        <v>1534</v>
      </c>
      <c r="I285" s="7">
        <v>20.04</v>
      </c>
      <c r="J285" s="8">
        <v>6</v>
      </c>
      <c r="K285" s="7">
        <v>8.82</v>
      </c>
    </row>
    <row r="286" spans="1:11" x14ac:dyDescent="0.3">
      <c r="A286" s="2">
        <v>41770</v>
      </c>
      <c r="B286" s="9">
        <f>MONTH(Table1[[#This Row],[Order Date]])</f>
        <v>5</v>
      </c>
      <c r="C286" s="9">
        <f>YEAR(Table1[[#This Row],[Order Date]])</f>
        <v>2014</v>
      </c>
      <c r="D286" t="s">
        <v>209</v>
      </c>
      <c r="E286" t="s">
        <v>55</v>
      </c>
      <c r="F286" t="s">
        <v>39</v>
      </c>
      <c r="G286" t="s">
        <v>52</v>
      </c>
      <c r="H286" t="s">
        <v>585</v>
      </c>
      <c r="I286" s="7">
        <v>47.79</v>
      </c>
      <c r="J286" s="8">
        <v>3</v>
      </c>
      <c r="K286" s="7">
        <v>16.25</v>
      </c>
    </row>
    <row r="287" spans="1:11" x14ac:dyDescent="0.3">
      <c r="A287" s="2">
        <v>41770</v>
      </c>
      <c r="B287" s="9">
        <f>MONTH(Table1[[#This Row],[Order Date]])</f>
        <v>5</v>
      </c>
      <c r="C287" s="9">
        <f>YEAR(Table1[[#This Row],[Order Date]])</f>
        <v>2014</v>
      </c>
      <c r="D287" t="s">
        <v>1535</v>
      </c>
      <c r="E287" t="s">
        <v>23</v>
      </c>
      <c r="F287" t="s">
        <v>11</v>
      </c>
      <c r="G287" t="s">
        <v>20</v>
      </c>
      <c r="H287" t="s">
        <v>614</v>
      </c>
      <c r="I287" s="7">
        <v>13.19</v>
      </c>
      <c r="J287" s="8">
        <v>2</v>
      </c>
      <c r="K287" s="7">
        <v>-8.8000000000000007</v>
      </c>
    </row>
    <row r="288" spans="1:11" x14ac:dyDescent="0.3">
      <c r="A288" s="2">
        <v>41770</v>
      </c>
      <c r="B288" s="9">
        <f>MONTH(Table1[[#This Row],[Order Date]])</f>
        <v>5</v>
      </c>
      <c r="C288" s="9">
        <f>YEAR(Table1[[#This Row],[Order Date]])</f>
        <v>2014</v>
      </c>
      <c r="D288" t="s">
        <v>1535</v>
      </c>
      <c r="E288" t="s">
        <v>23</v>
      </c>
      <c r="F288" t="s">
        <v>11</v>
      </c>
      <c r="G288" t="s">
        <v>18</v>
      </c>
      <c r="H288" t="s">
        <v>1536</v>
      </c>
      <c r="I288" s="7">
        <v>1080.0999999999999</v>
      </c>
      <c r="J288" s="8">
        <v>6</v>
      </c>
      <c r="K288" s="7">
        <v>-94.51</v>
      </c>
    </row>
    <row r="289" spans="1:11" x14ac:dyDescent="0.3">
      <c r="A289" s="2">
        <v>41770</v>
      </c>
      <c r="B289" s="9">
        <f>MONTH(Table1[[#This Row],[Order Date]])</f>
        <v>5</v>
      </c>
      <c r="C289" s="9">
        <f>YEAR(Table1[[#This Row],[Order Date]])</f>
        <v>2014</v>
      </c>
      <c r="D289" t="s">
        <v>1535</v>
      </c>
      <c r="E289" t="s">
        <v>23</v>
      </c>
      <c r="F289" t="s">
        <v>39</v>
      </c>
      <c r="G289" t="s">
        <v>52</v>
      </c>
      <c r="H289" t="s">
        <v>1428</v>
      </c>
      <c r="I289" s="7">
        <v>51.56</v>
      </c>
      <c r="J289" s="8">
        <v>5</v>
      </c>
      <c r="K289" s="7">
        <v>-6.45</v>
      </c>
    </row>
    <row r="290" spans="1:11" x14ac:dyDescent="0.3">
      <c r="A290" s="2">
        <v>41770</v>
      </c>
      <c r="B290" s="9">
        <f>MONTH(Table1[[#This Row],[Order Date]])</f>
        <v>5</v>
      </c>
      <c r="C290" s="9">
        <f>YEAR(Table1[[#This Row],[Order Date]])</f>
        <v>2014</v>
      </c>
      <c r="D290" t="s">
        <v>1535</v>
      </c>
      <c r="E290" t="s">
        <v>23</v>
      </c>
      <c r="F290" t="s">
        <v>39</v>
      </c>
      <c r="G290" t="s">
        <v>52</v>
      </c>
      <c r="H290" t="s">
        <v>1537</v>
      </c>
      <c r="I290" s="7">
        <v>58.42</v>
      </c>
      <c r="J290" s="8">
        <v>2</v>
      </c>
      <c r="K290" s="7">
        <v>16.79</v>
      </c>
    </row>
    <row r="291" spans="1:11" x14ac:dyDescent="0.3">
      <c r="A291" s="2">
        <v>41771</v>
      </c>
      <c r="B291" s="9">
        <f>MONTH(Table1[[#This Row],[Order Date]])</f>
        <v>5</v>
      </c>
      <c r="C291" s="9">
        <f>YEAR(Table1[[#This Row],[Order Date]])</f>
        <v>2014</v>
      </c>
      <c r="D291" t="s">
        <v>82</v>
      </c>
      <c r="E291" t="s">
        <v>95</v>
      </c>
      <c r="F291" t="s">
        <v>11</v>
      </c>
      <c r="G291" t="s">
        <v>24</v>
      </c>
      <c r="H291" t="s">
        <v>1699</v>
      </c>
      <c r="I291" s="7">
        <v>1113.02</v>
      </c>
      <c r="J291" s="8">
        <v>8</v>
      </c>
      <c r="K291" s="7">
        <v>111.3</v>
      </c>
    </row>
    <row r="292" spans="1:11" x14ac:dyDescent="0.3">
      <c r="A292" s="2">
        <v>41771</v>
      </c>
      <c r="B292" s="9">
        <f>MONTH(Table1[[#This Row],[Order Date]])</f>
        <v>5</v>
      </c>
      <c r="C292" s="9">
        <f>YEAR(Table1[[#This Row],[Order Date]])</f>
        <v>2014</v>
      </c>
      <c r="D292" t="s">
        <v>82</v>
      </c>
      <c r="E292" t="s">
        <v>95</v>
      </c>
      <c r="F292" t="s">
        <v>39</v>
      </c>
      <c r="G292" t="s">
        <v>40</v>
      </c>
      <c r="H292" t="s">
        <v>705</v>
      </c>
      <c r="I292" s="7">
        <v>167.97</v>
      </c>
      <c r="J292" s="8">
        <v>4</v>
      </c>
      <c r="K292" s="7">
        <v>62.99</v>
      </c>
    </row>
    <row r="293" spans="1:11" x14ac:dyDescent="0.3">
      <c r="A293" s="2">
        <v>41771</v>
      </c>
      <c r="B293" s="9">
        <f>MONTH(Table1[[#This Row],[Order Date]])</f>
        <v>5</v>
      </c>
      <c r="C293" s="9">
        <f>YEAR(Table1[[#This Row],[Order Date]])</f>
        <v>2014</v>
      </c>
      <c r="D293" t="s">
        <v>1700</v>
      </c>
      <c r="E293" t="s">
        <v>15</v>
      </c>
      <c r="F293" t="s">
        <v>39</v>
      </c>
      <c r="G293" t="s">
        <v>52</v>
      </c>
      <c r="H293" t="s">
        <v>460</v>
      </c>
      <c r="I293" s="7">
        <v>408.74</v>
      </c>
      <c r="J293" s="8">
        <v>7</v>
      </c>
      <c r="K293" s="7">
        <v>76.64</v>
      </c>
    </row>
    <row r="294" spans="1:11" x14ac:dyDescent="0.3">
      <c r="A294" s="2">
        <v>41771</v>
      </c>
      <c r="B294" s="9">
        <f>MONTH(Table1[[#This Row],[Order Date]])</f>
        <v>5</v>
      </c>
      <c r="C294" s="9">
        <f>YEAR(Table1[[#This Row],[Order Date]])</f>
        <v>2014</v>
      </c>
      <c r="D294" t="s">
        <v>1701</v>
      </c>
      <c r="E294" t="s">
        <v>55</v>
      </c>
      <c r="F294" t="s">
        <v>11</v>
      </c>
      <c r="G294" t="s">
        <v>18</v>
      </c>
      <c r="H294" t="s">
        <v>823</v>
      </c>
      <c r="I294" s="7">
        <v>24.56</v>
      </c>
      <c r="J294" s="8">
        <v>2</v>
      </c>
      <c r="K294" s="7">
        <v>6.88</v>
      </c>
    </row>
    <row r="295" spans="1:11" x14ac:dyDescent="0.3">
      <c r="A295" s="2">
        <v>41771</v>
      </c>
      <c r="B295" s="9">
        <f>MONTH(Table1[[#This Row],[Order Date]])</f>
        <v>5</v>
      </c>
      <c r="C295" s="9">
        <f>YEAR(Table1[[#This Row],[Order Date]])</f>
        <v>2014</v>
      </c>
      <c r="D295" t="s">
        <v>1702</v>
      </c>
      <c r="E295" t="s">
        <v>23</v>
      </c>
      <c r="F295" t="s">
        <v>11</v>
      </c>
      <c r="G295" t="s">
        <v>63</v>
      </c>
      <c r="H295" t="s">
        <v>530</v>
      </c>
      <c r="I295" s="7">
        <v>348.49</v>
      </c>
      <c r="J295" s="8">
        <v>7</v>
      </c>
      <c r="K295" s="7">
        <v>117.61</v>
      </c>
    </row>
    <row r="296" spans="1:11" x14ac:dyDescent="0.3">
      <c r="A296" s="2">
        <v>41771</v>
      </c>
      <c r="B296" s="9">
        <f>MONTH(Table1[[#This Row],[Order Date]])</f>
        <v>5</v>
      </c>
      <c r="C296" s="9">
        <f>YEAR(Table1[[#This Row],[Order Date]])</f>
        <v>2014</v>
      </c>
      <c r="D296" t="s">
        <v>1260</v>
      </c>
      <c r="E296" t="s">
        <v>78</v>
      </c>
      <c r="F296" t="s">
        <v>11</v>
      </c>
      <c r="G296" t="s">
        <v>12</v>
      </c>
      <c r="H296" t="s">
        <v>1565</v>
      </c>
      <c r="I296" s="7">
        <v>98.38</v>
      </c>
      <c r="J296" s="8">
        <v>3</v>
      </c>
      <c r="K296" s="7">
        <v>35.659999999999997</v>
      </c>
    </row>
    <row r="297" spans="1:11" x14ac:dyDescent="0.3">
      <c r="A297" s="2">
        <v>41771</v>
      </c>
      <c r="B297" s="9">
        <f>MONTH(Table1[[#This Row],[Order Date]])</f>
        <v>5</v>
      </c>
      <c r="C297" s="9">
        <f>YEAR(Table1[[#This Row],[Order Date]])</f>
        <v>2014</v>
      </c>
      <c r="D297" t="s">
        <v>1260</v>
      </c>
      <c r="E297" t="s">
        <v>78</v>
      </c>
      <c r="F297" t="s">
        <v>11</v>
      </c>
      <c r="G297" t="s">
        <v>20</v>
      </c>
      <c r="H297" t="s">
        <v>457</v>
      </c>
      <c r="I297" s="7">
        <v>29.94</v>
      </c>
      <c r="J297" s="8">
        <v>4</v>
      </c>
      <c r="K297" s="7">
        <v>-23.95</v>
      </c>
    </row>
    <row r="298" spans="1:11" x14ac:dyDescent="0.3">
      <c r="A298" s="2">
        <v>41771</v>
      </c>
      <c r="B298" s="9">
        <f>MONTH(Table1[[#This Row],[Order Date]])</f>
        <v>5</v>
      </c>
      <c r="C298" s="9">
        <f>YEAR(Table1[[#This Row],[Order Date]])</f>
        <v>2014</v>
      </c>
      <c r="D298" t="s">
        <v>1260</v>
      </c>
      <c r="E298" t="s">
        <v>78</v>
      </c>
      <c r="F298" t="s">
        <v>39</v>
      </c>
      <c r="G298" t="s">
        <v>40</v>
      </c>
      <c r="H298" t="s">
        <v>1703</v>
      </c>
      <c r="I298" s="7">
        <v>36.74</v>
      </c>
      <c r="J298" s="8">
        <v>1</v>
      </c>
      <c r="K298" s="7">
        <v>-9.18</v>
      </c>
    </row>
    <row r="299" spans="1:11" x14ac:dyDescent="0.3">
      <c r="A299" s="2">
        <v>41771</v>
      </c>
      <c r="B299" s="9">
        <f>MONTH(Table1[[#This Row],[Order Date]])</f>
        <v>5</v>
      </c>
      <c r="C299" s="9">
        <f>YEAR(Table1[[#This Row],[Order Date]])</f>
        <v>2014</v>
      </c>
      <c r="D299" t="s">
        <v>1260</v>
      </c>
      <c r="E299" t="s">
        <v>78</v>
      </c>
      <c r="F299" t="s">
        <v>39</v>
      </c>
      <c r="G299" t="s">
        <v>40</v>
      </c>
      <c r="H299" t="s">
        <v>1704</v>
      </c>
      <c r="I299" s="7">
        <v>179.94</v>
      </c>
      <c r="J299" s="8">
        <v>2</v>
      </c>
      <c r="K299" s="7">
        <v>-44.99</v>
      </c>
    </row>
    <row r="300" spans="1:11" x14ac:dyDescent="0.3">
      <c r="A300" s="2">
        <v>41771</v>
      </c>
      <c r="B300" s="9">
        <f>MONTH(Table1[[#This Row],[Order Date]])</f>
        <v>5</v>
      </c>
      <c r="C300" s="9">
        <f>YEAR(Table1[[#This Row],[Order Date]])</f>
        <v>2014</v>
      </c>
      <c r="D300" t="s">
        <v>1705</v>
      </c>
      <c r="E300" t="s">
        <v>27</v>
      </c>
      <c r="F300" t="s">
        <v>11</v>
      </c>
      <c r="G300" t="s">
        <v>24</v>
      </c>
      <c r="H300" t="s">
        <v>1224</v>
      </c>
      <c r="I300" s="7">
        <v>26.46</v>
      </c>
      <c r="J300" s="8">
        <v>9</v>
      </c>
      <c r="K300" s="7">
        <v>11.91</v>
      </c>
    </row>
    <row r="301" spans="1:11" x14ac:dyDescent="0.3">
      <c r="A301" s="2">
        <v>41771</v>
      </c>
      <c r="B301" s="9">
        <f>MONTH(Table1[[#This Row],[Order Date]])</f>
        <v>5</v>
      </c>
      <c r="C301" s="9">
        <f>YEAR(Table1[[#This Row],[Order Date]])</f>
        <v>2014</v>
      </c>
      <c r="D301" t="s">
        <v>1705</v>
      </c>
      <c r="E301" t="s">
        <v>27</v>
      </c>
      <c r="F301" t="s">
        <v>11</v>
      </c>
      <c r="G301" t="s">
        <v>43</v>
      </c>
      <c r="H301" t="s">
        <v>1219</v>
      </c>
      <c r="I301" s="7">
        <v>15</v>
      </c>
      <c r="J301" s="8">
        <v>3</v>
      </c>
      <c r="K301" s="7">
        <v>7.2</v>
      </c>
    </row>
    <row r="302" spans="1:11" x14ac:dyDescent="0.3">
      <c r="A302" s="2">
        <v>41771</v>
      </c>
      <c r="B302" s="9">
        <f>MONTH(Table1[[#This Row],[Order Date]])</f>
        <v>5</v>
      </c>
      <c r="C302" s="9">
        <f>YEAR(Table1[[#This Row],[Order Date]])</f>
        <v>2014</v>
      </c>
      <c r="D302" t="s">
        <v>1706</v>
      </c>
      <c r="E302" t="s">
        <v>27</v>
      </c>
      <c r="F302" t="s">
        <v>11</v>
      </c>
      <c r="G302" t="s">
        <v>92</v>
      </c>
      <c r="H302" t="s">
        <v>1250</v>
      </c>
      <c r="I302" s="7">
        <v>250.26</v>
      </c>
      <c r="J302" s="8">
        <v>6</v>
      </c>
      <c r="K302" s="7">
        <v>72.58</v>
      </c>
    </row>
    <row r="303" spans="1:11" x14ac:dyDescent="0.3">
      <c r="A303" s="2">
        <v>41791</v>
      </c>
      <c r="B303" s="9">
        <f>MONTH(Table1[[#This Row],[Order Date]])</f>
        <v>6</v>
      </c>
      <c r="C303" s="9">
        <f>YEAR(Table1[[#This Row],[Order Date]])</f>
        <v>2014</v>
      </c>
      <c r="D303" t="s">
        <v>26</v>
      </c>
      <c r="E303" t="s">
        <v>27</v>
      </c>
      <c r="F303" t="s">
        <v>11</v>
      </c>
      <c r="G303" t="s">
        <v>12</v>
      </c>
      <c r="H303" t="s">
        <v>28</v>
      </c>
      <c r="I303" s="7">
        <v>19.440000000000001</v>
      </c>
      <c r="J303" s="8">
        <v>3</v>
      </c>
      <c r="K303" s="7">
        <v>9.33</v>
      </c>
    </row>
    <row r="304" spans="1:11" x14ac:dyDescent="0.3">
      <c r="A304" s="2">
        <v>41791</v>
      </c>
      <c r="B304" s="9">
        <f>MONTH(Table1[[#This Row],[Order Date]])</f>
        <v>6</v>
      </c>
      <c r="C304" s="9">
        <f>YEAR(Table1[[#This Row],[Order Date]])</f>
        <v>2014</v>
      </c>
      <c r="D304" t="s">
        <v>29</v>
      </c>
      <c r="E304" t="s">
        <v>30</v>
      </c>
      <c r="F304" t="s">
        <v>11</v>
      </c>
      <c r="G304" t="s">
        <v>24</v>
      </c>
      <c r="H304" t="s">
        <v>31</v>
      </c>
      <c r="I304" s="7">
        <v>12.78</v>
      </c>
      <c r="J304" s="8">
        <v>3</v>
      </c>
      <c r="K304" s="7">
        <v>5.24</v>
      </c>
    </row>
    <row r="305" spans="1:11" x14ac:dyDescent="0.3">
      <c r="A305" s="2">
        <v>41791</v>
      </c>
      <c r="B305" s="9">
        <f>MONTH(Table1[[#This Row],[Order Date]])</f>
        <v>6</v>
      </c>
      <c r="C305" s="9">
        <f>YEAR(Table1[[#This Row],[Order Date]])</f>
        <v>2014</v>
      </c>
      <c r="D305" t="s">
        <v>32</v>
      </c>
      <c r="E305" t="s">
        <v>33</v>
      </c>
      <c r="F305" t="s">
        <v>11</v>
      </c>
      <c r="G305" t="s">
        <v>20</v>
      </c>
      <c r="H305" t="s">
        <v>37</v>
      </c>
      <c r="I305" s="7">
        <v>609.98</v>
      </c>
      <c r="J305" s="8">
        <v>2</v>
      </c>
      <c r="K305" s="7">
        <v>274.49</v>
      </c>
    </row>
    <row r="306" spans="1:11" x14ac:dyDescent="0.3">
      <c r="A306" s="2">
        <v>41791</v>
      </c>
      <c r="B306" s="9">
        <f>MONTH(Table1[[#This Row],[Order Date]])</f>
        <v>6</v>
      </c>
      <c r="C306" s="9">
        <f>YEAR(Table1[[#This Row],[Order Date]])</f>
        <v>2014</v>
      </c>
      <c r="D306" t="s">
        <v>32</v>
      </c>
      <c r="E306" t="s">
        <v>33</v>
      </c>
      <c r="F306" t="s">
        <v>11</v>
      </c>
      <c r="G306" t="s">
        <v>24</v>
      </c>
      <c r="H306" t="s">
        <v>38</v>
      </c>
      <c r="I306" s="7">
        <v>5.48</v>
      </c>
      <c r="J306" s="8">
        <v>2</v>
      </c>
      <c r="K306" s="7">
        <v>1.48</v>
      </c>
    </row>
    <row r="307" spans="1:11" x14ac:dyDescent="0.3">
      <c r="A307" s="2">
        <v>41791</v>
      </c>
      <c r="B307" s="9">
        <f>MONTH(Table1[[#This Row],[Order Date]])</f>
        <v>6</v>
      </c>
      <c r="C307" s="9">
        <f>YEAR(Table1[[#This Row],[Order Date]])</f>
        <v>2014</v>
      </c>
      <c r="D307" t="s">
        <v>32</v>
      </c>
      <c r="E307" t="s">
        <v>33</v>
      </c>
      <c r="F307" t="s">
        <v>39</v>
      </c>
      <c r="G307" t="s">
        <v>40</v>
      </c>
      <c r="H307" t="s">
        <v>41</v>
      </c>
      <c r="I307" s="7">
        <v>391.98</v>
      </c>
      <c r="J307" s="8">
        <v>2</v>
      </c>
      <c r="K307" s="7">
        <v>113.67</v>
      </c>
    </row>
    <row r="308" spans="1:11" x14ac:dyDescent="0.3">
      <c r="A308" s="2">
        <v>41791</v>
      </c>
      <c r="B308" s="9">
        <f>MONTH(Table1[[#This Row],[Order Date]])</f>
        <v>6</v>
      </c>
      <c r="C308" s="9">
        <f>YEAR(Table1[[#This Row],[Order Date]])</f>
        <v>2014</v>
      </c>
      <c r="D308" t="s">
        <v>32</v>
      </c>
      <c r="E308" t="s">
        <v>33</v>
      </c>
      <c r="F308" t="s">
        <v>39</v>
      </c>
      <c r="G308" t="s">
        <v>40</v>
      </c>
      <c r="H308" t="s">
        <v>42</v>
      </c>
      <c r="I308" s="7">
        <v>755.96</v>
      </c>
      <c r="J308" s="8">
        <v>4</v>
      </c>
      <c r="K308" s="7">
        <v>204.11</v>
      </c>
    </row>
    <row r="309" spans="1:11" x14ac:dyDescent="0.3">
      <c r="A309" s="2">
        <v>41791</v>
      </c>
      <c r="B309" s="9">
        <f>MONTH(Table1[[#This Row],[Order Date]])</f>
        <v>6</v>
      </c>
      <c r="C309" s="9">
        <f>YEAR(Table1[[#This Row],[Order Date]])</f>
        <v>2014</v>
      </c>
      <c r="D309" t="s">
        <v>32</v>
      </c>
      <c r="E309" t="s">
        <v>33</v>
      </c>
      <c r="F309" t="s">
        <v>11</v>
      </c>
      <c r="G309" t="s">
        <v>43</v>
      </c>
      <c r="H309" t="s">
        <v>44</v>
      </c>
      <c r="I309" s="7">
        <v>31.12</v>
      </c>
      <c r="J309" s="8">
        <v>4</v>
      </c>
      <c r="K309" s="7">
        <v>0.31</v>
      </c>
    </row>
    <row r="310" spans="1:11" x14ac:dyDescent="0.3">
      <c r="A310" s="2">
        <v>41791</v>
      </c>
      <c r="B310" s="9">
        <f>MONTH(Table1[[#This Row],[Order Date]])</f>
        <v>6</v>
      </c>
      <c r="C310" s="9">
        <f>YEAR(Table1[[#This Row],[Order Date]])</f>
        <v>2014</v>
      </c>
      <c r="D310" t="s">
        <v>32</v>
      </c>
      <c r="E310" t="s">
        <v>33</v>
      </c>
      <c r="F310" t="s">
        <v>11</v>
      </c>
      <c r="G310" t="s">
        <v>12</v>
      </c>
      <c r="H310" t="s">
        <v>45</v>
      </c>
      <c r="I310" s="7">
        <v>6.54</v>
      </c>
      <c r="J310" s="8">
        <v>1</v>
      </c>
      <c r="K310" s="7">
        <v>3.01</v>
      </c>
    </row>
    <row r="311" spans="1:11" x14ac:dyDescent="0.3">
      <c r="A311" s="2">
        <v>41792</v>
      </c>
      <c r="B311" s="9">
        <f>MONTH(Table1[[#This Row],[Order Date]])</f>
        <v>6</v>
      </c>
      <c r="C311" s="9">
        <f>YEAR(Table1[[#This Row],[Order Date]])</f>
        <v>2014</v>
      </c>
      <c r="D311" t="s">
        <v>165</v>
      </c>
      <c r="E311" t="s">
        <v>55</v>
      </c>
      <c r="F311" t="s">
        <v>11</v>
      </c>
      <c r="G311" t="s">
        <v>16</v>
      </c>
      <c r="H311" t="s">
        <v>166</v>
      </c>
      <c r="I311" s="7">
        <v>15</v>
      </c>
      <c r="J311" s="8">
        <v>4</v>
      </c>
      <c r="K311" s="7">
        <v>7.2</v>
      </c>
    </row>
    <row r="312" spans="1:11" x14ac:dyDescent="0.3">
      <c r="A312" s="2">
        <v>41792</v>
      </c>
      <c r="B312" s="9">
        <f>MONTH(Table1[[#This Row],[Order Date]])</f>
        <v>6</v>
      </c>
      <c r="C312" s="9">
        <f>YEAR(Table1[[#This Row],[Order Date]])</f>
        <v>2014</v>
      </c>
      <c r="D312" t="s">
        <v>165</v>
      </c>
      <c r="E312" t="s">
        <v>55</v>
      </c>
      <c r="F312" t="s">
        <v>39</v>
      </c>
      <c r="G312" t="s">
        <v>40</v>
      </c>
      <c r="H312" t="s">
        <v>167</v>
      </c>
      <c r="I312" s="7">
        <v>161.61000000000001</v>
      </c>
      <c r="J312" s="8">
        <v>1</v>
      </c>
      <c r="K312" s="7">
        <v>42.02</v>
      </c>
    </row>
    <row r="313" spans="1:11" x14ac:dyDescent="0.3">
      <c r="A313" s="2">
        <v>41792</v>
      </c>
      <c r="B313" s="9">
        <f>MONTH(Table1[[#This Row],[Order Date]])</f>
        <v>6</v>
      </c>
      <c r="C313" s="9">
        <f>YEAR(Table1[[#This Row],[Order Date]])</f>
        <v>2014</v>
      </c>
      <c r="D313" t="s">
        <v>85</v>
      </c>
      <c r="E313" t="s">
        <v>15</v>
      </c>
      <c r="F313" t="s">
        <v>11</v>
      </c>
      <c r="G313" t="s">
        <v>20</v>
      </c>
      <c r="H313" t="s">
        <v>169</v>
      </c>
      <c r="I313" s="7">
        <v>8.9499999999999993</v>
      </c>
      <c r="J313" s="8">
        <v>2</v>
      </c>
      <c r="K313" s="7">
        <v>-14.77</v>
      </c>
    </row>
    <row r="314" spans="1:11" x14ac:dyDescent="0.3">
      <c r="A314" s="2">
        <v>41794</v>
      </c>
      <c r="B314" s="9">
        <f>MONTH(Table1[[#This Row],[Order Date]])</f>
        <v>6</v>
      </c>
      <c r="C314" s="9">
        <f>YEAR(Table1[[#This Row],[Order Date]])</f>
        <v>2014</v>
      </c>
      <c r="D314" t="s">
        <v>128</v>
      </c>
      <c r="E314" t="s">
        <v>23</v>
      </c>
      <c r="F314" t="s">
        <v>11</v>
      </c>
      <c r="G314" t="s">
        <v>194</v>
      </c>
      <c r="H314" t="s">
        <v>458</v>
      </c>
      <c r="I314" s="7">
        <v>10.3</v>
      </c>
      <c r="J314" s="8">
        <v>1</v>
      </c>
      <c r="K314" s="7">
        <v>-2.19</v>
      </c>
    </row>
    <row r="315" spans="1:11" x14ac:dyDescent="0.3">
      <c r="A315" s="2">
        <v>41794</v>
      </c>
      <c r="B315" s="9">
        <f>MONTH(Table1[[#This Row],[Order Date]])</f>
        <v>6</v>
      </c>
      <c r="C315" s="9">
        <f>YEAR(Table1[[#This Row],[Order Date]])</f>
        <v>2014</v>
      </c>
      <c r="D315" t="s">
        <v>461</v>
      </c>
      <c r="E315" t="s">
        <v>158</v>
      </c>
      <c r="F315" t="s">
        <v>34</v>
      </c>
      <c r="G315" t="s">
        <v>140</v>
      </c>
      <c r="H315" t="s">
        <v>462</v>
      </c>
      <c r="I315" s="7">
        <v>653.54999999999995</v>
      </c>
      <c r="J315" s="8">
        <v>3</v>
      </c>
      <c r="K315" s="7">
        <v>111.1</v>
      </c>
    </row>
    <row r="316" spans="1:11" x14ac:dyDescent="0.3">
      <c r="A316" s="2">
        <v>41794</v>
      </c>
      <c r="B316" s="9">
        <f>MONTH(Table1[[#This Row],[Order Date]])</f>
        <v>6</v>
      </c>
      <c r="C316" s="9">
        <f>YEAR(Table1[[#This Row],[Order Date]])</f>
        <v>2014</v>
      </c>
      <c r="D316" t="s">
        <v>461</v>
      </c>
      <c r="E316" t="s">
        <v>158</v>
      </c>
      <c r="F316" t="s">
        <v>39</v>
      </c>
      <c r="G316" t="s">
        <v>52</v>
      </c>
      <c r="H316" t="s">
        <v>463</v>
      </c>
      <c r="I316" s="7">
        <v>33.9</v>
      </c>
      <c r="J316" s="8">
        <v>2</v>
      </c>
      <c r="K316" s="7">
        <v>2.0299999999999998</v>
      </c>
    </row>
    <row r="317" spans="1:11" x14ac:dyDescent="0.3">
      <c r="A317" s="2">
        <v>41794</v>
      </c>
      <c r="B317" s="9">
        <f>MONTH(Table1[[#This Row],[Order Date]])</f>
        <v>6</v>
      </c>
      <c r="C317" s="9">
        <f>YEAR(Table1[[#This Row],[Order Date]])</f>
        <v>2014</v>
      </c>
      <c r="D317" t="s">
        <v>464</v>
      </c>
      <c r="E317" t="s">
        <v>27</v>
      </c>
      <c r="F317" t="s">
        <v>34</v>
      </c>
      <c r="G317" t="s">
        <v>47</v>
      </c>
      <c r="H317" t="s">
        <v>465</v>
      </c>
      <c r="I317" s="7">
        <v>91.96</v>
      </c>
      <c r="J317" s="8">
        <v>2</v>
      </c>
      <c r="K317" s="7">
        <v>15.63</v>
      </c>
    </row>
    <row r="318" spans="1:11" x14ac:dyDescent="0.3">
      <c r="A318" s="2">
        <v>41794</v>
      </c>
      <c r="B318" s="9">
        <f>MONTH(Table1[[#This Row],[Order Date]])</f>
        <v>6</v>
      </c>
      <c r="C318" s="9">
        <f>YEAR(Table1[[#This Row],[Order Date]])</f>
        <v>2014</v>
      </c>
      <c r="D318" t="s">
        <v>464</v>
      </c>
      <c r="E318" t="s">
        <v>27</v>
      </c>
      <c r="F318" t="s">
        <v>34</v>
      </c>
      <c r="G318" t="s">
        <v>47</v>
      </c>
      <c r="H318" t="s">
        <v>466</v>
      </c>
      <c r="I318" s="7">
        <v>33.11</v>
      </c>
      <c r="J318" s="8">
        <v>7</v>
      </c>
      <c r="K318" s="7">
        <v>12.91</v>
      </c>
    </row>
    <row r="319" spans="1:11" x14ac:dyDescent="0.3">
      <c r="A319" s="2">
        <v>41794</v>
      </c>
      <c r="B319" s="9">
        <f>MONTH(Table1[[#This Row],[Order Date]])</f>
        <v>6</v>
      </c>
      <c r="C319" s="9">
        <f>YEAR(Table1[[#This Row],[Order Date]])</f>
        <v>2014</v>
      </c>
      <c r="D319" t="s">
        <v>464</v>
      </c>
      <c r="E319" t="s">
        <v>27</v>
      </c>
      <c r="F319" t="s">
        <v>11</v>
      </c>
      <c r="G319" t="s">
        <v>12</v>
      </c>
      <c r="H319" t="s">
        <v>467</v>
      </c>
      <c r="I319" s="7">
        <v>19.440000000000001</v>
      </c>
      <c r="J319" s="8">
        <v>3</v>
      </c>
      <c r="K319" s="7">
        <v>9.33</v>
      </c>
    </row>
    <row r="320" spans="1:11" x14ac:dyDescent="0.3">
      <c r="A320" s="2">
        <v>41794</v>
      </c>
      <c r="B320" s="9">
        <f>MONTH(Table1[[#This Row],[Order Date]])</f>
        <v>6</v>
      </c>
      <c r="C320" s="9">
        <f>YEAR(Table1[[#This Row],[Order Date]])</f>
        <v>2014</v>
      </c>
      <c r="D320" t="s">
        <v>469</v>
      </c>
      <c r="E320" t="s">
        <v>27</v>
      </c>
      <c r="F320" t="s">
        <v>11</v>
      </c>
      <c r="G320" t="s">
        <v>20</v>
      </c>
      <c r="H320" t="s">
        <v>471</v>
      </c>
      <c r="I320" s="7">
        <v>65.569999999999993</v>
      </c>
      <c r="J320" s="8">
        <v>2</v>
      </c>
      <c r="K320" s="7">
        <v>23.77</v>
      </c>
    </row>
    <row r="321" spans="1:11" x14ac:dyDescent="0.3">
      <c r="A321" s="2">
        <v>41795</v>
      </c>
      <c r="B321" s="9">
        <f>MONTH(Table1[[#This Row],[Order Date]])</f>
        <v>6</v>
      </c>
      <c r="C321" s="9">
        <f>YEAR(Table1[[#This Row],[Order Date]])</f>
        <v>2014</v>
      </c>
      <c r="D321" t="s">
        <v>615</v>
      </c>
      <c r="E321" t="s">
        <v>27</v>
      </c>
      <c r="F321" t="s">
        <v>11</v>
      </c>
      <c r="G321" t="s">
        <v>16</v>
      </c>
      <c r="H321" t="s">
        <v>215</v>
      </c>
      <c r="I321" s="7">
        <v>5.78</v>
      </c>
      <c r="J321" s="8">
        <v>2</v>
      </c>
      <c r="K321" s="7">
        <v>2.72</v>
      </c>
    </row>
    <row r="322" spans="1:11" x14ac:dyDescent="0.3">
      <c r="A322" s="2">
        <v>41796</v>
      </c>
      <c r="B322" s="9">
        <f>MONTH(Table1[[#This Row],[Order Date]])</f>
        <v>6</v>
      </c>
      <c r="C322" s="9">
        <f>YEAR(Table1[[#This Row],[Order Date]])</f>
        <v>2014</v>
      </c>
      <c r="D322" t="s">
        <v>759</v>
      </c>
      <c r="E322" t="s">
        <v>144</v>
      </c>
      <c r="F322" t="s">
        <v>11</v>
      </c>
      <c r="G322" t="s">
        <v>24</v>
      </c>
      <c r="H322" t="s">
        <v>760</v>
      </c>
      <c r="I322" s="7">
        <v>13.36</v>
      </c>
      <c r="J322" s="8">
        <v>2</v>
      </c>
      <c r="K322" s="7">
        <v>4.9400000000000004</v>
      </c>
    </row>
    <row r="323" spans="1:11" x14ac:dyDescent="0.3">
      <c r="A323" s="2">
        <v>41796</v>
      </c>
      <c r="B323" s="9">
        <f>MONTH(Table1[[#This Row],[Order Date]])</f>
        <v>6</v>
      </c>
      <c r="C323" s="9">
        <f>YEAR(Table1[[#This Row],[Order Date]])</f>
        <v>2014</v>
      </c>
      <c r="D323" t="s">
        <v>761</v>
      </c>
      <c r="E323" t="s">
        <v>144</v>
      </c>
      <c r="F323" t="s">
        <v>11</v>
      </c>
      <c r="G323" t="s">
        <v>20</v>
      </c>
      <c r="H323" t="s">
        <v>762</v>
      </c>
      <c r="I323" s="7">
        <v>149.54</v>
      </c>
      <c r="J323" s="8">
        <v>9</v>
      </c>
      <c r="K323" s="7">
        <v>50.47</v>
      </c>
    </row>
    <row r="324" spans="1:11" x14ac:dyDescent="0.3">
      <c r="A324" s="2">
        <v>41796</v>
      </c>
      <c r="B324" s="9">
        <f>MONTH(Table1[[#This Row],[Order Date]])</f>
        <v>6</v>
      </c>
      <c r="C324" s="9">
        <f>YEAR(Table1[[#This Row],[Order Date]])</f>
        <v>2014</v>
      </c>
      <c r="D324" t="s">
        <v>761</v>
      </c>
      <c r="E324" t="s">
        <v>144</v>
      </c>
      <c r="F324" t="s">
        <v>11</v>
      </c>
      <c r="G324" t="s">
        <v>194</v>
      </c>
      <c r="H324" t="s">
        <v>763</v>
      </c>
      <c r="I324" s="7">
        <v>17.14</v>
      </c>
      <c r="J324" s="8">
        <v>2</v>
      </c>
      <c r="K324" s="7">
        <v>4.46</v>
      </c>
    </row>
    <row r="325" spans="1:11" x14ac:dyDescent="0.3">
      <c r="A325" s="2">
        <v>41796</v>
      </c>
      <c r="B325" s="9">
        <f>MONTH(Table1[[#This Row],[Order Date]])</f>
        <v>6</v>
      </c>
      <c r="C325" s="9">
        <f>YEAR(Table1[[#This Row],[Order Date]])</f>
        <v>2014</v>
      </c>
      <c r="D325" t="s">
        <v>761</v>
      </c>
      <c r="E325" t="s">
        <v>144</v>
      </c>
      <c r="F325" t="s">
        <v>34</v>
      </c>
      <c r="G325" t="s">
        <v>140</v>
      </c>
      <c r="H325" t="s">
        <v>764</v>
      </c>
      <c r="I325" s="7">
        <v>991.76</v>
      </c>
      <c r="J325" s="8">
        <v>3</v>
      </c>
      <c r="K325" s="7">
        <v>-347.12</v>
      </c>
    </row>
    <row r="326" spans="1:11" x14ac:dyDescent="0.3">
      <c r="A326" s="2">
        <v>41796</v>
      </c>
      <c r="B326" s="9">
        <f>MONTH(Table1[[#This Row],[Order Date]])</f>
        <v>6</v>
      </c>
      <c r="C326" s="9">
        <f>YEAR(Table1[[#This Row],[Order Date]])</f>
        <v>2014</v>
      </c>
      <c r="D326" t="s">
        <v>765</v>
      </c>
      <c r="E326" t="s">
        <v>15</v>
      </c>
      <c r="F326" t="s">
        <v>11</v>
      </c>
      <c r="G326" t="s">
        <v>63</v>
      </c>
      <c r="H326" t="s">
        <v>766</v>
      </c>
      <c r="I326" s="7">
        <v>13.98</v>
      </c>
      <c r="J326" s="8">
        <v>2</v>
      </c>
      <c r="K326" s="7">
        <v>4.72</v>
      </c>
    </row>
    <row r="327" spans="1:11" x14ac:dyDescent="0.3">
      <c r="A327" s="2">
        <v>41796</v>
      </c>
      <c r="B327" s="9">
        <f>MONTH(Table1[[#This Row],[Order Date]])</f>
        <v>6</v>
      </c>
      <c r="C327" s="9">
        <f>YEAR(Table1[[#This Row],[Order Date]])</f>
        <v>2014</v>
      </c>
      <c r="D327" t="s">
        <v>767</v>
      </c>
      <c r="E327" t="s">
        <v>10</v>
      </c>
      <c r="F327" t="s">
        <v>11</v>
      </c>
      <c r="G327" t="s">
        <v>16</v>
      </c>
      <c r="H327" t="s">
        <v>89</v>
      </c>
      <c r="I327" s="7">
        <v>100.24</v>
      </c>
      <c r="J327" s="8">
        <v>10</v>
      </c>
      <c r="K327" s="7">
        <v>33.83</v>
      </c>
    </row>
    <row r="328" spans="1:11" x14ac:dyDescent="0.3">
      <c r="A328" s="2">
        <v>41796</v>
      </c>
      <c r="B328" s="9">
        <f>MONTH(Table1[[#This Row],[Order Date]])</f>
        <v>6</v>
      </c>
      <c r="C328" s="9">
        <f>YEAR(Table1[[#This Row],[Order Date]])</f>
        <v>2014</v>
      </c>
      <c r="D328" t="s">
        <v>508</v>
      </c>
      <c r="E328" t="s">
        <v>120</v>
      </c>
      <c r="F328" t="s">
        <v>11</v>
      </c>
      <c r="G328" t="s">
        <v>20</v>
      </c>
      <c r="H328" t="s">
        <v>768</v>
      </c>
      <c r="I328" s="7">
        <v>1.37</v>
      </c>
      <c r="J328" s="8">
        <v>1</v>
      </c>
      <c r="K328" s="7">
        <v>-0.91</v>
      </c>
    </row>
    <row r="329" spans="1:11" x14ac:dyDescent="0.3">
      <c r="A329" s="2">
        <v>41796</v>
      </c>
      <c r="B329" s="9">
        <f>MONTH(Table1[[#This Row],[Order Date]])</f>
        <v>6</v>
      </c>
      <c r="C329" s="9">
        <f>YEAR(Table1[[#This Row],[Order Date]])</f>
        <v>2014</v>
      </c>
      <c r="D329" t="s">
        <v>508</v>
      </c>
      <c r="E329" t="s">
        <v>120</v>
      </c>
      <c r="F329" t="s">
        <v>11</v>
      </c>
      <c r="G329" t="s">
        <v>12</v>
      </c>
      <c r="H329" t="s">
        <v>698</v>
      </c>
      <c r="I329" s="7">
        <v>62.02</v>
      </c>
      <c r="J329" s="8">
        <v>2</v>
      </c>
      <c r="K329" s="7">
        <v>22.48</v>
      </c>
    </row>
    <row r="330" spans="1:11" x14ac:dyDescent="0.3">
      <c r="A330" s="2">
        <v>41797</v>
      </c>
      <c r="B330" s="9">
        <f>MONTH(Table1[[#This Row],[Order Date]])</f>
        <v>6</v>
      </c>
      <c r="C330" s="9">
        <f>YEAR(Table1[[#This Row],[Order Date]])</f>
        <v>2014</v>
      </c>
      <c r="D330" t="s">
        <v>893</v>
      </c>
      <c r="E330" t="s">
        <v>144</v>
      </c>
      <c r="F330" t="s">
        <v>39</v>
      </c>
      <c r="G330" t="s">
        <v>590</v>
      </c>
      <c r="H330" t="s">
        <v>894</v>
      </c>
      <c r="I330" s="7">
        <v>559.99</v>
      </c>
      <c r="J330" s="8">
        <v>1</v>
      </c>
      <c r="K330" s="7">
        <v>175</v>
      </c>
    </row>
    <row r="331" spans="1:11" x14ac:dyDescent="0.3">
      <c r="A331" s="2">
        <v>41797</v>
      </c>
      <c r="B331" s="9">
        <f>MONTH(Table1[[#This Row],[Order Date]])</f>
        <v>6</v>
      </c>
      <c r="C331" s="9">
        <f>YEAR(Table1[[#This Row],[Order Date]])</f>
        <v>2014</v>
      </c>
      <c r="D331" t="s">
        <v>895</v>
      </c>
      <c r="E331" t="s">
        <v>27</v>
      </c>
      <c r="F331" t="s">
        <v>34</v>
      </c>
      <c r="G331" t="s">
        <v>35</v>
      </c>
      <c r="H331" t="s">
        <v>896</v>
      </c>
      <c r="I331" s="7">
        <v>478.48</v>
      </c>
      <c r="J331" s="8">
        <v>2</v>
      </c>
      <c r="K331" s="7">
        <v>47.85</v>
      </c>
    </row>
    <row r="332" spans="1:11" x14ac:dyDescent="0.3">
      <c r="A332" s="2">
        <v>41798</v>
      </c>
      <c r="B332" s="9">
        <f>MONTH(Table1[[#This Row],[Order Date]])</f>
        <v>6</v>
      </c>
      <c r="C332" s="9">
        <f>YEAR(Table1[[#This Row],[Order Date]])</f>
        <v>2014</v>
      </c>
      <c r="D332" t="s">
        <v>1053</v>
      </c>
      <c r="E332" t="s">
        <v>144</v>
      </c>
      <c r="F332" t="s">
        <v>39</v>
      </c>
      <c r="G332" t="s">
        <v>52</v>
      </c>
      <c r="H332" t="s">
        <v>1054</v>
      </c>
      <c r="I332" s="7">
        <v>199.98</v>
      </c>
      <c r="J332" s="8">
        <v>2</v>
      </c>
      <c r="K332" s="7">
        <v>83.99</v>
      </c>
    </row>
    <row r="333" spans="1:11" x14ac:dyDescent="0.3">
      <c r="A333" s="2">
        <v>41799</v>
      </c>
      <c r="B333" s="9">
        <f>MONTH(Table1[[#This Row],[Order Date]])</f>
        <v>6</v>
      </c>
      <c r="C333" s="9">
        <f>YEAR(Table1[[#This Row],[Order Date]])</f>
        <v>2014</v>
      </c>
      <c r="D333" t="s">
        <v>1186</v>
      </c>
      <c r="E333" t="s">
        <v>27</v>
      </c>
      <c r="F333" t="s">
        <v>34</v>
      </c>
      <c r="G333" t="s">
        <v>47</v>
      </c>
      <c r="H333" t="s">
        <v>777</v>
      </c>
      <c r="I333" s="7">
        <v>41.88</v>
      </c>
      <c r="J333" s="8">
        <v>6</v>
      </c>
      <c r="K333" s="7">
        <v>12.15</v>
      </c>
    </row>
    <row r="334" spans="1:11" x14ac:dyDescent="0.3">
      <c r="A334" s="2">
        <v>41800</v>
      </c>
      <c r="B334" s="9">
        <f>MONTH(Table1[[#This Row],[Order Date]])</f>
        <v>6</v>
      </c>
      <c r="C334" s="9">
        <f>YEAR(Table1[[#This Row],[Order Date]])</f>
        <v>2014</v>
      </c>
      <c r="D334" t="s">
        <v>107</v>
      </c>
      <c r="E334" t="s">
        <v>27</v>
      </c>
      <c r="F334" t="s">
        <v>39</v>
      </c>
      <c r="G334" t="s">
        <v>52</v>
      </c>
      <c r="H334" t="s">
        <v>1404</v>
      </c>
      <c r="I334" s="7">
        <v>9.09</v>
      </c>
      <c r="J334" s="8">
        <v>3</v>
      </c>
      <c r="K334" s="7">
        <v>1.91</v>
      </c>
    </row>
    <row r="335" spans="1:11" x14ac:dyDescent="0.3">
      <c r="A335" s="2">
        <v>41800</v>
      </c>
      <c r="B335" s="9">
        <f>MONTH(Table1[[#This Row],[Order Date]])</f>
        <v>6</v>
      </c>
      <c r="C335" s="9">
        <f>YEAR(Table1[[#This Row],[Order Date]])</f>
        <v>2014</v>
      </c>
      <c r="D335" t="s">
        <v>1400</v>
      </c>
      <c r="E335" t="s">
        <v>23</v>
      </c>
      <c r="F335" t="s">
        <v>11</v>
      </c>
      <c r="G335" t="s">
        <v>18</v>
      </c>
      <c r="H335" t="s">
        <v>1405</v>
      </c>
      <c r="I335" s="7">
        <v>83.92</v>
      </c>
      <c r="J335" s="8">
        <v>5</v>
      </c>
      <c r="K335" s="7">
        <v>-13.64</v>
      </c>
    </row>
    <row r="336" spans="1:11" x14ac:dyDescent="0.3">
      <c r="A336" s="2">
        <v>41800</v>
      </c>
      <c r="B336" s="9">
        <f>MONTH(Table1[[#This Row],[Order Date]])</f>
        <v>6</v>
      </c>
      <c r="C336" s="9">
        <f>YEAR(Table1[[#This Row],[Order Date]])</f>
        <v>2014</v>
      </c>
      <c r="D336" t="s">
        <v>1186</v>
      </c>
      <c r="E336" t="s">
        <v>126</v>
      </c>
      <c r="F336" t="s">
        <v>11</v>
      </c>
      <c r="G336" t="s">
        <v>18</v>
      </c>
      <c r="H336" t="s">
        <v>1406</v>
      </c>
      <c r="I336" s="7">
        <v>386.34</v>
      </c>
      <c r="J336" s="8">
        <v>2</v>
      </c>
      <c r="K336" s="7">
        <v>54.09</v>
      </c>
    </row>
    <row r="337" spans="1:11" x14ac:dyDescent="0.3">
      <c r="A337" s="2">
        <v>41802</v>
      </c>
      <c r="B337" s="9">
        <f>MONTH(Table1[[#This Row],[Order Date]])</f>
        <v>6</v>
      </c>
      <c r="C337" s="9">
        <f>YEAR(Table1[[#This Row],[Order Date]])</f>
        <v>2014</v>
      </c>
      <c r="D337" t="s">
        <v>1137</v>
      </c>
      <c r="E337" t="s">
        <v>91</v>
      </c>
      <c r="F337" t="s">
        <v>11</v>
      </c>
      <c r="G337" t="s">
        <v>18</v>
      </c>
      <c r="H337" t="s">
        <v>1707</v>
      </c>
      <c r="I337" s="7">
        <v>53.42</v>
      </c>
      <c r="J337" s="8">
        <v>3</v>
      </c>
      <c r="K337" s="7">
        <v>4.67</v>
      </c>
    </row>
    <row r="338" spans="1:11" x14ac:dyDescent="0.3">
      <c r="A338" s="2">
        <v>41802</v>
      </c>
      <c r="B338" s="9">
        <f>MONTH(Table1[[#This Row],[Order Date]])</f>
        <v>6</v>
      </c>
      <c r="C338" s="9">
        <f>YEAR(Table1[[#This Row],[Order Date]])</f>
        <v>2014</v>
      </c>
      <c r="D338" t="s">
        <v>1027</v>
      </c>
      <c r="E338" t="s">
        <v>15</v>
      </c>
      <c r="F338" t="s">
        <v>11</v>
      </c>
      <c r="G338" t="s">
        <v>92</v>
      </c>
      <c r="H338" t="s">
        <v>1708</v>
      </c>
      <c r="I338" s="7">
        <v>14.02</v>
      </c>
      <c r="J338" s="8">
        <v>4</v>
      </c>
      <c r="K338" s="7">
        <v>-31.54</v>
      </c>
    </row>
    <row r="339" spans="1:11" x14ac:dyDescent="0.3">
      <c r="A339" s="2">
        <v>41802</v>
      </c>
      <c r="B339" s="9">
        <f>MONTH(Table1[[#This Row],[Order Date]])</f>
        <v>6</v>
      </c>
      <c r="C339" s="9">
        <f>YEAR(Table1[[#This Row],[Order Date]])</f>
        <v>2014</v>
      </c>
      <c r="D339" t="s">
        <v>1027</v>
      </c>
      <c r="E339" t="s">
        <v>15</v>
      </c>
      <c r="F339" t="s">
        <v>39</v>
      </c>
      <c r="G339" t="s">
        <v>40</v>
      </c>
      <c r="H339" t="s">
        <v>1709</v>
      </c>
      <c r="I339" s="7">
        <v>35.04</v>
      </c>
      <c r="J339" s="8">
        <v>4</v>
      </c>
      <c r="K339" s="7">
        <v>-7.01</v>
      </c>
    </row>
    <row r="340" spans="1:11" x14ac:dyDescent="0.3">
      <c r="A340" s="2">
        <v>41802</v>
      </c>
      <c r="B340" s="9">
        <f>MONTH(Table1[[#This Row],[Order Date]])</f>
        <v>6</v>
      </c>
      <c r="C340" s="9">
        <f>YEAR(Table1[[#This Row],[Order Date]])</f>
        <v>2014</v>
      </c>
      <c r="D340" t="s">
        <v>1027</v>
      </c>
      <c r="E340" t="s">
        <v>15</v>
      </c>
      <c r="F340" t="s">
        <v>34</v>
      </c>
      <c r="G340" t="s">
        <v>47</v>
      </c>
      <c r="H340" t="s">
        <v>1068</v>
      </c>
      <c r="I340" s="7">
        <v>10.78</v>
      </c>
      <c r="J340" s="8">
        <v>3</v>
      </c>
      <c r="K340" s="7">
        <v>-4.8499999999999996</v>
      </c>
    </row>
    <row r="341" spans="1:11" x14ac:dyDescent="0.3">
      <c r="A341" s="2">
        <v>41802</v>
      </c>
      <c r="B341" s="9">
        <f>MONTH(Table1[[#This Row],[Order Date]])</f>
        <v>6</v>
      </c>
      <c r="C341" s="9">
        <f>YEAR(Table1[[#This Row],[Order Date]])</f>
        <v>2014</v>
      </c>
      <c r="D341" t="s">
        <v>1027</v>
      </c>
      <c r="E341" t="s">
        <v>15</v>
      </c>
      <c r="F341" t="s">
        <v>11</v>
      </c>
      <c r="G341" t="s">
        <v>20</v>
      </c>
      <c r="H341" t="s">
        <v>1341</v>
      </c>
      <c r="I341" s="7">
        <v>4.5999999999999996</v>
      </c>
      <c r="J341" s="8">
        <v>2</v>
      </c>
      <c r="K341" s="7">
        <v>-8.0500000000000007</v>
      </c>
    </row>
    <row r="342" spans="1:11" x14ac:dyDescent="0.3">
      <c r="A342" s="2">
        <v>41802</v>
      </c>
      <c r="B342" s="9">
        <f>MONTH(Table1[[#This Row],[Order Date]])</f>
        <v>6</v>
      </c>
      <c r="C342" s="9">
        <f>YEAR(Table1[[#This Row],[Order Date]])</f>
        <v>2014</v>
      </c>
      <c r="D342" t="s">
        <v>1027</v>
      </c>
      <c r="E342" t="s">
        <v>15</v>
      </c>
      <c r="F342" t="s">
        <v>11</v>
      </c>
      <c r="G342" t="s">
        <v>18</v>
      </c>
      <c r="H342" t="s">
        <v>1710</v>
      </c>
      <c r="I342" s="7">
        <v>35.17</v>
      </c>
      <c r="J342" s="8">
        <v>2</v>
      </c>
      <c r="K342" s="7">
        <v>-8.35</v>
      </c>
    </row>
    <row r="343" spans="1:11" x14ac:dyDescent="0.3">
      <c r="A343" s="2">
        <v>41802</v>
      </c>
      <c r="B343" s="9">
        <f>MONTH(Table1[[#This Row],[Order Date]])</f>
        <v>6</v>
      </c>
      <c r="C343" s="9">
        <f>YEAR(Table1[[#This Row],[Order Date]])</f>
        <v>2014</v>
      </c>
      <c r="D343" t="s">
        <v>476</v>
      </c>
      <c r="E343" t="s">
        <v>27</v>
      </c>
      <c r="F343" t="s">
        <v>11</v>
      </c>
      <c r="G343" t="s">
        <v>18</v>
      </c>
      <c r="H343" t="s">
        <v>1711</v>
      </c>
      <c r="I343" s="7">
        <v>1261.33</v>
      </c>
      <c r="J343" s="8">
        <v>7</v>
      </c>
      <c r="K343" s="7">
        <v>327.95</v>
      </c>
    </row>
    <row r="344" spans="1:11" x14ac:dyDescent="0.3">
      <c r="A344" s="2">
        <v>41802</v>
      </c>
      <c r="B344" s="9">
        <f>MONTH(Table1[[#This Row],[Order Date]])</f>
        <v>6</v>
      </c>
      <c r="C344" s="9">
        <f>YEAR(Table1[[#This Row],[Order Date]])</f>
        <v>2014</v>
      </c>
      <c r="D344" t="s">
        <v>1538</v>
      </c>
      <c r="E344" t="s">
        <v>117</v>
      </c>
      <c r="F344" t="s">
        <v>11</v>
      </c>
      <c r="G344" t="s">
        <v>12</v>
      </c>
      <c r="H344" t="s">
        <v>328</v>
      </c>
      <c r="I344" s="7">
        <v>42.21</v>
      </c>
      <c r="J344" s="8">
        <v>2</v>
      </c>
      <c r="K344" s="7">
        <v>13.72</v>
      </c>
    </row>
    <row r="345" spans="1:11" x14ac:dyDescent="0.3">
      <c r="A345" s="2">
        <v>41821</v>
      </c>
      <c r="B345" s="9">
        <f>MONTH(Table1[[#This Row],[Order Date]])</f>
        <v>7</v>
      </c>
      <c r="C345" s="9">
        <f>YEAR(Table1[[#This Row],[Order Date]])</f>
        <v>2014</v>
      </c>
      <c r="D345" t="s">
        <v>46</v>
      </c>
      <c r="E345" t="s">
        <v>10</v>
      </c>
      <c r="F345" t="s">
        <v>34</v>
      </c>
      <c r="G345" t="s">
        <v>47</v>
      </c>
      <c r="H345" t="s">
        <v>48</v>
      </c>
      <c r="I345" s="7">
        <v>76.73</v>
      </c>
      <c r="J345" s="8">
        <v>3</v>
      </c>
      <c r="K345" s="7">
        <v>-53.71</v>
      </c>
    </row>
    <row r="346" spans="1:11" x14ac:dyDescent="0.3">
      <c r="A346" s="2">
        <v>41821</v>
      </c>
      <c r="B346" s="9">
        <f>MONTH(Table1[[#This Row],[Order Date]])</f>
        <v>7</v>
      </c>
      <c r="C346" s="9">
        <f>YEAR(Table1[[#This Row],[Order Date]])</f>
        <v>2014</v>
      </c>
      <c r="D346" t="s">
        <v>46</v>
      </c>
      <c r="E346" t="s">
        <v>10</v>
      </c>
      <c r="F346" t="s">
        <v>11</v>
      </c>
      <c r="G346" t="s">
        <v>20</v>
      </c>
      <c r="H346" t="s">
        <v>49</v>
      </c>
      <c r="I346" s="7">
        <v>10.43</v>
      </c>
      <c r="J346" s="8">
        <v>7</v>
      </c>
      <c r="K346" s="7">
        <v>-18.25</v>
      </c>
    </row>
    <row r="347" spans="1:11" x14ac:dyDescent="0.3">
      <c r="A347" s="2">
        <v>41822</v>
      </c>
      <c r="B347" s="9">
        <f>MONTH(Table1[[#This Row],[Order Date]])</f>
        <v>7</v>
      </c>
      <c r="C347" s="9">
        <f>YEAR(Table1[[#This Row],[Order Date]])</f>
        <v>2014</v>
      </c>
      <c r="D347" t="s">
        <v>170</v>
      </c>
      <c r="E347" t="s">
        <v>171</v>
      </c>
      <c r="F347" t="s">
        <v>39</v>
      </c>
      <c r="G347" t="s">
        <v>52</v>
      </c>
      <c r="H347" t="s">
        <v>172</v>
      </c>
      <c r="I347" s="7">
        <v>115.36</v>
      </c>
      <c r="J347" s="8">
        <v>7</v>
      </c>
      <c r="K347" s="7">
        <v>49.6</v>
      </c>
    </row>
    <row r="348" spans="1:11" x14ac:dyDescent="0.3">
      <c r="A348" s="2">
        <v>41823</v>
      </c>
      <c r="B348" s="9">
        <f>MONTH(Table1[[#This Row],[Order Date]])</f>
        <v>7</v>
      </c>
      <c r="C348" s="9">
        <f>YEAR(Table1[[#This Row],[Order Date]])</f>
        <v>2014</v>
      </c>
      <c r="D348" t="s">
        <v>204</v>
      </c>
      <c r="E348" t="s">
        <v>158</v>
      </c>
      <c r="F348" t="s">
        <v>34</v>
      </c>
      <c r="G348" t="s">
        <v>35</v>
      </c>
      <c r="H348" t="s">
        <v>257</v>
      </c>
      <c r="I348" s="7">
        <v>48.71</v>
      </c>
      <c r="J348" s="8">
        <v>1</v>
      </c>
      <c r="K348" s="7">
        <v>5.48</v>
      </c>
    </row>
    <row r="349" spans="1:11" x14ac:dyDescent="0.3">
      <c r="A349" s="2">
        <v>41823</v>
      </c>
      <c r="B349" s="9">
        <f>MONTH(Table1[[#This Row],[Order Date]])</f>
        <v>7</v>
      </c>
      <c r="C349" s="9">
        <f>YEAR(Table1[[#This Row],[Order Date]])</f>
        <v>2014</v>
      </c>
      <c r="D349" t="s">
        <v>204</v>
      </c>
      <c r="E349" t="s">
        <v>158</v>
      </c>
      <c r="F349" t="s">
        <v>11</v>
      </c>
      <c r="G349" t="s">
        <v>24</v>
      </c>
      <c r="H349" t="s">
        <v>258</v>
      </c>
      <c r="I349" s="7">
        <v>17.940000000000001</v>
      </c>
      <c r="J349" s="8">
        <v>3</v>
      </c>
      <c r="K349" s="7">
        <v>4.66</v>
      </c>
    </row>
    <row r="350" spans="1:11" x14ac:dyDescent="0.3">
      <c r="A350" s="2">
        <v>41823</v>
      </c>
      <c r="B350" s="9">
        <f>MONTH(Table1[[#This Row],[Order Date]])</f>
        <v>7</v>
      </c>
      <c r="C350" s="9">
        <f>YEAR(Table1[[#This Row],[Order Date]])</f>
        <v>2014</v>
      </c>
      <c r="D350" t="s">
        <v>204</v>
      </c>
      <c r="E350" t="s">
        <v>158</v>
      </c>
      <c r="F350" t="s">
        <v>11</v>
      </c>
      <c r="G350" t="s">
        <v>18</v>
      </c>
      <c r="H350" t="s">
        <v>259</v>
      </c>
      <c r="I350" s="7">
        <v>242.94</v>
      </c>
      <c r="J350" s="8">
        <v>3</v>
      </c>
      <c r="K350" s="7">
        <v>4.8600000000000003</v>
      </c>
    </row>
    <row r="351" spans="1:11" x14ac:dyDescent="0.3">
      <c r="A351" s="2">
        <v>41823</v>
      </c>
      <c r="B351" s="9">
        <f>MONTH(Table1[[#This Row],[Order Date]])</f>
        <v>7</v>
      </c>
      <c r="C351" s="9">
        <f>YEAR(Table1[[#This Row],[Order Date]])</f>
        <v>2014</v>
      </c>
      <c r="D351" t="s">
        <v>260</v>
      </c>
      <c r="E351" t="s">
        <v>158</v>
      </c>
      <c r="F351" t="s">
        <v>11</v>
      </c>
      <c r="G351" t="s">
        <v>20</v>
      </c>
      <c r="H351" t="s">
        <v>261</v>
      </c>
      <c r="I351" s="7">
        <v>107.65</v>
      </c>
      <c r="J351" s="8">
        <v>2</v>
      </c>
      <c r="K351" s="7">
        <v>33.64</v>
      </c>
    </row>
    <row r="352" spans="1:11" x14ac:dyDescent="0.3">
      <c r="A352" s="2">
        <v>41823</v>
      </c>
      <c r="B352" s="9">
        <f>MONTH(Table1[[#This Row],[Order Date]])</f>
        <v>7</v>
      </c>
      <c r="C352" s="9">
        <f>YEAR(Table1[[#This Row],[Order Date]])</f>
        <v>2014</v>
      </c>
      <c r="D352" t="s">
        <v>262</v>
      </c>
      <c r="E352" t="s">
        <v>158</v>
      </c>
      <c r="F352" t="s">
        <v>11</v>
      </c>
      <c r="G352" t="s">
        <v>24</v>
      </c>
      <c r="H352" t="s">
        <v>263</v>
      </c>
      <c r="I352" s="7">
        <v>20.65</v>
      </c>
      <c r="J352" s="8">
        <v>5</v>
      </c>
      <c r="K352" s="7">
        <v>9.5</v>
      </c>
    </row>
    <row r="353" spans="1:11" x14ac:dyDescent="0.3">
      <c r="A353" s="2">
        <v>41823</v>
      </c>
      <c r="B353" s="9">
        <f>MONTH(Table1[[#This Row],[Order Date]])</f>
        <v>7</v>
      </c>
      <c r="C353" s="9">
        <f>YEAR(Table1[[#This Row],[Order Date]])</f>
        <v>2014</v>
      </c>
      <c r="D353" t="s">
        <v>262</v>
      </c>
      <c r="E353" t="s">
        <v>158</v>
      </c>
      <c r="F353" t="s">
        <v>11</v>
      </c>
      <c r="G353" t="s">
        <v>18</v>
      </c>
      <c r="H353" t="s">
        <v>264</v>
      </c>
      <c r="I353" s="7">
        <v>204.9</v>
      </c>
      <c r="J353" s="8">
        <v>5</v>
      </c>
      <c r="K353" s="7">
        <v>0</v>
      </c>
    </row>
    <row r="354" spans="1:11" x14ac:dyDescent="0.3">
      <c r="A354" s="2">
        <v>41823</v>
      </c>
      <c r="B354" s="9">
        <f>MONTH(Table1[[#This Row],[Order Date]])</f>
        <v>7</v>
      </c>
      <c r="C354" s="9">
        <f>YEAR(Table1[[#This Row],[Order Date]])</f>
        <v>2014</v>
      </c>
      <c r="D354" t="s">
        <v>262</v>
      </c>
      <c r="E354" t="s">
        <v>158</v>
      </c>
      <c r="F354" t="s">
        <v>34</v>
      </c>
      <c r="G354" t="s">
        <v>35</v>
      </c>
      <c r="H354" t="s">
        <v>265</v>
      </c>
      <c r="I354" s="7">
        <v>436.7</v>
      </c>
      <c r="J354" s="8">
        <v>6</v>
      </c>
      <c r="K354" s="7">
        <v>21.84</v>
      </c>
    </row>
    <row r="355" spans="1:11" x14ac:dyDescent="0.3">
      <c r="A355" s="2">
        <v>41823</v>
      </c>
      <c r="B355" s="9">
        <f>MONTH(Table1[[#This Row],[Order Date]])</f>
        <v>7</v>
      </c>
      <c r="C355" s="9">
        <f>YEAR(Table1[[#This Row],[Order Date]])</f>
        <v>2014</v>
      </c>
      <c r="D355" t="s">
        <v>262</v>
      </c>
      <c r="E355" t="s">
        <v>158</v>
      </c>
      <c r="F355" t="s">
        <v>34</v>
      </c>
      <c r="G355" t="s">
        <v>35</v>
      </c>
      <c r="H355" t="s">
        <v>266</v>
      </c>
      <c r="I355" s="7">
        <v>481.57</v>
      </c>
      <c r="J355" s="8">
        <v>2</v>
      </c>
      <c r="K355" s="7">
        <v>54.18</v>
      </c>
    </row>
    <row r="356" spans="1:11" x14ac:dyDescent="0.3">
      <c r="A356" s="2">
        <v>41824</v>
      </c>
      <c r="B356" s="9">
        <f>MONTH(Table1[[#This Row],[Order Date]])</f>
        <v>7</v>
      </c>
      <c r="C356" s="9">
        <f>YEAR(Table1[[#This Row],[Order Date]])</f>
        <v>2014</v>
      </c>
      <c r="D356" t="s">
        <v>473</v>
      </c>
      <c r="E356" t="s">
        <v>474</v>
      </c>
      <c r="F356" t="s">
        <v>34</v>
      </c>
      <c r="G356" t="s">
        <v>47</v>
      </c>
      <c r="H356" t="s">
        <v>475</v>
      </c>
      <c r="I356" s="7">
        <v>8.9600000000000009</v>
      </c>
      <c r="J356" s="8">
        <v>2</v>
      </c>
      <c r="K356" s="7">
        <v>2.78</v>
      </c>
    </row>
    <row r="357" spans="1:11" x14ac:dyDescent="0.3">
      <c r="A357" s="2">
        <v>41824</v>
      </c>
      <c r="B357" s="9">
        <f>MONTH(Table1[[#This Row],[Order Date]])</f>
        <v>7</v>
      </c>
      <c r="C357" s="9">
        <f>YEAR(Table1[[#This Row],[Order Date]])</f>
        <v>2014</v>
      </c>
      <c r="D357" t="s">
        <v>476</v>
      </c>
      <c r="E357" t="s">
        <v>70</v>
      </c>
      <c r="F357" t="s">
        <v>39</v>
      </c>
      <c r="G357" t="s">
        <v>40</v>
      </c>
      <c r="H357" t="s">
        <v>391</v>
      </c>
      <c r="I357" s="7">
        <v>629.95000000000005</v>
      </c>
      <c r="J357" s="8">
        <v>5</v>
      </c>
      <c r="K357" s="7">
        <v>163.79</v>
      </c>
    </row>
    <row r="358" spans="1:11" x14ac:dyDescent="0.3">
      <c r="A358" s="2">
        <v>41824</v>
      </c>
      <c r="B358" s="9">
        <f>MONTH(Table1[[#This Row],[Order Date]])</f>
        <v>7</v>
      </c>
      <c r="C358" s="9">
        <f>YEAR(Table1[[#This Row],[Order Date]])</f>
        <v>2014</v>
      </c>
      <c r="D358" t="s">
        <v>476</v>
      </c>
      <c r="E358" t="s">
        <v>70</v>
      </c>
      <c r="F358" t="s">
        <v>11</v>
      </c>
      <c r="G358" t="s">
        <v>12</v>
      </c>
      <c r="H358" t="s">
        <v>477</v>
      </c>
      <c r="I358" s="7">
        <v>122.97</v>
      </c>
      <c r="J358" s="8">
        <v>3</v>
      </c>
      <c r="K358" s="7">
        <v>60.26</v>
      </c>
    </row>
    <row r="359" spans="1:11" x14ac:dyDescent="0.3">
      <c r="A359" s="2">
        <v>41824</v>
      </c>
      <c r="B359" s="9">
        <f>MONTH(Table1[[#This Row],[Order Date]])</f>
        <v>7</v>
      </c>
      <c r="C359" s="9">
        <f>YEAR(Table1[[#This Row],[Order Date]])</f>
        <v>2014</v>
      </c>
      <c r="D359" t="s">
        <v>478</v>
      </c>
      <c r="E359" t="s">
        <v>30</v>
      </c>
      <c r="F359" t="s">
        <v>11</v>
      </c>
      <c r="G359" t="s">
        <v>12</v>
      </c>
      <c r="H359" t="s">
        <v>479</v>
      </c>
      <c r="I359" s="7">
        <v>58.32</v>
      </c>
      <c r="J359" s="8">
        <v>9</v>
      </c>
      <c r="K359" s="7">
        <v>27.99</v>
      </c>
    </row>
    <row r="360" spans="1:11" x14ac:dyDescent="0.3">
      <c r="A360" s="2">
        <v>41824</v>
      </c>
      <c r="B360" s="9">
        <f>MONTH(Table1[[#This Row],[Order Date]])</f>
        <v>7</v>
      </c>
      <c r="C360" s="9">
        <f>YEAR(Table1[[#This Row],[Order Date]])</f>
        <v>2014</v>
      </c>
      <c r="D360" t="s">
        <v>478</v>
      </c>
      <c r="E360" t="s">
        <v>30</v>
      </c>
      <c r="F360" t="s">
        <v>39</v>
      </c>
      <c r="G360" t="s">
        <v>40</v>
      </c>
      <c r="H360" t="s">
        <v>480</v>
      </c>
      <c r="I360" s="7">
        <v>200.97</v>
      </c>
      <c r="J360" s="8">
        <v>3</v>
      </c>
      <c r="K360" s="7">
        <v>50.24</v>
      </c>
    </row>
    <row r="361" spans="1:11" x14ac:dyDescent="0.3">
      <c r="A361" s="2">
        <v>41825</v>
      </c>
      <c r="B361" s="9">
        <f>MONTH(Table1[[#This Row],[Order Date]])</f>
        <v>7</v>
      </c>
      <c r="C361" s="9">
        <f>YEAR(Table1[[#This Row],[Order Date]])</f>
        <v>2014</v>
      </c>
      <c r="D361" t="s">
        <v>617</v>
      </c>
      <c r="E361" t="s">
        <v>422</v>
      </c>
      <c r="F361" t="s">
        <v>11</v>
      </c>
      <c r="G361" t="s">
        <v>20</v>
      </c>
      <c r="H361" t="s">
        <v>618</v>
      </c>
      <c r="I361" s="7">
        <v>16.14</v>
      </c>
      <c r="J361" s="8">
        <v>3</v>
      </c>
      <c r="K361" s="7">
        <v>7.91</v>
      </c>
    </row>
    <row r="362" spans="1:11" x14ac:dyDescent="0.3">
      <c r="A362" s="2">
        <v>41825</v>
      </c>
      <c r="B362" s="9">
        <f>MONTH(Table1[[#This Row],[Order Date]])</f>
        <v>7</v>
      </c>
      <c r="C362" s="9">
        <f>YEAR(Table1[[#This Row],[Order Date]])</f>
        <v>2014</v>
      </c>
      <c r="D362" t="s">
        <v>617</v>
      </c>
      <c r="E362" t="s">
        <v>422</v>
      </c>
      <c r="F362" t="s">
        <v>34</v>
      </c>
      <c r="G362" t="s">
        <v>140</v>
      </c>
      <c r="H362" t="s">
        <v>141</v>
      </c>
      <c r="I362" s="7">
        <v>194.25</v>
      </c>
      <c r="J362" s="8">
        <v>2</v>
      </c>
      <c r="K362" s="7">
        <v>-38.85</v>
      </c>
    </row>
    <row r="363" spans="1:11" x14ac:dyDescent="0.3">
      <c r="A363" s="2">
        <v>41825</v>
      </c>
      <c r="B363" s="9">
        <f>MONTH(Table1[[#This Row],[Order Date]])</f>
        <v>7</v>
      </c>
      <c r="C363" s="9">
        <f>YEAR(Table1[[#This Row],[Order Date]])</f>
        <v>2014</v>
      </c>
      <c r="D363" t="s">
        <v>617</v>
      </c>
      <c r="E363" t="s">
        <v>422</v>
      </c>
      <c r="F363" t="s">
        <v>11</v>
      </c>
      <c r="G363" t="s">
        <v>24</v>
      </c>
      <c r="H363" t="s">
        <v>619</v>
      </c>
      <c r="I363" s="7">
        <v>8.64</v>
      </c>
      <c r="J363" s="8">
        <v>3</v>
      </c>
      <c r="K363" s="7">
        <v>2.5099999999999998</v>
      </c>
    </row>
    <row r="364" spans="1:11" x14ac:dyDescent="0.3">
      <c r="A364" s="2">
        <v>41825</v>
      </c>
      <c r="B364" s="9">
        <f>MONTH(Table1[[#This Row],[Order Date]])</f>
        <v>7</v>
      </c>
      <c r="C364" s="9">
        <f>YEAR(Table1[[#This Row],[Order Date]])</f>
        <v>2014</v>
      </c>
      <c r="D364" t="s">
        <v>617</v>
      </c>
      <c r="E364" t="s">
        <v>422</v>
      </c>
      <c r="F364" t="s">
        <v>34</v>
      </c>
      <c r="G364" t="s">
        <v>35</v>
      </c>
      <c r="H364" t="s">
        <v>620</v>
      </c>
      <c r="I364" s="7">
        <v>872.32</v>
      </c>
      <c r="J364" s="8">
        <v>4</v>
      </c>
      <c r="K364" s="7">
        <v>244.25</v>
      </c>
    </row>
    <row r="365" spans="1:11" x14ac:dyDescent="0.3">
      <c r="A365" s="2">
        <v>41827</v>
      </c>
      <c r="B365" s="9">
        <f>MONTH(Table1[[#This Row],[Order Date]])</f>
        <v>7</v>
      </c>
      <c r="C365" s="9">
        <f>YEAR(Table1[[#This Row],[Order Date]])</f>
        <v>2014</v>
      </c>
      <c r="D365" t="s">
        <v>524</v>
      </c>
      <c r="E365" t="s">
        <v>23</v>
      </c>
      <c r="F365" t="s">
        <v>34</v>
      </c>
      <c r="G365" t="s">
        <v>47</v>
      </c>
      <c r="H365" t="s">
        <v>898</v>
      </c>
      <c r="I365" s="7">
        <v>69.010000000000005</v>
      </c>
      <c r="J365" s="8">
        <v>2</v>
      </c>
      <c r="K365" s="7">
        <v>12.08</v>
      </c>
    </row>
    <row r="366" spans="1:11" x14ac:dyDescent="0.3">
      <c r="A366" s="2">
        <v>41829</v>
      </c>
      <c r="B366" s="9">
        <f>MONTH(Table1[[#This Row],[Order Date]])</f>
        <v>7</v>
      </c>
      <c r="C366" s="9">
        <f>YEAR(Table1[[#This Row],[Order Date]])</f>
        <v>2014</v>
      </c>
      <c r="D366" t="s">
        <v>624</v>
      </c>
      <c r="E366" t="s">
        <v>23</v>
      </c>
      <c r="F366" t="s">
        <v>39</v>
      </c>
      <c r="G366" t="s">
        <v>40</v>
      </c>
      <c r="H366" t="s">
        <v>1187</v>
      </c>
      <c r="I366" s="7">
        <v>32.380000000000003</v>
      </c>
      <c r="J366" s="8">
        <v>3</v>
      </c>
      <c r="K366" s="7">
        <v>4.32</v>
      </c>
    </row>
    <row r="367" spans="1:11" x14ac:dyDescent="0.3">
      <c r="A367" s="2">
        <v>41829</v>
      </c>
      <c r="B367" s="9">
        <f>MONTH(Table1[[#This Row],[Order Date]])</f>
        <v>7</v>
      </c>
      <c r="C367" s="9">
        <f>YEAR(Table1[[#This Row],[Order Date]])</f>
        <v>2014</v>
      </c>
      <c r="D367" t="s">
        <v>624</v>
      </c>
      <c r="E367" t="s">
        <v>23</v>
      </c>
      <c r="F367" t="s">
        <v>39</v>
      </c>
      <c r="G367" t="s">
        <v>293</v>
      </c>
      <c r="H367" t="s">
        <v>1189</v>
      </c>
      <c r="I367" s="7">
        <v>399.54</v>
      </c>
      <c r="J367" s="8">
        <v>4</v>
      </c>
      <c r="K367" s="7">
        <v>-559.36</v>
      </c>
    </row>
    <row r="368" spans="1:11" x14ac:dyDescent="0.3">
      <c r="A368" s="2">
        <v>41829</v>
      </c>
      <c r="B368" s="9">
        <f>MONTH(Table1[[#This Row],[Order Date]])</f>
        <v>7</v>
      </c>
      <c r="C368" s="9">
        <f>YEAR(Table1[[#This Row],[Order Date]])</f>
        <v>2014</v>
      </c>
      <c r="D368" t="s">
        <v>119</v>
      </c>
      <c r="E368" t="s">
        <v>819</v>
      </c>
      <c r="F368" t="s">
        <v>34</v>
      </c>
      <c r="G368" t="s">
        <v>47</v>
      </c>
      <c r="H368" t="s">
        <v>333</v>
      </c>
      <c r="I368" s="7">
        <v>57.69</v>
      </c>
      <c r="J368" s="8">
        <v>3</v>
      </c>
      <c r="K368" s="7">
        <v>23.65</v>
      </c>
    </row>
    <row r="369" spans="1:11" x14ac:dyDescent="0.3">
      <c r="A369" s="2">
        <v>41829</v>
      </c>
      <c r="B369" s="9">
        <f>MONTH(Table1[[#This Row],[Order Date]])</f>
        <v>7</v>
      </c>
      <c r="C369" s="9">
        <f>YEAR(Table1[[#This Row],[Order Date]])</f>
        <v>2014</v>
      </c>
      <c r="D369" t="s">
        <v>119</v>
      </c>
      <c r="E369" t="s">
        <v>819</v>
      </c>
      <c r="F369" t="s">
        <v>11</v>
      </c>
      <c r="G369" t="s">
        <v>20</v>
      </c>
      <c r="H369" t="s">
        <v>1190</v>
      </c>
      <c r="I369" s="7">
        <v>42.81</v>
      </c>
      <c r="J369" s="8">
        <v>3</v>
      </c>
      <c r="K369" s="7">
        <v>20.12</v>
      </c>
    </row>
    <row r="370" spans="1:11" x14ac:dyDescent="0.3">
      <c r="A370" s="2">
        <v>41829</v>
      </c>
      <c r="B370" s="9">
        <f>MONTH(Table1[[#This Row],[Order Date]])</f>
        <v>7</v>
      </c>
      <c r="C370" s="9">
        <f>YEAR(Table1[[#This Row],[Order Date]])</f>
        <v>2014</v>
      </c>
      <c r="D370" t="s">
        <v>119</v>
      </c>
      <c r="E370" t="s">
        <v>819</v>
      </c>
      <c r="F370" t="s">
        <v>34</v>
      </c>
      <c r="G370" t="s">
        <v>47</v>
      </c>
      <c r="H370" t="s">
        <v>1192</v>
      </c>
      <c r="I370" s="7">
        <v>821.88</v>
      </c>
      <c r="J370" s="8">
        <v>6</v>
      </c>
      <c r="K370" s="7">
        <v>213.69</v>
      </c>
    </row>
    <row r="371" spans="1:11" x14ac:dyDescent="0.3">
      <c r="A371" s="2">
        <v>41829</v>
      </c>
      <c r="B371" s="9">
        <f>MONTH(Table1[[#This Row],[Order Date]])</f>
        <v>7</v>
      </c>
      <c r="C371" s="9">
        <f>YEAR(Table1[[#This Row],[Order Date]])</f>
        <v>2014</v>
      </c>
      <c r="D371" t="s">
        <v>119</v>
      </c>
      <c r="E371" t="s">
        <v>819</v>
      </c>
      <c r="F371" t="s">
        <v>39</v>
      </c>
      <c r="G371" t="s">
        <v>40</v>
      </c>
      <c r="H371" t="s">
        <v>811</v>
      </c>
      <c r="I371" s="7">
        <v>104.85</v>
      </c>
      <c r="J371" s="8">
        <v>3</v>
      </c>
      <c r="K371" s="7">
        <v>28.31</v>
      </c>
    </row>
    <row r="372" spans="1:11" x14ac:dyDescent="0.3">
      <c r="A372" s="2">
        <v>41829</v>
      </c>
      <c r="B372" s="9">
        <f>MONTH(Table1[[#This Row],[Order Date]])</f>
        <v>7</v>
      </c>
      <c r="C372" s="9">
        <f>YEAR(Table1[[#This Row],[Order Date]])</f>
        <v>2014</v>
      </c>
      <c r="D372" t="s">
        <v>1193</v>
      </c>
      <c r="E372" t="s">
        <v>144</v>
      </c>
      <c r="F372" t="s">
        <v>39</v>
      </c>
      <c r="G372" t="s">
        <v>40</v>
      </c>
      <c r="H372" t="s">
        <v>1194</v>
      </c>
      <c r="I372" s="7">
        <v>377.97</v>
      </c>
      <c r="J372" s="8">
        <v>3</v>
      </c>
      <c r="K372" s="7">
        <v>109.61</v>
      </c>
    </row>
    <row r="373" spans="1:11" x14ac:dyDescent="0.3">
      <c r="A373" s="2">
        <v>41829</v>
      </c>
      <c r="B373" s="9">
        <f>MONTH(Table1[[#This Row],[Order Date]])</f>
        <v>7</v>
      </c>
      <c r="C373" s="9">
        <f>YEAR(Table1[[#This Row],[Order Date]])</f>
        <v>2014</v>
      </c>
      <c r="D373" t="s">
        <v>1195</v>
      </c>
      <c r="E373" t="s">
        <v>10</v>
      </c>
      <c r="F373" t="s">
        <v>39</v>
      </c>
      <c r="G373" t="s">
        <v>40</v>
      </c>
      <c r="H373" t="s">
        <v>1196</v>
      </c>
      <c r="I373" s="7">
        <v>196.78</v>
      </c>
      <c r="J373" s="8">
        <v>3</v>
      </c>
      <c r="K373" s="7">
        <v>14.76</v>
      </c>
    </row>
    <row r="374" spans="1:11" x14ac:dyDescent="0.3">
      <c r="A374" s="2">
        <v>41829</v>
      </c>
      <c r="B374" s="9">
        <f>MONTH(Table1[[#This Row],[Order Date]])</f>
        <v>7</v>
      </c>
      <c r="C374" s="9">
        <f>YEAR(Table1[[#This Row],[Order Date]])</f>
        <v>2014</v>
      </c>
      <c r="D374" t="s">
        <v>1195</v>
      </c>
      <c r="E374" t="s">
        <v>10</v>
      </c>
      <c r="F374" t="s">
        <v>34</v>
      </c>
      <c r="G374" t="s">
        <v>140</v>
      </c>
      <c r="H374" t="s">
        <v>1198</v>
      </c>
      <c r="I374" s="7">
        <v>200.8</v>
      </c>
      <c r="J374" s="8">
        <v>1</v>
      </c>
      <c r="K374" s="7">
        <v>-22.95</v>
      </c>
    </row>
    <row r="375" spans="1:11" x14ac:dyDescent="0.3">
      <c r="A375" s="2">
        <v>41829</v>
      </c>
      <c r="B375" s="9">
        <f>MONTH(Table1[[#This Row],[Order Date]])</f>
        <v>7</v>
      </c>
      <c r="C375" s="9">
        <f>YEAR(Table1[[#This Row],[Order Date]])</f>
        <v>2014</v>
      </c>
      <c r="D375" t="s">
        <v>1195</v>
      </c>
      <c r="E375" t="s">
        <v>10</v>
      </c>
      <c r="F375" t="s">
        <v>39</v>
      </c>
      <c r="G375" t="s">
        <v>52</v>
      </c>
      <c r="H375" t="s">
        <v>1199</v>
      </c>
      <c r="I375" s="7">
        <v>46.69</v>
      </c>
      <c r="J375" s="8">
        <v>4</v>
      </c>
      <c r="K375" s="7">
        <v>-2.92</v>
      </c>
    </row>
    <row r="376" spans="1:11" x14ac:dyDescent="0.3">
      <c r="A376" s="2">
        <v>41829</v>
      </c>
      <c r="B376" s="9">
        <f>MONTH(Table1[[#This Row],[Order Date]])</f>
        <v>7</v>
      </c>
      <c r="C376" s="9">
        <f>YEAR(Table1[[#This Row],[Order Date]])</f>
        <v>2014</v>
      </c>
      <c r="D376" t="s">
        <v>1195</v>
      </c>
      <c r="E376" t="s">
        <v>10</v>
      </c>
      <c r="F376" t="s">
        <v>11</v>
      </c>
      <c r="G376" t="s">
        <v>24</v>
      </c>
      <c r="H376" t="s">
        <v>142</v>
      </c>
      <c r="I376" s="7">
        <v>21.86</v>
      </c>
      <c r="J376" s="8">
        <v>3</v>
      </c>
      <c r="K376" s="7">
        <v>3.55</v>
      </c>
    </row>
    <row r="377" spans="1:11" x14ac:dyDescent="0.3">
      <c r="A377" s="2">
        <v>41829</v>
      </c>
      <c r="B377" s="9">
        <f>MONTH(Table1[[#This Row],[Order Date]])</f>
        <v>7</v>
      </c>
      <c r="C377" s="9">
        <f>YEAR(Table1[[#This Row],[Order Date]])</f>
        <v>2014</v>
      </c>
      <c r="D377" t="s">
        <v>292</v>
      </c>
      <c r="E377" t="s">
        <v>819</v>
      </c>
      <c r="F377" t="s">
        <v>11</v>
      </c>
      <c r="G377" t="s">
        <v>20</v>
      </c>
      <c r="H377" t="s">
        <v>1200</v>
      </c>
      <c r="I377" s="7">
        <v>32.06</v>
      </c>
      <c r="J377" s="8">
        <v>2</v>
      </c>
      <c r="K377" s="7">
        <v>15.39</v>
      </c>
    </row>
    <row r="378" spans="1:11" x14ac:dyDescent="0.3">
      <c r="A378" s="2">
        <v>41829</v>
      </c>
      <c r="B378" s="9">
        <f>MONTH(Table1[[#This Row],[Order Date]])</f>
        <v>7</v>
      </c>
      <c r="C378" s="9">
        <f>YEAR(Table1[[#This Row],[Order Date]])</f>
        <v>2014</v>
      </c>
      <c r="D378" t="s">
        <v>292</v>
      </c>
      <c r="E378" t="s">
        <v>819</v>
      </c>
      <c r="F378" t="s">
        <v>34</v>
      </c>
      <c r="G378" t="s">
        <v>35</v>
      </c>
      <c r="H378" t="s">
        <v>842</v>
      </c>
      <c r="I378" s="7">
        <v>161.96</v>
      </c>
      <c r="J378" s="8">
        <v>2</v>
      </c>
      <c r="K378" s="7">
        <v>45.35</v>
      </c>
    </row>
    <row r="379" spans="1:11" x14ac:dyDescent="0.3">
      <c r="A379" s="2">
        <v>41829</v>
      </c>
      <c r="B379" s="9">
        <f>MONTH(Table1[[#This Row],[Order Date]])</f>
        <v>7</v>
      </c>
      <c r="C379" s="9">
        <f>YEAR(Table1[[#This Row],[Order Date]])</f>
        <v>2014</v>
      </c>
      <c r="D379" t="s">
        <v>292</v>
      </c>
      <c r="E379" t="s">
        <v>819</v>
      </c>
      <c r="F379" t="s">
        <v>11</v>
      </c>
      <c r="G379" t="s">
        <v>18</v>
      </c>
      <c r="H379" t="s">
        <v>1201</v>
      </c>
      <c r="I379" s="7">
        <v>19.86</v>
      </c>
      <c r="J379" s="8">
        <v>2</v>
      </c>
      <c r="K379" s="7">
        <v>5.76</v>
      </c>
    </row>
    <row r="380" spans="1:11" x14ac:dyDescent="0.3">
      <c r="A380" s="2">
        <v>41829</v>
      </c>
      <c r="B380" s="9">
        <f>MONTH(Table1[[#This Row],[Order Date]])</f>
        <v>7</v>
      </c>
      <c r="C380" s="9">
        <f>YEAR(Table1[[#This Row],[Order Date]])</f>
        <v>2014</v>
      </c>
      <c r="D380" t="s">
        <v>1202</v>
      </c>
      <c r="E380" t="s">
        <v>27</v>
      </c>
      <c r="F380" t="s">
        <v>11</v>
      </c>
      <c r="G380" t="s">
        <v>194</v>
      </c>
      <c r="H380" t="s">
        <v>1203</v>
      </c>
      <c r="I380" s="7">
        <v>27.36</v>
      </c>
      <c r="J380" s="8">
        <v>4</v>
      </c>
      <c r="K380" s="7">
        <v>7.39</v>
      </c>
    </row>
    <row r="381" spans="1:11" x14ac:dyDescent="0.3">
      <c r="A381" s="2">
        <v>41829</v>
      </c>
      <c r="B381" s="9">
        <f>MONTH(Table1[[#This Row],[Order Date]])</f>
        <v>7</v>
      </c>
      <c r="C381" s="9">
        <f>YEAR(Table1[[#This Row],[Order Date]])</f>
        <v>2014</v>
      </c>
      <c r="D381" t="s">
        <v>1202</v>
      </c>
      <c r="E381" t="s">
        <v>27</v>
      </c>
      <c r="F381" t="s">
        <v>11</v>
      </c>
      <c r="G381" t="s">
        <v>20</v>
      </c>
      <c r="H381" t="s">
        <v>1204</v>
      </c>
      <c r="I381" s="7">
        <v>83.92</v>
      </c>
      <c r="J381" s="8">
        <v>5</v>
      </c>
      <c r="K381" s="7">
        <v>31.47</v>
      </c>
    </row>
    <row r="382" spans="1:11" x14ac:dyDescent="0.3">
      <c r="A382" s="2">
        <v>41829</v>
      </c>
      <c r="B382" s="9">
        <f>MONTH(Table1[[#This Row],[Order Date]])</f>
        <v>7</v>
      </c>
      <c r="C382" s="9">
        <f>YEAR(Table1[[#This Row],[Order Date]])</f>
        <v>2014</v>
      </c>
      <c r="D382" t="s">
        <v>722</v>
      </c>
      <c r="E382" t="s">
        <v>15</v>
      </c>
      <c r="F382" t="s">
        <v>11</v>
      </c>
      <c r="G382" t="s">
        <v>43</v>
      </c>
      <c r="H382" t="s">
        <v>1205</v>
      </c>
      <c r="I382" s="7">
        <v>13.16</v>
      </c>
      <c r="J382" s="8">
        <v>5</v>
      </c>
      <c r="K382" s="7">
        <v>4.1100000000000003</v>
      </c>
    </row>
    <row r="383" spans="1:11" x14ac:dyDescent="0.3">
      <c r="A383" s="2">
        <v>41829</v>
      </c>
      <c r="B383" s="9">
        <f>MONTH(Table1[[#This Row],[Order Date]])</f>
        <v>7</v>
      </c>
      <c r="C383" s="9">
        <f>YEAR(Table1[[#This Row],[Order Date]])</f>
        <v>2014</v>
      </c>
      <c r="D383" t="s">
        <v>722</v>
      </c>
      <c r="E383" t="s">
        <v>15</v>
      </c>
      <c r="F383" t="s">
        <v>11</v>
      </c>
      <c r="G383" t="s">
        <v>20</v>
      </c>
      <c r="H383" t="s">
        <v>669</v>
      </c>
      <c r="I383" s="7">
        <v>3.83</v>
      </c>
      <c r="J383" s="8">
        <v>3</v>
      </c>
      <c r="K383" s="7">
        <v>-6.51</v>
      </c>
    </row>
    <row r="384" spans="1:11" x14ac:dyDescent="0.3">
      <c r="A384" s="2">
        <v>41830</v>
      </c>
      <c r="B384" s="9">
        <f>MONTH(Table1[[#This Row],[Order Date]])</f>
        <v>7</v>
      </c>
      <c r="C384" s="9">
        <f>YEAR(Table1[[#This Row],[Order Date]])</f>
        <v>2014</v>
      </c>
      <c r="D384" t="s">
        <v>1181</v>
      </c>
      <c r="E384" t="s">
        <v>23</v>
      </c>
      <c r="F384" t="s">
        <v>34</v>
      </c>
      <c r="G384" t="s">
        <v>47</v>
      </c>
      <c r="H384" t="s">
        <v>1284</v>
      </c>
      <c r="I384" s="7">
        <v>129.91999999999999</v>
      </c>
      <c r="J384" s="8">
        <v>5</v>
      </c>
      <c r="K384" s="7">
        <v>21.11</v>
      </c>
    </row>
    <row r="385" spans="1:11" x14ac:dyDescent="0.3">
      <c r="A385" s="2">
        <v>41830</v>
      </c>
      <c r="B385" s="9">
        <f>MONTH(Table1[[#This Row],[Order Date]])</f>
        <v>7</v>
      </c>
      <c r="C385" s="9">
        <f>YEAR(Table1[[#This Row],[Order Date]])</f>
        <v>2014</v>
      </c>
      <c r="D385" t="s">
        <v>450</v>
      </c>
      <c r="E385" t="s">
        <v>10</v>
      </c>
      <c r="F385" t="s">
        <v>11</v>
      </c>
      <c r="G385" t="s">
        <v>18</v>
      </c>
      <c r="H385" t="s">
        <v>989</v>
      </c>
      <c r="I385" s="7">
        <v>107.44</v>
      </c>
      <c r="J385" s="8">
        <v>10</v>
      </c>
      <c r="K385" s="7">
        <v>10.74</v>
      </c>
    </row>
    <row r="386" spans="1:11" x14ac:dyDescent="0.3">
      <c r="A386" s="2">
        <v>41831</v>
      </c>
      <c r="B386" s="9">
        <f>MONTH(Table1[[#This Row],[Order Date]])</f>
        <v>7</v>
      </c>
      <c r="C386" s="9">
        <f>YEAR(Table1[[#This Row],[Order Date]])</f>
        <v>2014</v>
      </c>
      <c r="D386" t="s">
        <v>1540</v>
      </c>
      <c r="E386" t="s">
        <v>10</v>
      </c>
      <c r="F386" t="s">
        <v>11</v>
      </c>
      <c r="G386" t="s">
        <v>20</v>
      </c>
      <c r="H386" t="s">
        <v>1113</v>
      </c>
      <c r="I386" s="7">
        <v>26.05</v>
      </c>
      <c r="J386" s="8">
        <v>3</v>
      </c>
      <c r="K386" s="7">
        <v>-44.28</v>
      </c>
    </row>
    <row r="387" spans="1:11" x14ac:dyDescent="0.3">
      <c r="A387" s="2">
        <v>41831</v>
      </c>
      <c r="B387" s="9">
        <f>MONTH(Table1[[#This Row],[Order Date]])</f>
        <v>7</v>
      </c>
      <c r="C387" s="9">
        <f>YEAR(Table1[[#This Row],[Order Date]])</f>
        <v>2014</v>
      </c>
      <c r="D387" t="s">
        <v>749</v>
      </c>
      <c r="E387" t="s">
        <v>10</v>
      </c>
      <c r="F387" t="s">
        <v>34</v>
      </c>
      <c r="G387" t="s">
        <v>35</v>
      </c>
      <c r="H387" t="s">
        <v>772</v>
      </c>
      <c r="I387" s="7">
        <v>683.14</v>
      </c>
      <c r="J387" s="8">
        <v>4</v>
      </c>
      <c r="K387" s="7">
        <v>0</v>
      </c>
    </row>
    <row r="388" spans="1:11" x14ac:dyDescent="0.3">
      <c r="A388" s="2">
        <v>41831</v>
      </c>
      <c r="B388" s="9">
        <f>MONTH(Table1[[#This Row],[Order Date]])</f>
        <v>7</v>
      </c>
      <c r="C388" s="9">
        <f>YEAR(Table1[[#This Row],[Order Date]])</f>
        <v>2014</v>
      </c>
      <c r="D388" t="s">
        <v>749</v>
      </c>
      <c r="E388" t="s">
        <v>10</v>
      </c>
      <c r="F388" t="s">
        <v>11</v>
      </c>
      <c r="G388" t="s">
        <v>20</v>
      </c>
      <c r="H388" t="s">
        <v>1541</v>
      </c>
      <c r="I388" s="7">
        <v>1.48</v>
      </c>
      <c r="J388" s="8">
        <v>3</v>
      </c>
      <c r="K388" s="7">
        <v>-2.21</v>
      </c>
    </row>
    <row r="389" spans="1:11" x14ac:dyDescent="0.3">
      <c r="A389" s="2">
        <v>41831</v>
      </c>
      <c r="B389" s="9">
        <f>MONTH(Table1[[#This Row],[Order Date]])</f>
        <v>7</v>
      </c>
      <c r="C389" s="9">
        <f>YEAR(Table1[[#This Row],[Order Date]])</f>
        <v>2014</v>
      </c>
      <c r="D389" t="s">
        <v>749</v>
      </c>
      <c r="E389" t="s">
        <v>10</v>
      </c>
      <c r="F389" t="s">
        <v>11</v>
      </c>
      <c r="G389" t="s">
        <v>194</v>
      </c>
      <c r="H389" t="s">
        <v>1542</v>
      </c>
      <c r="I389" s="7">
        <v>40.71</v>
      </c>
      <c r="J389" s="8">
        <v>7</v>
      </c>
      <c r="K389" s="7">
        <v>3.56</v>
      </c>
    </row>
    <row r="390" spans="1:11" x14ac:dyDescent="0.3">
      <c r="A390" s="2">
        <v>41831</v>
      </c>
      <c r="B390" s="9">
        <f>MONTH(Table1[[#This Row],[Order Date]])</f>
        <v>7</v>
      </c>
      <c r="C390" s="9">
        <f>YEAR(Table1[[#This Row],[Order Date]])</f>
        <v>2014</v>
      </c>
      <c r="D390" t="s">
        <v>1230</v>
      </c>
      <c r="E390" t="s">
        <v>152</v>
      </c>
      <c r="F390" t="s">
        <v>11</v>
      </c>
      <c r="G390" t="s">
        <v>92</v>
      </c>
      <c r="H390" t="s">
        <v>193</v>
      </c>
      <c r="I390" s="7">
        <v>245.88</v>
      </c>
      <c r="J390" s="8">
        <v>6</v>
      </c>
      <c r="K390" s="7">
        <v>68.849999999999994</v>
      </c>
    </row>
    <row r="391" spans="1:11" x14ac:dyDescent="0.3">
      <c r="A391" s="2">
        <v>41831</v>
      </c>
      <c r="B391" s="9">
        <f>MONTH(Table1[[#This Row],[Order Date]])</f>
        <v>7</v>
      </c>
      <c r="C391" s="9">
        <f>YEAR(Table1[[#This Row],[Order Date]])</f>
        <v>2014</v>
      </c>
      <c r="D391" t="s">
        <v>1230</v>
      </c>
      <c r="E391" t="s">
        <v>152</v>
      </c>
      <c r="F391" t="s">
        <v>11</v>
      </c>
      <c r="G391" t="s">
        <v>18</v>
      </c>
      <c r="H391" t="s">
        <v>1143</v>
      </c>
      <c r="I391" s="7">
        <v>36.630000000000003</v>
      </c>
      <c r="J391" s="8">
        <v>3</v>
      </c>
      <c r="K391" s="7">
        <v>9.89</v>
      </c>
    </row>
    <row r="392" spans="1:11" x14ac:dyDescent="0.3">
      <c r="A392" s="2">
        <v>41831</v>
      </c>
      <c r="B392" s="9">
        <f>MONTH(Table1[[#This Row],[Order Date]])</f>
        <v>7</v>
      </c>
      <c r="C392" s="9">
        <f>YEAR(Table1[[#This Row],[Order Date]])</f>
        <v>2014</v>
      </c>
      <c r="D392" t="s">
        <v>1230</v>
      </c>
      <c r="E392" t="s">
        <v>152</v>
      </c>
      <c r="F392" t="s">
        <v>11</v>
      </c>
      <c r="G392" t="s">
        <v>18</v>
      </c>
      <c r="H392" t="s">
        <v>572</v>
      </c>
      <c r="I392" s="7">
        <v>22.58</v>
      </c>
      <c r="J392" s="8">
        <v>2</v>
      </c>
      <c r="K392" s="7">
        <v>5.87</v>
      </c>
    </row>
    <row r="393" spans="1:11" x14ac:dyDescent="0.3">
      <c r="A393" s="2">
        <v>41831</v>
      </c>
      <c r="B393" s="9">
        <f>MONTH(Table1[[#This Row],[Order Date]])</f>
        <v>7</v>
      </c>
      <c r="C393" s="9">
        <f>YEAR(Table1[[#This Row],[Order Date]])</f>
        <v>2014</v>
      </c>
      <c r="D393" t="s">
        <v>1230</v>
      </c>
      <c r="E393" t="s">
        <v>152</v>
      </c>
      <c r="F393" t="s">
        <v>11</v>
      </c>
      <c r="G393" t="s">
        <v>20</v>
      </c>
      <c r="H393" t="s">
        <v>546</v>
      </c>
      <c r="I393" s="7">
        <v>12.39</v>
      </c>
      <c r="J393" s="8">
        <v>3</v>
      </c>
      <c r="K393" s="7">
        <v>5.82</v>
      </c>
    </row>
    <row r="394" spans="1:11" x14ac:dyDescent="0.3">
      <c r="A394" s="2">
        <v>41831</v>
      </c>
      <c r="B394" s="9">
        <f>MONTH(Table1[[#This Row],[Order Date]])</f>
        <v>7</v>
      </c>
      <c r="C394" s="9">
        <f>YEAR(Table1[[#This Row],[Order Date]])</f>
        <v>2014</v>
      </c>
      <c r="D394" t="s">
        <v>769</v>
      </c>
      <c r="E394" t="s">
        <v>144</v>
      </c>
      <c r="F394" t="s">
        <v>11</v>
      </c>
      <c r="G394" t="s">
        <v>43</v>
      </c>
      <c r="H394" t="s">
        <v>482</v>
      </c>
      <c r="I394" s="7">
        <v>5.92</v>
      </c>
      <c r="J394" s="8">
        <v>4</v>
      </c>
      <c r="K394" s="7">
        <v>2.84</v>
      </c>
    </row>
    <row r="395" spans="1:11" x14ac:dyDescent="0.3">
      <c r="A395" s="2">
        <v>41831</v>
      </c>
      <c r="B395" s="9">
        <f>MONTH(Table1[[#This Row],[Order Date]])</f>
        <v>7</v>
      </c>
      <c r="C395" s="9">
        <f>YEAR(Table1[[#This Row],[Order Date]])</f>
        <v>2014</v>
      </c>
      <c r="D395" t="s">
        <v>769</v>
      </c>
      <c r="E395" t="s">
        <v>144</v>
      </c>
      <c r="F395" t="s">
        <v>11</v>
      </c>
      <c r="G395" t="s">
        <v>12</v>
      </c>
      <c r="H395" t="s">
        <v>1114</v>
      </c>
      <c r="I395" s="7">
        <v>30.18</v>
      </c>
      <c r="J395" s="8">
        <v>3</v>
      </c>
      <c r="K395" s="7">
        <v>13.88</v>
      </c>
    </row>
    <row r="396" spans="1:11" x14ac:dyDescent="0.3">
      <c r="A396" s="2">
        <v>41831</v>
      </c>
      <c r="B396" s="9">
        <f>MONTH(Table1[[#This Row],[Order Date]])</f>
        <v>7</v>
      </c>
      <c r="C396" s="9">
        <f>YEAR(Table1[[#This Row],[Order Date]])</f>
        <v>2014</v>
      </c>
      <c r="D396" t="s">
        <v>202</v>
      </c>
      <c r="E396" t="s">
        <v>91</v>
      </c>
      <c r="F396" t="s">
        <v>11</v>
      </c>
      <c r="G396" t="s">
        <v>24</v>
      </c>
      <c r="H396" t="s">
        <v>1543</v>
      </c>
      <c r="I396" s="7">
        <v>120.77</v>
      </c>
      <c r="J396" s="8">
        <v>4</v>
      </c>
      <c r="K396" s="7">
        <v>9.06</v>
      </c>
    </row>
    <row r="397" spans="1:11" x14ac:dyDescent="0.3">
      <c r="A397" s="2">
        <v>41832</v>
      </c>
      <c r="B397" s="9">
        <f>MONTH(Table1[[#This Row],[Order Date]])</f>
        <v>7</v>
      </c>
      <c r="C397" s="9">
        <f>YEAR(Table1[[#This Row],[Order Date]])</f>
        <v>2014</v>
      </c>
      <c r="D397" t="s">
        <v>1712</v>
      </c>
      <c r="E397" t="s">
        <v>27</v>
      </c>
      <c r="F397" t="s">
        <v>11</v>
      </c>
      <c r="G397" t="s">
        <v>24</v>
      </c>
      <c r="H397" t="s">
        <v>976</v>
      </c>
      <c r="I397" s="7">
        <v>8.64</v>
      </c>
      <c r="J397" s="8">
        <v>3</v>
      </c>
      <c r="K397" s="7">
        <v>2.42</v>
      </c>
    </row>
    <row r="398" spans="1:11" x14ac:dyDescent="0.3">
      <c r="A398" s="2">
        <v>41832</v>
      </c>
      <c r="B398" s="9">
        <f>MONTH(Table1[[#This Row],[Order Date]])</f>
        <v>7</v>
      </c>
      <c r="C398" s="9">
        <f>YEAR(Table1[[#This Row],[Order Date]])</f>
        <v>2014</v>
      </c>
      <c r="D398" t="s">
        <v>652</v>
      </c>
      <c r="E398" t="s">
        <v>27</v>
      </c>
      <c r="F398" t="s">
        <v>11</v>
      </c>
      <c r="G398" t="s">
        <v>12</v>
      </c>
      <c r="H398" t="s">
        <v>1713</v>
      </c>
      <c r="I398" s="7">
        <v>164.88</v>
      </c>
      <c r="J398" s="8">
        <v>3</v>
      </c>
      <c r="K398" s="7">
        <v>80.790000000000006</v>
      </c>
    </row>
    <row r="399" spans="1:11" x14ac:dyDescent="0.3">
      <c r="A399" s="2">
        <v>41853</v>
      </c>
      <c r="B399" s="9">
        <f>MONTH(Table1[[#This Row],[Order Date]])</f>
        <v>8</v>
      </c>
      <c r="C399" s="9">
        <f>YEAR(Table1[[#This Row],[Order Date]])</f>
        <v>2014</v>
      </c>
      <c r="D399" t="s">
        <v>174</v>
      </c>
      <c r="E399" t="s">
        <v>123</v>
      </c>
      <c r="F399" t="s">
        <v>34</v>
      </c>
      <c r="G399" t="s">
        <v>47</v>
      </c>
      <c r="H399" t="s">
        <v>175</v>
      </c>
      <c r="I399" s="7">
        <v>14.56</v>
      </c>
      <c r="J399" s="8">
        <v>2</v>
      </c>
      <c r="K399" s="7">
        <v>5.53</v>
      </c>
    </row>
    <row r="400" spans="1:11" x14ac:dyDescent="0.3">
      <c r="A400" s="2">
        <v>41855</v>
      </c>
      <c r="B400" s="9">
        <f>MONTH(Table1[[#This Row],[Order Date]])</f>
        <v>8</v>
      </c>
      <c r="C400" s="9">
        <f>YEAR(Table1[[#This Row],[Order Date]])</f>
        <v>2014</v>
      </c>
      <c r="D400" t="s">
        <v>481</v>
      </c>
      <c r="E400" t="s">
        <v>95</v>
      </c>
      <c r="F400" t="s">
        <v>11</v>
      </c>
      <c r="G400" t="s">
        <v>12</v>
      </c>
      <c r="H400" t="s">
        <v>483</v>
      </c>
      <c r="I400" s="7">
        <v>19.010000000000002</v>
      </c>
      <c r="J400" s="8">
        <v>3</v>
      </c>
      <c r="K400" s="7">
        <v>6.89</v>
      </c>
    </row>
    <row r="401" spans="1:11" x14ac:dyDescent="0.3">
      <c r="A401" s="2">
        <v>41855</v>
      </c>
      <c r="B401" s="9">
        <f>MONTH(Table1[[#This Row],[Order Date]])</f>
        <v>8</v>
      </c>
      <c r="C401" s="9">
        <f>YEAR(Table1[[#This Row],[Order Date]])</f>
        <v>2014</v>
      </c>
      <c r="D401" t="s">
        <v>484</v>
      </c>
      <c r="E401" t="s">
        <v>474</v>
      </c>
      <c r="F401" t="s">
        <v>34</v>
      </c>
      <c r="G401" t="s">
        <v>140</v>
      </c>
      <c r="H401" t="s">
        <v>485</v>
      </c>
      <c r="I401" s="7">
        <v>1215.92</v>
      </c>
      <c r="J401" s="8">
        <v>8</v>
      </c>
      <c r="K401" s="7">
        <v>316.14</v>
      </c>
    </row>
    <row r="402" spans="1:11" x14ac:dyDescent="0.3">
      <c r="A402" s="2">
        <v>41855</v>
      </c>
      <c r="B402" s="9">
        <f>MONTH(Table1[[#This Row],[Order Date]])</f>
        <v>8</v>
      </c>
      <c r="C402" s="9">
        <f>YEAR(Table1[[#This Row],[Order Date]])</f>
        <v>2014</v>
      </c>
      <c r="D402" t="s">
        <v>174</v>
      </c>
      <c r="E402" t="s">
        <v>27</v>
      </c>
      <c r="F402" t="s">
        <v>34</v>
      </c>
      <c r="G402" t="s">
        <v>140</v>
      </c>
      <c r="H402" t="s">
        <v>486</v>
      </c>
      <c r="I402" s="7">
        <v>99.59</v>
      </c>
      <c r="J402" s="8">
        <v>1</v>
      </c>
      <c r="K402" s="7">
        <v>2.4900000000000002</v>
      </c>
    </row>
    <row r="403" spans="1:11" x14ac:dyDescent="0.3">
      <c r="A403" s="2">
        <v>41855</v>
      </c>
      <c r="B403" s="9">
        <f>MONTH(Table1[[#This Row],[Order Date]])</f>
        <v>8</v>
      </c>
      <c r="C403" s="9">
        <f>YEAR(Table1[[#This Row],[Order Date]])</f>
        <v>2014</v>
      </c>
      <c r="D403" t="s">
        <v>174</v>
      </c>
      <c r="E403" t="s">
        <v>27</v>
      </c>
      <c r="F403" t="s">
        <v>39</v>
      </c>
      <c r="G403" t="s">
        <v>52</v>
      </c>
      <c r="H403" t="s">
        <v>487</v>
      </c>
      <c r="I403" s="7">
        <v>399.96</v>
      </c>
      <c r="J403" s="8">
        <v>4</v>
      </c>
      <c r="K403" s="7">
        <v>139.99</v>
      </c>
    </row>
    <row r="404" spans="1:11" x14ac:dyDescent="0.3">
      <c r="A404" s="2">
        <v>41855</v>
      </c>
      <c r="B404" s="9">
        <f>MONTH(Table1[[#This Row],[Order Date]])</f>
        <v>8</v>
      </c>
      <c r="C404" s="9">
        <f>YEAR(Table1[[#This Row],[Order Date]])</f>
        <v>2014</v>
      </c>
      <c r="D404" t="s">
        <v>488</v>
      </c>
      <c r="E404" t="s">
        <v>78</v>
      </c>
      <c r="F404" t="s">
        <v>34</v>
      </c>
      <c r="G404" t="s">
        <v>140</v>
      </c>
      <c r="H404" t="s">
        <v>489</v>
      </c>
      <c r="I404" s="7">
        <v>172.11</v>
      </c>
      <c r="J404" s="8">
        <v>1</v>
      </c>
      <c r="K404" s="7">
        <v>-94.66</v>
      </c>
    </row>
    <row r="405" spans="1:11" x14ac:dyDescent="0.3">
      <c r="A405" s="2">
        <v>41856</v>
      </c>
      <c r="B405" s="9">
        <f>MONTH(Table1[[#This Row],[Order Date]])</f>
        <v>8</v>
      </c>
      <c r="C405" s="9">
        <f>YEAR(Table1[[#This Row],[Order Date]])</f>
        <v>2014</v>
      </c>
      <c r="D405" t="s">
        <v>268</v>
      </c>
      <c r="E405" t="s">
        <v>23</v>
      </c>
      <c r="F405" t="s">
        <v>39</v>
      </c>
      <c r="G405" t="s">
        <v>590</v>
      </c>
      <c r="H405" t="s">
        <v>621</v>
      </c>
      <c r="I405" s="7">
        <v>1799.97</v>
      </c>
      <c r="J405" s="8">
        <v>5</v>
      </c>
      <c r="K405" s="7">
        <v>240</v>
      </c>
    </row>
    <row r="406" spans="1:11" x14ac:dyDescent="0.3">
      <c r="A406" s="2">
        <v>41857</v>
      </c>
      <c r="B406" s="9">
        <f>MONTH(Table1[[#This Row],[Order Date]])</f>
        <v>8</v>
      </c>
      <c r="C406" s="9">
        <f>YEAR(Table1[[#This Row],[Order Date]])</f>
        <v>2014</v>
      </c>
      <c r="D406" t="s">
        <v>433</v>
      </c>
      <c r="E406" t="s">
        <v>117</v>
      </c>
      <c r="F406" t="s">
        <v>34</v>
      </c>
      <c r="G406" t="s">
        <v>35</v>
      </c>
      <c r="H406" t="s">
        <v>773</v>
      </c>
      <c r="I406" s="7">
        <v>170.35</v>
      </c>
      <c r="J406" s="8">
        <v>3</v>
      </c>
      <c r="K406" s="7">
        <v>10.65</v>
      </c>
    </row>
    <row r="407" spans="1:11" x14ac:dyDescent="0.3">
      <c r="A407" s="2">
        <v>41857</v>
      </c>
      <c r="B407" s="9">
        <f>MONTH(Table1[[#This Row],[Order Date]])</f>
        <v>8</v>
      </c>
      <c r="C407" s="9">
        <f>YEAR(Table1[[#This Row],[Order Date]])</f>
        <v>2014</v>
      </c>
      <c r="D407" t="s">
        <v>774</v>
      </c>
      <c r="E407" t="s">
        <v>144</v>
      </c>
      <c r="F407" t="s">
        <v>11</v>
      </c>
      <c r="G407" t="s">
        <v>20</v>
      </c>
      <c r="H407" t="s">
        <v>719</v>
      </c>
      <c r="I407" s="7">
        <v>68.48</v>
      </c>
      <c r="J407" s="8">
        <v>2</v>
      </c>
      <c r="K407" s="7">
        <v>25.68</v>
      </c>
    </row>
    <row r="408" spans="1:11" x14ac:dyDescent="0.3">
      <c r="A408" s="2">
        <v>41857</v>
      </c>
      <c r="B408" s="9">
        <f>MONTH(Table1[[#This Row],[Order Date]])</f>
        <v>8</v>
      </c>
      <c r="C408" s="9">
        <f>YEAR(Table1[[#This Row],[Order Date]])</f>
        <v>2014</v>
      </c>
      <c r="D408" t="s">
        <v>774</v>
      </c>
      <c r="E408" t="s">
        <v>144</v>
      </c>
      <c r="F408" t="s">
        <v>11</v>
      </c>
      <c r="G408" t="s">
        <v>18</v>
      </c>
      <c r="H408" t="s">
        <v>775</v>
      </c>
      <c r="I408" s="7">
        <v>1676.88</v>
      </c>
      <c r="J408" s="8">
        <v>6</v>
      </c>
      <c r="K408" s="7">
        <v>83.84</v>
      </c>
    </row>
    <row r="409" spans="1:11" x14ac:dyDescent="0.3">
      <c r="A409" s="2">
        <v>41858</v>
      </c>
      <c r="B409" s="9">
        <f>MONTH(Table1[[#This Row],[Order Date]])</f>
        <v>8</v>
      </c>
      <c r="C409" s="9">
        <f>YEAR(Table1[[#This Row],[Order Date]])</f>
        <v>2014</v>
      </c>
      <c r="D409" t="s">
        <v>900</v>
      </c>
      <c r="E409" t="s">
        <v>27</v>
      </c>
      <c r="F409" t="s">
        <v>34</v>
      </c>
      <c r="G409" t="s">
        <v>140</v>
      </c>
      <c r="H409" t="s">
        <v>176</v>
      </c>
      <c r="I409" s="7">
        <v>502.49</v>
      </c>
      <c r="J409" s="8">
        <v>3</v>
      </c>
      <c r="K409" s="7">
        <v>-87.94</v>
      </c>
    </row>
    <row r="410" spans="1:11" x14ac:dyDescent="0.3">
      <c r="A410" s="2">
        <v>41858</v>
      </c>
      <c r="B410" s="9">
        <f>MONTH(Table1[[#This Row],[Order Date]])</f>
        <v>8</v>
      </c>
      <c r="C410" s="9">
        <f>YEAR(Table1[[#This Row],[Order Date]])</f>
        <v>2014</v>
      </c>
      <c r="D410" t="s">
        <v>900</v>
      </c>
      <c r="E410" t="s">
        <v>27</v>
      </c>
      <c r="F410" t="s">
        <v>11</v>
      </c>
      <c r="G410" t="s">
        <v>20</v>
      </c>
      <c r="H410" t="s">
        <v>357</v>
      </c>
      <c r="I410" s="7">
        <v>196.7</v>
      </c>
      <c r="J410" s="8">
        <v>6</v>
      </c>
      <c r="K410" s="7">
        <v>68.849999999999994</v>
      </c>
    </row>
    <row r="411" spans="1:11" x14ac:dyDescent="0.3">
      <c r="A411" s="2">
        <v>41859</v>
      </c>
      <c r="B411" s="9">
        <f>MONTH(Table1[[#This Row],[Order Date]])</f>
        <v>8</v>
      </c>
      <c r="C411" s="9">
        <f>YEAR(Table1[[#This Row],[Order Date]])</f>
        <v>2014</v>
      </c>
      <c r="D411" t="s">
        <v>1055</v>
      </c>
      <c r="E411" t="s">
        <v>27</v>
      </c>
      <c r="F411" t="s">
        <v>39</v>
      </c>
      <c r="G411" t="s">
        <v>590</v>
      </c>
      <c r="H411" t="s">
        <v>1057</v>
      </c>
      <c r="I411" s="7">
        <v>1199.98</v>
      </c>
      <c r="J411" s="8">
        <v>3</v>
      </c>
      <c r="K411" s="7">
        <v>434.99</v>
      </c>
    </row>
    <row r="412" spans="1:11" x14ac:dyDescent="0.3">
      <c r="A412" s="2">
        <v>41859</v>
      </c>
      <c r="B412" s="9">
        <f>MONTH(Table1[[#This Row],[Order Date]])</f>
        <v>8</v>
      </c>
      <c r="C412" s="9">
        <f>YEAR(Table1[[#This Row],[Order Date]])</f>
        <v>2014</v>
      </c>
      <c r="D412" t="s">
        <v>1055</v>
      </c>
      <c r="E412" t="s">
        <v>27</v>
      </c>
      <c r="F412" t="s">
        <v>39</v>
      </c>
      <c r="G412" t="s">
        <v>40</v>
      </c>
      <c r="H412" t="s">
        <v>1058</v>
      </c>
      <c r="I412" s="7">
        <v>445.96</v>
      </c>
      <c r="J412" s="8">
        <v>5</v>
      </c>
      <c r="K412" s="7">
        <v>55.75</v>
      </c>
    </row>
    <row r="413" spans="1:11" x14ac:dyDescent="0.3">
      <c r="A413" s="2">
        <v>41859</v>
      </c>
      <c r="B413" s="9">
        <f>MONTH(Table1[[#This Row],[Order Date]])</f>
        <v>8</v>
      </c>
      <c r="C413" s="9">
        <f>YEAR(Table1[[#This Row],[Order Date]])</f>
        <v>2014</v>
      </c>
      <c r="D413" t="s">
        <v>1055</v>
      </c>
      <c r="E413" t="s">
        <v>27</v>
      </c>
      <c r="F413" t="s">
        <v>34</v>
      </c>
      <c r="G413" t="s">
        <v>47</v>
      </c>
      <c r="H413" t="s">
        <v>1059</v>
      </c>
      <c r="I413" s="7">
        <v>327.76</v>
      </c>
      <c r="J413" s="8">
        <v>8</v>
      </c>
      <c r="K413" s="7">
        <v>91.77</v>
      </c>
    </row>
    <row r="414" spans="1:11" x14ac:dyDescent="0.3">
      <c r="A414" s="2">
        <v>41859</v>
      </c>
      <c r="B414" s="9">
        <f>MONTH(Table1[[#This Row],[Order Date]])</f>
        <v>8</v>
      </c>
      <c r="C414" s="9">
        <f>YEAR(Table1[[#This Row],[Order Date]])</f>
        <v>2014</v>
      </c>
      <c r="D414" t="s">
        <v>1060</v>
      </c>
      <c r="E414" t="s">
        <v>95</v>
      </c>
      <c r="F414" t="s">
        <v>34</v>
      </c>
      <c r="G414" t="s">
        <v>47</v>
      </c>
      <c r="H414" t="s">
        <v>1061</v>
      </c>
      <c r="I414" s="7">
        <v>121.38</v>
      </c>
      <c r="J414" s="8">
        <v>4</v>
      </c>
      <c r="K414" s="7">
        <v>-3.03</v>
      </c>
    </row>
    <row r="415" spans="1:11" x14ac:dyDescent="0.3">
      <c r="A415" s="2">
        <v>41859</v>
      </c>
      <c r="B415" s="9">
        <f>MONTH(Table1[[#This Row],[Order Date]])</f>
        <v>8</v>
      </c>
      <c r="C415" s="9">
        <f>YEAR(Table1[[#This Row],[Order Date]])</f>
        <v>2014</v>
      </c>
      <c r="D415" t="s">
        <v>1060</v>
      </c>
      <c r="E415" t="s">
        <v>95</v>
      </c>
      <c r="F415" t="s">
        <v>39</v>
      </c>
      <c r="G415" t="s">
        <v>52</v>
      </c>
      <c r="H415" t="s">
        <v>1062</v>
      </c>
      <c r="I415" s="7">
        <v>95.98</v>
      </c>
      <c r="J415" s="8">
        <v>3</v>
      </c>
      <c r="K415" s="7">
        <v>-10.8</v>
      </c>
    </row>
    <row r="416" spans="1:11" x14ac:dyDescent="0.3">
      <c r="A416" s="2">
        <v>41859</v>
      </c>
      <c r="B416" s="9">
        <f>MONTH(Table1[[#This Row],[Order Date]])</f>
        <v>8</v>
      </c>
      <c r="C416" s="9">
        <f>YEAR(Table1[[#This Row],[Order Date]])</f>
        <v>2014</v>
      </c>
      <c r="D416" t="s">
        <v>1064</v>
      </c>
      <c r="E416" t="s">
        <v>108</v>
      </c>
      <c r="F416" t="s">
        <v>11</v>
      </c>
      <c r="G416" t="s">
        <v>92</v>
      </c>
      <c r="H416" t="s">
        <v>1066</v>
      </c>
      <c r="I416" s="7">
        <v>167.54</v>
      </c>
      <c r="J416" s="8">
        <v>3</v>
      </c>
      <c r="K416" s="7">
        <v>37.229999999999997</v>
      </c>
    </row>
    <row r="417" spans="1:11" x14ac:dyDescent="0.3">
      <c r="A417" s="2">
        <v>41859</v>
      </c>
      <c r="B417" s="9">
        <f>MONTH(Table1[[#This Row],[Order Date]])</f>
        <v>8</v>
      </c>
      <c r="C417" s="9">
        <f>YEAR(Table1[[#This Row],[Order Date]])</f>
        <v>2014</v>
      </c>
      <c r="D417" t="s">
        <v>1064</v>
      </c>
      <c r="E417" t="s">
        <v>108</v>
      </c>
      <c r="F417" t="s">
        <v>11</v>
      </c>
      <c r="G417" t="s">
        <v>63</v>
      </c>
      <c r="H417" t="s">
        <v>1067</v>
      </c>
      <c r="I417" s="7">
        <v>38.340000000000003</v>
      </c>
      <c r="J417" s="8">
        <v>3</v>
      </c>
      <c r="K417" s="7">
        <v>17.25</v>
      </c>
    </row>
    <row r="418" spans="1:11" x14ac:dyDescent="0.3">
      <c r="A418" s="2">
        <v>41859</v>
      </c>
      <c r="B418" s="9">
        <f>MONTH(Table1[[#This Row],[Order Date]])</f>
        <v>8</v>
      </c>
      <c r="C418" s="9">
        <f>YEAR(Table1[[#This Row],[Order Date]])</f>
        <v>2014</v>
      </c>
      <c r="D418" t="s">
        <v>1069</v>
      </c>
      <c r="E418" t="s">
        <v>120</v>
      </c>
      <c r="F418" t="s">
        <v>34</v>
      </c>
      <c r="G418" t="s">
        <v>74</v>
      </c>
      <c r="H418" t="s">
        <v>1070</v>
      </c>
      <c r="I418" s="7">
        <v>155.46</v>
      </c>
      <c r="J418" s="8">
        <v>4</v>
      </c>
      <c r="K418" s="7">
        <v>-7.77</v>
      </c>
    </row>
    <row r="419" spans="1:11" x14ac:dyDescent="0.3">
      <c r="A419" s="2">
        <v>41860</v>
      </c>
      <c r="B419" s="9">
        <f>MONTH(Table1[[#This Row],[Order Date]])</f>
        <v>8</v>
      </c>
      <c r="C419" s="9">
        <f>YEAR(Table1[[#This Row],[Order Date]])</f>
        <v>2014</v>
      </c>
      <c r="D419" t="s">
        <v>1206</v>
      </c>
      <c r="E419" t="s">
        <v>10</v>
      </c>
      <c r="F419" t="s">
        <v>11</v>
      </c>
      <c r="G419" t="s">
        <v>24</v>
      </c>
      <c r="H419" t="s">
        <v>1207</v>
      </c>
      <c r="I419" s="7">
        <v>9.94</v>
      </c>
      <c r="J419" s="8">
        <v>3</v>
      </c>
      <c r="K419" s="7">
        <v>2.73</v>
      </c>
    </row>
    <row r="420" spans="1:11" x14ac:dyDescent="0.3">
      <c r="A420" s="2">
        <v>41860</v>
      </c>
      <c r="B420" s="9">
        <f>MONTH(Table1[[#This Row],[Order Date]])</f>
        <v>8</v>
      </c>
      <c r="C420" s="9">
        <f>YEAR(Table1[[#This Row],[Order Date]])</f>
        <v>2014</v>
      </c>
      <c r="D420" t="s">
        <v>1206</v>
      </c>
      <c r="E420" t="s">
        <v>10</v>
      </c>
      <c r="F420" t="s">
        <v>39</v>
      </c>
      <c r="G420" t="s">
        <v>293</v>
      </c>
      <c r="H420" t="s">
        <v>1208</v>
      </c>
      <c r="I420" s="7">
        <v>8159.95</v>
      </c>
      <c r="J420" s="8">
        <v>8</v>
      </c>
      <c r="K420" s="7">
        <v>-1359.99</v>
      </c>
    </row>
    <row r="421" spans="1:11" x14ac:dyDescent="0.3">
      <c r="A421" s="2">
        <v>41860</v>
      </c>
      <c r="B421" s="9">
        <f>MONTH(Table1[[#This Row],[Order Date]])</f>
        <v>8</v>
      </c>
      <c r="C421" s="9">
        <f>YEAR(Table1[[#This Row],[Order Date]])</f>
        <v>2014</v>
      </c>
      <c r="D421" t="s">
        <v>1206</v>
      </c>
      <c r="E421" t="s">
        <v>10</v>
      </c>
      <c r="F421" t="s">
        <v>34</v>
      </c>
      <c r="G421" t="s">
        <v>35</v>
      </c>
      <c r="H421" t="s">
        <v>1209</v>
      </c>
      <c r="I421" s="7">
        <v>1740.06</v>
      </c>
      <c r="J421" s="8">
        <v>9</v>
      </c>
      <c r="K421" s="7">
        <v>-24.86</v>
      </c>
    </row>
    <row r="422" spans="1:11" x14ac:dyDescent="0.3">
      <c r="A422" s="2">
        <v>41860</v>
      </c>
      <c r="B422" s="9">
        <f>MONTH(Table1[[#This Row],[Order Date]])</f>
        <v>8</v>
      </c>
      <c r="C422" s="9">
        <f>YEAR(Table1[[#This Row],[Order Date]])</f>
        <v>2014</v>
      </c>
      <c r="D422" t="s">
        <v>1206</v>
      </c>
      <c r="E422" t="s">
        <v>10</v>
      </c>
      <c r="F422" t="s">
        <v>39</v>
      </c>
      <c r="G422" t="s">
        <v>40</v>
      </c>
      <c r="H422" t="s">
        <v>1211</v>
      </c>
      <c r="I422" s="7">
        <v>143.97999999999999</v>
      </c>
      <c r="J422" s="8">
        <v>3</v>
      </c>
      <c r="K422" s="7">
        <v>9</v>
      </c>
    </row>
    <row r="423" spans="1:11" x14ac:dyDescent="0.3">
      <c r="A423" s="2">
        <v>41860</v>
      </c>
      <c r="B423" s="9">
        <f>MONTH(Table1[[#This Row],[Order Date]])</f>
        <v>8</v>
      </c>
      <c r="C423" s="9">
        <f>YEAR(Table1[[#This Row],[Order Date]])</f>
        <v>2014</v>
      </c>
      <c r="D423" t="s">
        <v>1050</v>
      </c>
      <c r="E423" t="s">
        <v>27</v>
      </c>
      <c r="F423" t="s">
        <v>39</v>
      </c>
      <c r="G423" t="s">
        <v>52</v>
      </c>
      <c r="H423" t="s">
        <v>1212</v>
      </c>
      <c r="I423" s="7">
        <v>49.98</v>
      </c>
      <c r="J423" s="8">
        <v>2</v>
      </c>
      <c r="K423" s="7">
        <v>8.5</v>
      </c>
    </row>
    <row r="424" spans="1:11" x14ac:dyDescent="0.3">
      <c r="A424" s="2">
        <v>41860</v>
      </c>
      <c r="B424" s="9">
        <f>MONTH(Table1[[#This Row],[Order Date]])</f>
        <v>8</v>
      </c>
      <c r="C424" s="9">
        <f>YEAR(Table1[[#This Row],[Order Date]])</f>
        <v>2014</v>
      </c>
      <c r="D424" t="s">
        <v>1213</v>
      </c>
      <c r="E424" t="s">
        <v>10</v>
      </c>
      <c r="F424" t="s">
        <v>11</v>
      </c>
      <c r="G424" t="s">
        <v>20</v>
      </c>
      <c r="H424" t="s">
        <v>683</v>
      </c>
      <c r="I424" s="7">
        <v>51.18</v>
      </c>
      <c r="J424" s="8">
        <v>4</v>
      </c>
      <c r="K424" s="7">
        <v>-79.34</v>
      </c>
    </row>
    <row r="425" spans="1:11" x14ac:dyDescent="0.3">
      <c r="A425" s="2">
        <v>41860</v>
      </c>
      <c r="B425" s="9">
        <f>MONTH(Table1[[#This Row],[Order Date]])</f>
        <v>8</v>
      </c>
      <c r="C425" s="9">
        <f>YEAR(Table1[[#This Row],[Order Date]])</f>
        <v>2014</v>
      </c>
      <c r="D425" t="s">
        <v>1214</v>
      </c>
      <c r="E425" t="s">
        <v>30</v>
      </c>
      <c r="F425" t="s">
        <v>39</v>
      </c>
      <c r="G425" t="s">
        <v>52</v>
      </c>
      <c r="H425" t="s">
        <v>1215</v>
      </c>
      <c r="I425" s="7">
        <v>32.97</v>
      </c>
      <c r="J425" s="8">
        <v>3</v>
      </c>
      <c r="K425" s="7">
        <v>12.86</v>
      </c>
    </row>
    <row r="426" spans="1:11" x14ac:dyDescent="0.3">
      <c r="A426" s="2">
        <v>41860</v>
      </c>
      <c r="B426" s="9">
        <f>MONTH(Table1[[#This Row],[Order Date]])</f>
        <v>8</v>
      </c>
      <c r="C426" s="9">
        <f>YEAR(Table1[[#This Row],[Order Date]])</f>
        <v>2014</v>
      </c>
      <c r="D426" t="s">
        <v>888</v>
      </c>
      <c r="E426" t="s">
        <v>27</v>
      </c>
      <c r="F426" t="s">
        <v>11</v>
      </c>
      <c r="G426" t="s">
        <v>92</v>
      </c>
      <c r="H426" t="s">
        <v>1216</v>
      </c>
      <c r="I426" s="7">
        <v>56.65</v>
      </c>
      <c r="J426" s="8">
        <v>5</v>
      </c>
      <c r="K426" s="7">
        <v>24.36</v>
      </c>
    </row>
    <row r="427" spans="1:11" x14ac:dyDescent="0.3">
      <c r="A427" s="2">
        <v>41860</v>
      </c>
      <c r="B427" s="9">
        <f>MONTH(Table1[[#This Row],[Order Date]])</f>
        <v>8</v>
      </c>
      <c r="C427" s="9">
        <f>YEAR(Table1[[#This Row],[Order Date]])</f>
        <v>2014</v>
      </c>
      <c r="D427" t="s">
        <v>888</v>
      </c>
      <c r="E427" t="s">
        <v>27</v>
      </c>
      <c r="F427" t="s">
        <v>11</v>
      </c>
      <c r="G427" t="s">
        <v>18</v>
      </c>
      <c r="H427" t="s">
        <v>1217</v>
      </c>
      <c r="I427" s="7">
        <v>14.97</v>
      </c>
      <c r="J427" s="8">
        <v>1</v>
      </c>
      <c r="K427" s="7">
        <v>4.1900000000000004</v>
      </c>
    </row>
    <row r="428" spans="1:11" x14ac:dyDescent="0.3">
      <c r="A428" s="2">
        <v>41860</v>
      </c>
      <c r="B428" s="9">
        <f>MONTH(Table1[[#This Row],[Order Date]])</f>
        <v>8</v>
      </c>
      <c r="C428" s="9">
        <f>YEAR(Table1[[#This Row],[Order Date]])</f>
        <v>2014</v>
      </c>
      <c r="D428" t="s">
        <v>888</v>
      </c>
      <c r="E428" t="s">
        <v>27</v>
      </c>
      <c r="F428" t="s">
        <v>11</v>
      </c>
      <c r="G428" t="s">
        <v>43</v>
      </c>
      <c r="H428" t="s">
        <v>1218</v>
      </c>
      <c r="I428" s="7">
        <v>4.0199999999999996</v>
      </c>
      <c r="J428" s="8">
        <v>2</v>
      </c>
      <c r="K428" s="7">
        <v>1.97</v>
      </c>
    </row>
    <row r="429" spans="1:11" x14ac:dyDescent="0.3">
      <c r="A429" s="2">
        <v>41860</v>
      </c>
      <c r="B429" s="9">
        <f>MONTH(Table1[[#This Row],[Order Date]])</f>
        <v>8</v>
      </c>
      <c r="C429" s="9">
        <f>YEAR(Table1[[#This Row],[Order Date]])</f>
        <v>2014</v>
      </c>
      <c r="D429" t="s">
        <v>664</v>
      </c>
      <c r="E429" t="s">
        <v>55</v>
      </c>
      <c r="F429" t="s">
        <v>39</v>
      </c>
      <c r="G429" t="s">
        <v>293</v>
      </c>
      <c r="H429" t="s">
        <v>1220</v>
      </c>
      <c r="I429" s="7">
        <v>209.97</v>
      </c>
      <c r="J429" s="8">
        <v>3</v>
      </c>
      <c r="K429" s="7">
        <v>90.29</v>
      </c>
    </row>
    <row r="430" spans="1:11" x14ac:dyDescent="0.3">
      <c r="A430" s="2">
        <v>41860</v>
      </c>
      <c r="B430" s="9">
        <f>MONTH(Table1[[#This Row],[Order Date]])</f>
        <v>8</v>
      </c>
      <c r="C430" s="9">
        <f>YEAR(Table1[[#This Row],[Order Date]])</f>
        <v>2014</v>
      </c>
      <c r="D430" t="s">
        <v>1221</v>
      </c>
      <c r="E430" t="s">
        <v>144</v>
      </c>
      <c r="F430" t="s">
        <v>11</v>
      </c>
      <c r="G430" t="s">
        <v>92</v>
      </c>
      <c r="H430" t="s">
        <v>1222</v>
      </c>
      <c r="I430" s="7">
        <v>16.78</v>
      </c>
      <c r="J430" s="8">
        <v>2</v>
      </c>
      <c r="K430" s="7">
        <v>4.2</v>
      </c>
    </row>
    <row r="431" spans="1:11" x14ac:dyDescent="0.3">
      <c r="A431" s="2">
        <v>41860</v>
      </c>
      <c r="B431" s="9">
        <f>MONTH(Table1[[#This Row],[Order Date]])</f>
        <v>8</v>
      </c>
      <c r="C431" s="9">
        <f>YEAR(Table1[[#This Row],[Order Date]])</f>
        <v>2014</v>
      </c>
      <c r="D431" t="s">
        <v>1223</v>
      </c>
      <c r="E431" t="s">
        <v>158</v>
      </c>
      <c r="F431" t="s">
        <v>34</v>
      </c>
      <c r="G431" t="s">
        <v>35</v>
      </c>
      <c r="H431" t="s">
        <v>844</v>
      </c>
      <c r="I431" s="7">
        <v>975.92</v>
      </c>
      <c r="J431" s="8">
        <v>5</v>
      </c>
      <c r="K431" s="7">
        <v>121.99</v>
      </c>
    </row>
    <row r="432" spans="1:11" x14ac:dyDescent="0.3">
      <c r="A432" s="2">
        <v>41860</v>
      </c>
      <c r="B432" s="9">
        <f>MONTH(Table1[[#This Row],[Order Date]])</f>
        <v>8</v>
      </c>
      <c r="C432" s="9">
        <f>YEAR(Table1[[#This Row],[Order Date]])</f>
        <v>2014</v>
      </c>
      <c r="D432" t="s">
        <v>1223</v>
      </c>
      <c r="E432" t="s">
        <v>158</v>
      </c>
      <c r="F432" t="s">
        <v>11</v>
      </c>
      <c r="G432" t="s">
        <v>24</v>
      </c>
      <c r="H432" t="s">
        <v>1225</v>
      </c>
      <c r="I432" s="7">
        <v>303.83999999999997</v>
      </c>
      <c r="J432" s="8">
        <v>8</v>
      </c>
      <c r="K432" s="7">
        <v>91.15</v>
      </c>
    </row>
    <row r="433" spans="1:11" x14ac:dyDescent="0.3">
      <c r="A433" s="2">
        <v>41860</v>
      </c>
      <c r="B433" s="9">
        <f>MONTH(Table1[[#This Row],[Order Date]])</f>
        <v>8</v>
      </c>
      <c r="C433" s="9">
        <f>YEAR(Table1[[#This Row],[Order Date]])</f>
        <v>2014</v>
      </c>
      <c r="D433" t="s">
        <v>1223</v>
      </c>
      <c r="E433" t="s">
        <v>158</v>
      </c>
      <c r="F433" t="s">
        <v>11</v>
      </c>
      <c r="G433" t="s">
        <v>18</v>
      </c>
      <c r="H433" t="s">
        <v>288</v>
      </c>
      <c r="I433" s="7">
        <v>485.88</v>
      </c>
      <c r="J433" s="8">
        <v>6</v>
      </c>
      <c r="K433" s="7">
        <v>19.440000000000001</v>
      </c>
    </row>
    <row r="434" spans="1:11" x14ac:dyDescent="0.3">
      <c r="A434" s="2">
        <v>41860</v>
      </c>
      <c r="B434" s="9">
        <f>MONTH(Table1[[#This Row],[Order Date]])</f>
        <v>8</v>
      </c>
      <c r="C434" s="9">
        <f>YEAR(Table1[[#This Row],[Order Date]])</f>
        <v>2014</v>
      </c>
      <c r="D434" t="s">
        <v>1226</v>
      </c>
      <c r="E434" t="s">
        <v>10</v>
      </c>
      <c r="F434" t="s">
        <v>11</v>
      </c>
      <c r="G434" t="s">
        <v>12</v>
      </c>
      <c r="H434" t="s">
        <v>267</v>
      </c>
      <c r="I434" s="7">
        <v>17.899999999999999</v>
      </c>
      <c r="J434" s="8">
        <v>2</v>
      </c>
      <c r="K434" s="7">
        <v>6.27</v>
      </c>
    </row>
    <row r="435" spans="1:11" x14ac:dyDescent="0.3">
      <c r="A435" s="2">
        <v>41860</v>
      </c>
      <c r="B435" s="9">
        <f>MONTH(Table1[[#This Row],[Order Date]])</f>
        <v>8</v>
      </c>
      <c r="C435" s="9">
        <f>YEAR(Table1[[#This Row],[Order Date]])</f>
        <v>2014</v>
      </c>
      <c r="D435" t="s">
        <v>1226</v>
      </c>
      <c r="E435" t="s">
        <v>10</v>
      </c>
      <c r="F435" t="s">
        <v>11</v>
      </c>
      <c r="G435" t="s">
        <v>12</v>
      </c>
      <c r="H435" t="s">
        <v>1227</v>
      </c>
      <c r="I435" s="7">
        <v>182.11</v>
      </c>
      <c r="J435" s="8">
        <v>6</v>
      </c>
      <c r="K435" s="7">
        <v>61.46</v>
      </c>
    </row>
    <row r="436" spans="1:11" x14ac:dyDescent="0.3">
      <c r="A436" s="2">
        <v>41860</v>
      </c>
      <c r="B436" s="9">
        <f>MONTH(Table1[[#This Row],[Order Date]])</f>
        <v>8</v>
      </c>
      <c r="C436" s="9">
        <f>YEAR(Table1[[#This Row],[Order Date]])</f>
        <v>2014</v>
      </c>
      <c r="D436" t="s">
        <v>1152</v>
      </c>
      <c r="E436" t="s">
        <v>144</v>
      </c>
      <c r="F436" t="s">
        <v>34</v>
      </c>
      <c r="G436" t="s">
        <v>35</v>
      </c>
      <c r="H436" t="s">
        <v>1228</v>
      </c>
      <c r="I436" s="7">
        <v>172.76</v>
      </c>
      <c r="J436" s="8">
        <v>2</v>
      </c>
      <c r="K436" s="7">
        <v>13.44</v>
      </c>
    </row>
    <row r="437" spans="1:11" x14ac:dyDescent="0.3">
      <c r="A437" s="2">
        <v>41860</v>
      </c>
      <c r="B437" s="9">
        <f>MONTH(Table1[[#This Row],[Order Date]])</f>
        <v>8</v>
      </c>
      <c r="C437" s="9">
        <f>YEAR(Table1[[#This Row],[Order Date]])</f>
        <v>2014</v>
      </c>
      <c r="D437" t="s">
        <v>1152</v>
      </c>
      <c r="E437" t="s">
        <v>144</v>
      </c>
      <c r="F437" t="s">
        <v>11</v>
      </c>
      <c r="G437" t="s">
        <v>24</v>
      </c>
      <c r="H437" t="s">
        <v>820</v>
      </c>
      <c r="I437" s="7">
        <v>3.52</v>
      </c>
      <c r="J437" s="8">
        <v>2</v>
      </c>
      <c r="K437" s="7">
        <v>1.69</v>
      </c>
    </row>
    <row r="438" spans="1:11" x14ac:dyDescent="0.3">
      <c r="A438" s="2">
        <v>41860</v>
      </c>
      <c r="B438" s="9">
        <f>MONTH(Table1[[#This Row],[Order Date]])</f>
        <v>8</v>
      </c>
      <c r="C438" s="9">
        <f>YEAR(Table1[[#This Row],[Order Date]])</f>
        <v>2014</v>
      </c>
      <c r="D438" t="s">
        <v>94</v>
      </c>
      <c r="E438" t="s">
        <v>27</v>
      </c>
      <c r="F438" t="s">
        <v>11</v>
      </c>
      <c r="G438" t="s">
        <v>20</v>
      </c>
      <c r="H438" t="s">
        <v>1229</v>
      </c>
      <c r="I438" s="7">
        <v>8.61</v>
      </c>
      <c r="J438" s="8">
        <v>2</v>
      </c>
      <c r="K438" s="7">
        <v>3.01</v>
      </c>
    </row>
    <row r="439" spans="1:11" x14ac:dyDescent="0.3">
      <c r="A439" s="2">
        <v>41861</v>
      </c>
      <c r="B439" s="9">
        <f>MONTH(Table1[[#This Row],[Order Date]])</f>
        <v>8</v>
      </c>
      <c r="C439" s="9">
        <f>YEAR(Table1[[#This Row],[Order Date]])</f>
        <v>2014</v>
      </c>
      <c r="D439" t="s">
        <v>1317</v>
      </c>
      <c r="E439" t="s">
        <v>237</v>
      </c>
      <c r="F439" t="s">
        <v>39</v>
      </c>
      <c r="G439" t="s">
        <v>52</v>
      </c>
      <c r="H439" t="s">
        <v>1407</v>
      </c>
      <c r="I439" s="7">
        <v>23.47</v>
      </c>
      <c r="J439" s="8">
        <v>3</v>
      </c>
      <c r="K439" s="7">
        <v>4.99</v>
      </c>
    </row>
    <row r="440" spans="1:11" x14ac:dyDescent="0.3">
      <c r="A440" s="2">
        <v>41861</v>
      </c>
      <c r="B440" s="9">
        <f>MONTH(Table1[[#This Row],[Order Date]])</f>
        <v>8</v>
      </c>
      <c r="C440" s="9">
        <f>YEAR(Table1[[#This Row],[Order Date]])</f>
        <v>2014</v>
      </c>
      <c r="D440" t="s">
        <v>1310</v>
      </c>
      <c r="E440" t="s">
        <v>144</v>
      </c>
      <c r="F440" t="s">
        <v>11</v>
      </c>
      <c r="G440" t="s">
        <v>12</v>
      </c>
      <c r="H440" t="s">
        <v>1408</v>
      </c>
      <c r="I440" s="7">
        <v>123.92</v>
      </c>
      <c r="J440" s="8">
        <v>4</v>
      </c>
      <c r="K440" s="7">
        <v>55.76</v>
      </c>
    </row>
    <row r="441" spans="1:11" x14ac:dyDescent="0.3">
      <c r="A441" s="2">
        <v>41862</v>
      </c>
      <c r="B441" s="9">
        <f>MONTH(Table1[[#This Row],[Order Date]])</f>
        <v>8</v>
      </c>
      <c r="C441" s="9">
        <f>YEAR(Table1[[#This Row],[Order Date]])</f>
        <v>2014</v>
      </c>
      <c r="D441" t="s">
        <v>609</v>
      </c>
      <c r="E441" t="s">
        <v>27</v>
      </c>
      <c r="F441" t="s">
        <v>39</v>
      </c>
      <c r="G441" t="s">
        <v>40</v>
      </c>
      <c r="H441" t="s">
        <v>1544</v>
      </c>
      <c r="I441" s="7">
        <v>333.58</v>
      </c>
      <c r="J441" s="8">
        <v>3</v>
      </c>
      <c r="K441" s="7">
        <v>25.02</v>
      </c>
    </row>
    <row r="442" spans="1:11" x14ac:dyDescent="0.3">
      <c r="A442" s="2">
        <v>41863</v>
      </c>
      <c r="B442" s="9">
        <f>MONTH(Table1[[#This Row],[Order Date]])</f>
        <v>8</v>
      </c>
      <c r="C442" s="9">
        <f>YEAR(Table1[[#This Row],[Order Date]])</f>
        <v>2014</v>
      </c>
      <c r="D442" t="s">
        <v>1714</v>
      </c>
      <c r="E442" t="s">
        <v>10</v>
      </c>
      <c r="F442" t="s">
        <v>11</v>
      </c>
      <c r="G442" t="s">
        <v>18</v>
      </c>
      <c r="H442" t="s">
        <v>1715</v>
      </c>
      <c r="I442" s="7">
        <v>60.42</v>
      </c>
      <c r="J442" s="8">
        <v>2</v>
      </c>
      <c r="K442" s="7">
        <v>6.04</v>
      </c>
    </row>
    <row r="443" spans="1:11" x14ac:dyDescent="0.3">
      <c r="A443" s="2">
        <v>41863</v>
      </c>
      <c r="B443" s="9">
        <f>MONTH(Table1[[#This Row],[Order Date]])</f>
        <v>8</v>
      </c>
      <c r="C443" s="9">
        <f>YEAR(Table1[[#This Row],[Order Date]])</f>
        <v>2014</v>
      </c>
      <c r="D443" t="s">
        <v>1716</v>
      </c>
      <c r="E443" t="s">
        <v>91</v>
      </c>
      <c r="F443" t="s">
        <v>11</v>
      </c>
      <c r="G443" t="s">
        <v>20</v>
      </c>
      <c r="H443" t="s">
        <v>1717</v>
      </c>
      <c r="I443" s="7">
        <v>6.46</v>
      </c>
      <c r="J443" s="8">
        <v>4</v>
      </c>
      <c r="K443" s="7">
        <v>-4.5199999999999996</v>
      </c>
    </row>
    <row r="444" spans="1:11" x14ac:dyDescent="0.3">
      <c r="A444" s="2">
        <v>41863</v>
      </c>
      <c r="B444" s="9">
        <f>MONTH(Table1[[#This Row],[Order Date]])</f>
        <v>8</v>
      </c>
      <c r="C444" s="9">
        <f>YEAR(Table1[[#This Row],[Order Date]])</f>
        <v>2014</v>
      </c>
      <c r="D444" t="s">
        <v>1716</v>
      </c>
      <c r="E444" t="s">
        <v>91</v>
      </c>
      <c r="F444" t="s">
        <v>39</v>
      </c>
      <c r="G444" t="s">
        <v>40</v>
      </c>
      <c r="H444" t="s">
        <v>1718</v>
      </c>
      <c r="I444" s="7">
        <v>52.68</v>
      </c>
      <c r="J444" s="8">
        <v>3</v>
      </c>
      <c r="K444" s="7">
        <v>19.760000000000002</v>
      </c>
    </row>
    <row r="445" spans="1:11" x14ac:dyDescent="0.3">
      <c r="A445" s="2">
        <v>41863</v>
      </c>
      <c r="B445" s="9">
        <f>MONTH(Table1[[#This Row],[Order Date]])</f>
        <v>8</v>
      </c>
      <c r="C445" s="9">
        <f>YEAR(Table1[[#This Row],[Order Date]])</f>
        <v>2014</v>
      </c>
      <c r="D445" t="s">
        <v>1716</v>
      </c>
      <c r="E445" t="s">
        <v>91</v>
      </c>
      <c r="F445" t="s">
        <v>11</v>
      </c>
      <c r="G445" t="s">
        <v>194</v>
      </c>
      <c r="H445" t="s">
        <v>1095</v>
      </c>
      <c r="I445" s="7">
        <v>13.88</v>
      </c>
      <c r="J445" s="8">
        <v>5</v>
      </c>
      <c r="K445" s="7">
        <v>-2.6</v>
      </c>
    </row>
    <row r="446" spans="1:11" x14ac:dyDescent="0.3">
      <c r="A446" s="2">
        <v>41863</v>
      </c>
      <c r="B446" s="9">
        <f>MONTH(Table1[[#This Row],[Order Date]])</f>
        <v>8</v>
      </c>
      <c r="C446" s="9">
        <f>YEAR(Table1[[#This Row],[Order Date]])</f>
        <v>2014</v>
      </c>
      <c r="D446" t="s">
        <v>1716</v>
      </c>
      <c r="E446" t="s">
        <v>91</v>
      </c>
      <c r="F446" t="s">
        <v>39</v>
      </c>
      <c r="G446" t="s">
        <v>52</v>
      </c>
      <c r="H446" t="s">
        <v>679</v>
      </c>
      <c r="I446" s="7">
        <v>103.92</v>
      </c>
      <c r="J446" s="8">
        <v>10</v>
      </c>
      <c r="K446" s="7">
        <v>-18.190000000000001</v>
      </c>
    </row>
    <row r="447" spans="1:11" x14ac:dyDescent="0.3">
      <c r="A447" s="2">
        <v>41863</v>
      </c>
      <c r="B447" s="9">
        <f>MONTH(Table1[[#This Row],[Order Date]])</f>
        <v>8</v>
      </c>
      <c r="C447" s="9">
        <f>YEAR(Table1[[#This Row],[Order Date]])</f>
        <v>2014</v>
      </c>
      <c r="D447" t="s">
        <v>1716</v>
      </c>
      <c r="E447" t="s">
        <v>91</v>
      </c>
      <c r="F447" t="s">
        <v>11</v>
      </c>
      <c r="G447" t="s">
        <v>16</v>
      </c>
      <c r="H447" t="s">
        <v>354</v>
      </c>
      <c r="I447" s="7">
        <v>11.52</v>
      </c>
      <c r="J447" s="8">
        <v>5</v>
      </c>
      <c r="K447" s="7">
        <v>3.74</v>
      </c>
    </row>
    <row r="448" spans="1:11" x14ac:dyDescent="0.3">
      <c r="A448" s="2">
        <v>41863</v>
      </c>
      <c r="B448" s="9">
        <f>MONTH(Table1[[#This Row],[Order Date]])</f>
        <v>8</v>
      </c>
      <c r="C448" s="9">
        <f>YEAR(Table1[[#This Row],[Order Date]])</f>
        <v>2014</v>
      </c>
      <c r="D448" t="s">
        <v>1716</v>
      </c>
      <c r="E448" t="s">
        <v>91</v>
      </c>
      <c r="F448" t="s">
        <v>11</v>
      </c>
      <c r="G448" t="s">
        <v>12</v>
      </c>
      <c r="H448" t="s">
        <v>536</v>
      </c>
      <c r="I448" s="7">
        <v>10.37</v>
      </c>
      <c r="J448" s="8">
        <v>2</v>
      </c>
      <c r="K448" s="7">
        <v>3.63</v>
      </c>
    </row>
    <row r="449" spans="1:11" x14ac:dyDescent="0.3">
      <c r="A449" s="2">
        <v>41863</v>
      </c>
      <c r="B449" s="9">
        <f>MONTH(Table1[[#This Row],[Order Date]])</f>
        <v>8</v>
      </c>
      <c r="C449" s="9">
        <f>YEAR(Table1[[#This Row],[Order Date]])</f>
        <v>2014</v>
      </c>
      <c r="D449" t="s">
        <v>730</v>
      </c>
      <c r="E449" t="s">
        <v>158</v>
      </c>
      <c r="F449" t="s">
        <v>11</v>
      </c>
      <c r="G449" t="s">
        <v>12</v>
      </c>
      <c r="H449" t="s">
        <v>1719</v>
      </c>
      <c r="I449" s="7">
        <v>45.68</v>
      </c>
      <c r="J449" s="8">
        <v>2</v>
      </c>
      <c r="K449" s="7">
        <v>21.01</v>
      </c>
    </row>
    <row r="450" spans="1:11" x14ac:dyDescent="0.3">
      <c r="A450" s="2">
        <v>41863</v>
      </c>
      <c r="B450" s="9">
        <f>MONTH(Table1[[#This Row],[Order Date]])</f>
        <v>8</v>
      </c>
      <c r="C450" s="9">
        <f>YEAR(Table1[[#This Row],[Order Date]])</f>
        <v>2014</v>
      </c>
      <c r="D450" t="s">
        <v>1720</v>
      </c>
      <c r="E450" t="s">
        <v>27</v>
      </c>
      <c r="F450" t="s">
        <v>34</v>
      </c>
      <c r="G450" t="s">
        <v>47</v>
      </c>
      <c r="H450" t="s">
        <v>1550</v>
      </c>
      <c r="I450" s="7">
        <v>39.880000000000003</v>
      </c>
      <c r="J450" s="8">
        <v>2</v>
      </c>
      <c r="K450" s="7">
        <v>11.17</v>
      </c>
    </row>
    <row r="451" spans="1:11" x14ac:dyDescent="0.3">
      <c r="A451" s="2">
        <v>41883</v>
      </c>
      <c r="B451" s="9">
        <f>MONTH(Table1[[#This Row],[Order Date]])</f>
        <v>9</v>
      </c>
      <c r="C451" s="9">
        <f>YEAR(Table1[[#This Row],[Order Date]])</f>
        <v>2014</v>
      </c>
      <c r="D451" t="s">
        <v>50</v>
      </c>
      <c r="E451" t="s">
        <v>10</v>
      </c>
      <c r="F451" t="s">
        <v>11</v>
      </c>
      <c r="G451" t="s">
        <v>24</v>
      </c>
      <c r="H451" t="s">
        <v>51</v>
      </c>
      <c r="I451" s="7">
        <v>9.34</v>
      </c>
      <c r="J451" s="8">
        <v>2</v>
      </c>
      <c r="K451" s="7">
        <v>1.17</v>
      </c>
    </row>
    <row r="452" spans="1:11" x14ac:dyDescent="0.3">
      <c r="A452" s="2">
        <v>41883</v>
      </c>
      <c r="B452" s="9">
        <f>MONTH(Table1[[#This Row],[Order Date]])</f>
        <v>9</v>
      </c>
      <c r="C452" s="9">
        <f>YEAR(Table1[[#This Row],[Order Date]])</f>
        <v>2014</v>
      </c>
      <c r="D452" t="s">
        <v>50</v>
      </c>
      <c r="E452" t="s">
        <v>10</v>
      </c>
      <c r="F452" t="s">
        <v>39</v>
      </c>
      <c r="G452" t="s">
        <v>52</v>
      </c>
      <c r="H452" t="s">
        <v>53</v>
      </c>
      <c r="I452" s="7">
        <v>31.2</v>
      </c>
      <c r="J452" s="8">
        <v>3</v>
      </c>
      <c r="K452" s="7">
        <v>9.75</v>
      </c>
    </row>
    <row r="453" spans="1:11" x14ac:dyDescent="0.3">
      <c r="A453" s="2">
        <v>41887</v>
      </c>
      <c r="B453" s="9">
        <f>MONTH(Table1[[#This Row],[Order Date]])</f>
        <v>9</v>
      </c>
      <c r="C453" s="9">
        <f>YEAR(Table1[[#This Row],[Order Date]])</f>
        <v>2014</v>
      </c>
      <c r="D453" t="s">
        <v>622</v>
      </c>
      <c r="E453" t="s">
        <v>27</v>
      </c>
      <c r="F453" t="s">
        <v>39</v>
      </c>
      <c r="G453" t="s">
        <v>52</v>
      </c>
      <c r="H453" t="s">
        <v>623</v>
      </c>
      <c r="I453" s="7">
        <v>167.97</v>
      </c>
      <c r="J453" s="8">
        <v>3</v>
      </c>
      <c r="K453" s="7">
        <v>40.31</v>
      </c>
    </row>
    <row r="454" spans="1:11" x14ac:dyDescent="0.3">
      <c r="A454" s="2">
        <v>41887</v>
      </c>
      <c r="B454" s="9">
        <f>MONTH(Table1[[#This Row],[Order Date]])</f>
        <v>9</v>
      </c>
      <c r="C454" s="9">
        <f>YEAR(Table1[[#This Row],[Order Date]])</f>
        <v>2014</v>
      </c>
      <c r="D454" t="s">
        <v>624</v>
      </c>
      <c r="E454" t="s">
        <v>33</v>
      </c>
      <c r="F454" t="s">
        <v>11</v>
      </c>
      <c r="G454" t="s">
        <v>18</v>
      </c>
      <c r="H454" t="s">
        <v>625</v>
      </c>
      <c r="I454" s="7">
        <v>83.25</v>
      </c>
      <c r="J454" s="8">
        <v>3</v>
      </c>
      <c r="K454" s="7">
        <v>14.99</v>
      </c>
    </row>
    <row r="455" spans="1:11" x14ac:dyDescent="0.3">
      <c r="A455" s="2">
        <v>41887</v>
      </c>
      <c r="B455" s="9">
        <f>MONTH(Table1[[#This Row],[Order Date]])</f>
        <v>9</v>
      </c>
      <c r="C455" s="9">
        <f>YEAR(Table1[[#This Row],[Order Date]])</f>
        <v>2014</v>
      </c>
      <c r="D455" t="s">
        <v>624</v>
      </c>
      <c r="E455" t="s">
        <v>33</v>
      </c>
      <c r="F455" t="s">
        <v>11</v>
      </c>
      <c r="G455" t="s">
        <v>16</v>
      </c>
      <c r="H455" t="s">
        <v>626</v>
      </c>
      <c r="I455" s="7">
        <v>20.65</v>
      </c>
      <c r="J455" s="8">
        <v>5</v>
      </c>
      <c r="K455" s="7">
        <v>9.5</v>
      </c>
    </row>
    <row r="456" spans="1:11" x14ac:dyDescent="0.3">
      <c r="A456" s="2">
        <v>41887</v>
      </c>
      <c r="B456" s="9">
        <f>MONTH(Table1[[#This Row],[Order Date]])</f>
        <v>9</v>
      </c>
      <c r="C456" s="9">
        <f>YEAR(Table1[[#This Row],[Order Date]])</f>
        <v>2014</v>
      </c>
      <c r="D456" t="s">
        <v>624</v>
      </c>
      <c r="E456" t="s">
        <v>33</v>
      </c>
      <c r="F456" t="s">
        <v>11</v>
      </c>
      <c r="G456" t="s">
        <v>12</v>
      </c>
      <c r="H456" t="s">
        <v>627</v>
      </c>
      <c r="I456" s="7">
        <v>45.36</v>
      </c>
      <c r="J456" s="8">
        <v>7</v>
      </c>
      <c r="K456" s="7">
        <v>21.77</v>
      </c>
    </row>
    <row r="457" spans="1:11" x14ac:dyDescent="0.3">
      <c r="A457" s="2">
        <v>41888</v>
      </c>
      <c r="B457" s="9">
        <f>MONTH(Table1[[#This Row],[Order Date]])</f>
        <v>9</v>
      </c>
      <c r="C457" s="9">
        <f>YEAR(Table1[[#This Row],[Order Date]])</f>
        <v>2014</v>
      </c>
      <c r="D457" t="s">
        <v>776</v>
      </c>
      <c r="E457" t="s">
        <v>27</v>
      </c>
      <c r="F457" t="s">
        <v>39</v>
      </c>
      <c r="G457" t="s">
        <v>40</v>
      </c>
      <c r="H457" t="s">
        <v>779</v>
      </c>
      <c r="I457" s="7">
        <v>907.15</v>
      </c>
      <c r="J457" s="8">
        <v>6</v>
      </c>
      <c r="K457" s="7">
        <v>90.72</v>
      </c>
    </row>
    <row r="458" spans="1:11" x14ac:dyDescent="0.3">
      <c r="A458" s="2">
        <v>41888</v>
      </c>
      <c r="B458" s="9">
        <f>MONTH(Table1[[#This Row],[Order Date]])</f>
        <v>9</v>
      </c>
      <c r="C458" s="9">
        <f>YEAR(Table1[[#This Row],[Order Date]])</f>
        <v>2014</v>
      </c>
      <c r="D458" t="s">
        <v>776</v>
      </c>
      <c r="E458" t="s">
        <v>27</v>
      </c>
      <c r="F458" t="s">
        <v>11</v>
      </c>
      <c r="G458" t="s">
        <v>20</v>
      </c>
      <c r="H458" t="s">
        <v>780</v>
      </c>
      <c r="I458" s="7">
        <v>18.5</v>
      </c>
      <c r="J458" s="8">
        <v>3</v>
      </c>
      <c r="K458" s="7">
        <v>5.78</v>
      </c>
    </row>
    <row r="459" spans="1:11" x14ac:dyDescent="0.3">
      <c r="A459" s="2">
        <v>41888</v>
      </c>
      <c r="B459" s="9">
        <f>MONTH(Table1[[#This Row],[Order Date]])</f>
        <v>9</v>
      </c>
      <c r="C459" s="9">
        <f>YEAR(Table1[[#This Row],[Order Date]])</f>
        <v>2014</v>
      </c>
      <c r="D459" t="s">
        <v>776</v>
      </c>
      <c r="E459" t="s">
        <v>27</v>
      </c>
      <c r="F459" t="s">
        <v>34</v>
      </c>
      <c r="G459" t="s">
        <v>140</v>
      </c>
      <c r="H459" t="s">
        <v>723</v>
      </c>
      <c r="I459" s="7">
        <v>1706.18</v>
      </c>
      <c r="J459" s="8">
        <v>9</v>
      </c>
      <c r="K459" s="7">
        <v>85.31</v>
      </c>
    </row>
    <row r="460" spans="1:11" x14ac:dyDescent="0.3">
      <c r="A460" s="2">
        <v>41888</v>
      </c>
      <c r="B460" s="9">
        <f>MONTH(Table1[[#This Row],[Order Date]])</f>
        <v>9</v>
      </c>
      <c r="C460" s="9">
        <f>YEAR(Table1[[#This Row],[Order Date]])</f>
        <v>2014</v>
      </c>
      <c r="D460" t="s">
        <v>776</v>
      </c>
      <c r="E460" t="s">
        <v>27</v>
      </c>
      <c r="F460" t="s">
        <v>39</v>
      </c>
      <c r="G460" t="s">
        <v>40</v>
      </c>
      <c r="H460" t="s">
        <v>782</v>
      </c>
      <c r="I460" s="7">
        <v>911.42</v>
      </c>
      <c r="J460" s="8">
        <v>4</v>
      </c>
      <c r="K460" s="7">
        <v>68.36</v>
      </c>
    </row>
    <row r="461" spans="1:11" x14ac:dyDescent="0.3">
      <c r="A461" s="2">
        <v>41888</v>
      </c>
      <c r="B461" s="9">
        <f>MONTH(Table1[[#This Row],[Order Date]])</f>
        <v>9</v>
      </c>
      <c r="C461" s="9">
        <f>YEAR(Table1[[#This Row],[Order Date]])</f>
        <v>2014</v>
      </c>
      <c r="D461" t="s">
        <v>783</v>
      </c>
      <c r="E461" t="s">
        <v>10</v>
      </c>
      <c r="F461" t="s">
        <v>39</v>
      </c>
      <c r="G461" t="s">
        <v>40</v>
      </c>
      <c r="H461" t="s">
        <v>584</v>
      </c>
      <c r="I461" s="7">
        <v>7.99</v>
      </c>
      <c r="J461" s="8">
        <v>1</v>
      </c>
      <c r="K461" s="7">
        <v>0.6</v>
      </c>
    </row>
    <row r="462" spans="1:11" x14ac:dyDescent="0.3">
      <c r="A462" s="2">
        <v>41888</v>
      </c>
      <c r="B462" s="9">
        <f>MONTH(Table1[[#This Row],[Order Date]])</f>
        <v>9</v>
      </c>
      <c r="C462" s="9">
        <f>YEAR(Table1[[#This Row],[Order Date]])</f>
        <v>2014</v>
      </c>
      <c r="D462" t="s">
        <v>783</v>
      </c>
      <c r="E462" t="s">
        <v>10</v>
      </c>
      <c r="F462" t="s">
        <v>39</v>
      </c>
      <c r="G462" t="s">
        <v>52</v>
      </c>
      <c r="H462" t="s">
        <v>784</v>
      </c>
      <c r="I462" s="7">
        <v>63.98</v>
      </c>
      <c r="J462" s="8">
        <v>2</v>
      </c>
      <c r="K462" s="7">
        <v>10.4</v>
      </c>
    </row>
    <row r="463" spans="1:11" x14ac:dyDescent="0.3">
      <c r="A463" s="2">
        <v>41888</v>
      </c>
      <c r="B463" s="9">
        <f>MONTH(Table1[[#This Row],[Order Date]])</f>
        <v>9</v>
      </c>
      <c r="C463" s="9">
        <f>YEAR(Table1[[#This Row],[Order Date]])</f>
        <v>2014</v>
      </c>
      <c r="D463" t="s">
        <v>783</v>
      </c>
      <c r="E463" t="s">
        <v>10</v>
      </c>
      <c r="F463" t="s">
        <v>11</v>
      </c>
      <c r="G463" t="s">
        <v>24</v>
      </c>
      <c r="H463" t="s">
        <v>785</v>
      </c>
      <c r="I463" s="7">
        <v>70.37</v>
      </c>
      <c r="J463" s="8">
        <v>2</v>
      </c>
      <c r="K463" s="7">
        <v>6.16</v>
      </c>
    </row>
    <row r="464" spans="1:11" x14ac:dyDescent="0.3">
      <c r="A464" s="2">
        <v>41888</v>
      </c>
      <c r="B464" s="9">
        <f>MONTH(Table1[[#This Row],[Order Date]])</f>
        <v>9</v>
      </c>
      <c r="C464" s="9">
        <f>YEAR(Table1[[#This Row],[Order Date]])</f>
        <v>2014</v>
      </c>
      <c r="D464" t="s">
        <v>786</v>
      </c>
      <c r="E464" t="s">
        <v>27</v>
      </c>
      <c r="F464" t="s">
        <v>11</v>
      </c>
      <c r="G464" t="s">
        <v>194</v>
      </c>
      <c r="H464" t="s">
        <v>787</v>
      </c>
      <c r="I464" s="7">
        <v>7.36</v>
      </c>
      <c r="J464" s="8">
        <v>2</v>
      </c>
      <c r="K464" s="7">
        <v>0.15</v>
      </c>
    </row>
    <row r="465" spans="1:11" x14ac:dyDescent="0.3">
      <c r="A465" s="2">
        <v>41888</v>
      </c>
      <c r="B465" s="9">
        <f>MONTH(Table1[[#This Row],[Order Date]])</f>
        <v>9</v>
      </c>
      <c r="C465" s="9">
        <f>YEAR(Table1[[#This Row],[Order Date]])</f>
        <v>2014</v>
      </c>
      <c r="D465" t="s">
        <v>786</v>
      </c>
      <c r="E465" t="s">
        <v>27</v>
      </c>
      <c r="F465" t="s">
        <v>11</v>
      </c>
      <c r="G465" t="s">
        <v>24</v>
      </c>
      <c r="H465" t="s">
        <v>788</v>
      </c>
      <c r="I465" s="7">
        <v>23.1</v>
      </c>
      <c r="J465" s="8">
        <v>2</v>
      </c>
      <c r="K465" s="7">
        <v>10.63</v>
      </c>
    </row>
    <row r="466" spans="1:11" x14ac:dyDescent="0.3">
      <c r="A466" s="2">
        <v>41888</v>
      </c>
      <c r="B466" s="9">
        <f>MONTH(Table1[[#This Row],[Order Date]])</f>
        <v>9</v>
      </c>
      <c r="C466" s="9">
        <f>YEAR(Table1[[#This Row],[Order Date]])</f>
        <v>2014</v>
      </c>
      <c r="D466" t="s">
        <v>789</v>
      </c>
      <c r="E466" t="s">
        <v>55</v>
      </c>
      <c r="F466" t="s">
        <v>34</v>
      </c>
      <c r="G466" t="s">
        <v>140</v>
      </c>
      <c r="H466" t="s">
        <v>790</v>
      </c>
      <c r="I466" s="7">
        <v>1441.3</v>
      </c>
      <c r="J466" s="8">
        <v>7</v>
      </c>
      <c r="K466" s="7">
        <v>245.02</v>
      </c>
    </row>
    <row r="467" spans="1:11" x14ac:dyDescent="0.3">
      <c r="A467" s="2">
        <v>41888</v>
      </c>
      <c r="B467" s="9">
        <f>MONTH(Table1[[#This Row],[Order Date]])</f>
        <v>9</v>
      </c>
      <c r="C467" s="9">
        <f>YEAR(Table1[[#This Row],[Order Date]])</f>
        <v>2014</v>
      </c>
      <c r="D467" t="s">
        <v>350</v>
      </c>
      <c r="E467" t="s">
        <v>123</v>
      </c>
      <c r="F467" t="s">
        <v>34</v>
      </c>
      <c r="G467" t="s">
        <v>47</v>
      </c>
      <c r="H467" t="s">
        <v>792</v>
      </c>
      <c r="I467" s="7">
        <v>37.4</v>
      </c>
      <c r="J467" s="8">
        <v>2</v>
      </c>
      <c r="K467" s="7">
        <v>14.21</v>
      </c>
    </row>
    <row r="468" spans="1:11" x14ac:dyDescent="0.3">
      <c r="A468" s="2">
        <v>41889</v>
      </c>
      <c r="B468" s="9">
        <f>MONTH(Table1[[#This Row],[Order Date]])</f>
        <v>9</v>
      </c>
      <c r="C468" s="9">
        <f>YEAR(Table1[[#This Row],[Order Date]])</f>
        <v>2014</v>
      </c>
      <c r="D468" t="s">
        <v>901</v>
      </c>
      <c r="E468" t="s">
        <v>10</v>
      </c>
      <c r="F468" t="s">
        <v>11</v>
      </c>
      <c r="G468" t="s">
        <v>12</v>
      </c>
      <c r="H468" t="s">
        <v>131</v>
      </c>
      <c r="I468" s="7">
        <v>10.37</v>
      </c>
      <c r="J468" s="8">
        <v>2</v>
      </c>
      <c r="K468" s="7">
        <v>3.63</v>
      </c>
    </row>
    <row r="469" spans="1:11" x14ac:dyDescent="0.3">
      <c r="A469" s="2">
        <v>41889</v>
      </c>
      <c r="B469" s="9">
        <f>MONTH(Table1[[#This Row],[Order Date]])</f>
        <v>9</v>
      </c>
      <c r="C469" s="9">
        <f>YEAR(Table1[[#This Row],[Order Date]])</f>
        <v>2014</v>
      </c>
      <c r="D469" t="s">
        <v>901</v>
      </c>
      <c r="E469" t="s">
        <v>10</v>
      </c>
      <c r="F469" t="s">
        <v>11</v>
      </c>
      <c r="G469" t="s">
        <v>12</v>
      </c>
      <c r="H469" t="s">
        <v>902</v>
      </c>
      <c r="I469" s="7">
        <v>14.35</v>
      </c>
      <c r="J469" s="8">
        <v>3</v>
      </c>
      <c r="K469" s="7">
        <v>4.49</v>
      </c>
    </row>
    <row r="470" spans="1:11" x14ac:dyDescent="0.3">
      <c r="A470" s="2">
        <v>41889</v>
      </c>
      <c r="B470" s="9">
        <f>MONTH(Table1[[#This Row],[Order Date]])</f>
        <v>9</v>
      </c>
      <c r="C470" s="9">
        <f>YEAR(Table1[[#This Row],[Order Date]])</f>
        <v>2014</v>
      </c>
      <c r="D470" t="s">
        <v>903</v>
      </c>
      <c r="E470" t="s">
        <v>27</v>
      </c>
      <c r="F470" t="s">
        <v>11</v>
      </c>
      <c r="G470" t="s">
        <v>16</v>
      </c>
      <c r="H470" t="s">
        <v>904</v>
      </c>
      <c r="I470" s="7">
        <v>2.88</v>
      </c>
      <c r="J470" s="8">
        <v>1</v>
      </c>
      <c r="K470" s="7">
        <v>1.41</v>
      </c>
    </row>
    <row r="471" spans="1:11" x14ac:dyDescent="0.3">
      <c r="A471" s="2">
        <v>41889</v>
      </c>
      <c r="B471" s="9">
        <f>MONTH(Table1[[#This Row],[Order Date]])</f>
        <v>9</v>
      </c>
      <c r="C471" s="9">
        <f>YEAR(Table1[[#This Row],[Order Date]])</f>
        <v>2014</v>
      </c>
      <c r="D471" t="s">
        <v>903</v>
      </c>
      <c r="E471" t="s">
        <v>27</v>
      </c>
      <c r="F471" t="s">
        <v>11</v>
      </c>
      <c r="G471" t="s">
        <v>20</v>
      </c>
      <c r="H471" t="s">
        <v>177</v>
      </c>
      <c r="I471" s="7">
        <v>41.9</v>
      </c>
      <c r="J471" s="8">
        <v>6</v>
      </c>
      <c r="K471" s="7">
        <v>14.14</v>
      </c>
    </row>
    <row r="472" spans="1:11" x14ac:dyDescent="0.3">
      <c r="A472" s="2">
        <v>41889</v>
      </c>
      <c r="B472" s="9">
        <f>MONTH(Table1[[#This Row],[Order Date]])</f>
        <v>9</v>
      </c>
      <c r="C472" s="9">
        <f>YEAR(Table1[[#This Row],[Order Date]])</f>
        <v>2014</v>
      </c>
      <c r="D472" t="s">
        <v>903</v>
      </c>
      <c r="E472" t="s">
        <v>27</v>
      </c>
      <c r="F472" t="s">
        <v>11</v>
      </c>
      <c r="G472" t="s">
        <v>18</v>
      </c>
      <c r="H472" t="s">
        <v>905</v>
      </c>
      <c r="I472" s="7">
        <v>23.92</v>
      </c>
      <c r="J472" s="8">
        <v>4</v>
      </c>
      <c r="K472" s="7">
        <v>4.07</v>
      </c>
    </row>
    <row r="473" spans="1:11" x14ac:dyDescent="0.3">
      <c r="A473" s="2">
        <v>41889</v>
      </c>
      <c r="B473" s="9">
        <f>MONTH(Table1[[#This Row],[Order Date]])</f>
        <v>9</v>
      </c>
      <c r="C473" s="9">
        <f>YEAR(Table1[[#This Row],[Order Date]])</f>
        <v>2014</v>
      </c>
      <c r="D473" t="s">
        <v>906</v>
      </c>
      <c r="E473" t="s">
        <v>27</v>
      </c>
      <c r="F473" t="s">
        <v>34</v>
      </c>
      <c r="G473" t="s">
        <v>74</v>
      </c>
      <c r="H473" t="s">
        <v>336</v>
      </c>
      <c r="I473" s="7">
        <v>119.83</v>
      </c>
      <c r="J473" s="8">
        <v>1</v>
      </c>
      <c r="K473" s="7">
        <v>7.05</v>
      </c>
    </row>
    <row r="474" spans="1:11" x14ac:dyDescent="0.3">
      <c r="A474" s="2">
        <v>41889</v>
      </c>
      <c r="B474" s="9">
        <f>MONTH(Table1[[#This Row],[Order Date]])</f>
        <v>9</v>
      </c>
      <c r="C474" s="9">
        <f>YEAR(Table1[[#This Row],[Order Date]])</f>
        <v>2014</v>
      </c>
      <c r="D474" t="s">
        <v>906</v>
      </c>
      <c r="E474" t="s">
        <v>27</v>
      </c>
      <c r="F474" t="s">
        <v>11</v>
      </c>
      <c r="G474" t="s">
        <v>24</v>
      </c>
      <c r="H474" t="s">
        <v>848</v>
      </c>
      <c r="I474" s="7">
        <v>5.56</v>
      </c>
      <c r="J474" s="8">
        <v>2</v>
      </c>
      <c r="K474" s="7">
        <v>2.2200000000000002</v>
      </c>
    </row>
    <row r="475" spans="1:11" x14ac:dyDescent="0.3">
      <c r="A475" s="2">
        <v>41889</v>
      </c>
      <c r="B475" s="9">
        <f>MONTH(Table1[[#This Row],[Order Date]])</f>
        <v>9</v>
      </c>
      <c r="C475" s="9">
        <f>YEAR(Table1[[#This Row],[Order Date]])</f>
        <v>2014</v>
      </c>
      <c r="D475" t="s">
        <v>906</v>
      </c>
      <c r="E475" t="s">
        <v>27</v>
      </c>
      <c r="F475" t="s">
        <v>11</v>
      </c>
      <c r="G475" t="s">
        <v>12</v>
      </c>
      <c r="H475" t="s">
        <v>321</v>
      </c>
      <c r="I475" s="7">
        <v>32.4</v>
      </c>
      <c r="J475" s="8">
        <v>5</v>
      </c>
      <c r="K475" s="7">
        <v>15.55</v>
      </c>
    </row>
    <row r="476" spans="1:11" x14ac:dyDescent="0.3">
      <c r="A476" s="2">
        <v>41890</v>
      </c>
      <c r="B476" s="9">
        <f>MONTH(Table1[[#This Row],[Order Date]])</f>
        <v>9</v>
      </c>
      <c r="C476" s="9">
        <f>YEAR(Table1[[#This Row],[Order Date]])</f>
        <v>2014</v>
      </c>
      <c r="D476" t="s">
        <v>1071</v>
      </c>
      <c r="E476" t="s">
        <v>120</v>
      </c>
      <c r="F476" t="s">
        <v>11</v>
      </c>
      <c r="G476" t="s">
        <v>12</v>
      </c>
      <c r="H476" t="s">
        <v>1072</v>
      </c>
      <c r="I476" s="7">
        <v>15.55</v>
      </c>
      <c r="J476" s="8">
        <v>3</v>
      </c>
      <c r="K476" s="7">
        <v>5.44</v>
      </c>
    </row>
    <row r="477" spans="1:11" x14ac:dyDescent="0.3">
      <c r="A477" s="2">
        <v>41890</v>
      </c>
      <c r="B477" s="9">
        <f>MONTH(Table1[[#This Row],[Order Date]])</f>
        <v>9</v>
      </c>
      <c r="C477" s="9">
        <f>YEAR(Table1[[#This Row],[Order Date]])</f>
        <v>2014</v>
      </c>
      <c r="D477" t="s">
        <v>1073</v>
      </c>
      <c r="E477" t="s">
        <v>27</v>
      </c>
      <c r="F477" t="s">
        <v>11</v>
      </c>
      <c r="G477" t="s">
        <v>16</v>
      </c>
      <c r="H477" t="s">
        <v>1074</v>
      </c>
      <c r="I477" s="7">
        <v>20.88</v>
      </c>
      <c r="J477" s="8">
        <v>8</v>
      </c>
      <c r="K477" s="7">
        <v>9.6</v>
      </c>
    </row>
    <row r="478" spans="1:11" x14ac:dyDescent="0.3">
      <c r="A478" s="2">
        <v>41890</v>
      </c>
      <c r="B478" s="9">
        <f>MONTH(Table1[[#This Row],[Order Date]])</f>
        <v>9</v>
      </c>
      <c r="C478" s="9">
        <f>YEAR(Table1[[#This Row],[Order Date]])</f>
        <v>2014</v>
      </c>
      <c r="D478" t="s">
        <v>1075</v>
      </c>
      <c r="E478" t="s">
        <v>158</v>
      </c>
      <c r="F478" t="s">
        <v>39</v>
      </c>
      <c r="G478" t="s">
        <v>40</v>
      </c>
      <c r="H478" t="s">
        <v>1076</v>
      </c>
      <c r="I478" s="7">
        <v>1091.17</v>
      </c>
      <c r="J478" s="8">
        <v>4</v>
      </c>
      <c r="K478" s="7">
        <v>68.2</v>
      </c>
    </row>
    <row r="479" spans="1:11" x14ac:dyDescent="0.3">
      <c r="A479" s="2">
        <v>41890</v>
      </c>
      <c r="B479" s="9">
        <f>MONTH(Table1[[#This Row],[Order Date]])</f>
        <v>9</v>
      </c>
      <c r="C479" s="9">
        <f>YEAR(Table1[[#This Row],[Order Date]])</f>
        <v>2014</v>
      </c>
      <c r="D479" t="s">
        <v>1075</v>
      </c>
      <c r="E479" t="s">
        <v>158</v>
      </c>
      <c r="F479" t="s">
        <v>39</v>
      </c>
      <c r="G479" t="s">
        <v>40</v>
      </c>
      <c r="H479" t="s">
        <v>1077</v>
      </c>
      <c r="I479" s="7">
        <v>219.17</v>
      </c>
      <c r="J479" s="8">
        <v>2</v>
      </c>
      <c r="K479" s="7">
        <v>-43.83</v>
      </c>
    </row>
    <row r="480" spans="1:11" x14ac:dyDescent="0.3">
      <c r="A480" s="2">
        <v>41890</v>
      </c>
      <c r="B480" s="9">
        <f>MONTH(Table1[[#This Row],[Order Date]])</f>
        <v>9</v>
      </c>
      <c r="C480" s="9">
        <f>YEAR(Table1[[#This Row],[Order Date]])</f>
        <v>2014</v>
      </c>
      <c r="D480" t="s">
        <v>1078</v>
      </c>
      <c r="E480" t="s">
        <v>158</v>
      </c>
      <c r="F480" t="s">
        <v>11</v>
      </c>
      <c r="G480" t="s">
        <v>20</v>
      </c>
      <c r="H480" t="s">
        <v>1079</v>
      </c>
      <c r="I480" s="7">
        <v>2060.7399999999998</v>
      </c>
      <c r="J480" s="8">
        <v>7</v>
      </c>
      <c r="K480" s="7">
        <v>643.98</v>
      </c>
    </row>
    <row r="481" spans="1:11" x14ac:dyDescent="0.3">
      <c r="A481" s="2">
        <v>41890</v>
      </c>
      <c r="B481" s="9">
        <f>MONTH(Table1[[#This Row],[Order Date]])</f>
        <v>9</v>
      </c>
      <c r="C481" s="9">
        <f>YEAR(Table1[[#This Row],[Order Date]])</f>
        <v>2014</v>
      </c>
      <c r="D481" t="s">
        <v>1080</v>
      </c>
      <c r="E481" t="s">
        <v>27</v>
      </c>
      <c r="F481" t="s">
        <v>11</v>
      </c>
      <c r="G481" t="s">
        <v>12</v>
      </c>
      <c r="H481" t="s">
        <v>1081</v>
      </c>
      <c r="I481" s="7">
        <v>5.98</v>
      </c>
      <c r="J481" s="8">
        <v>1</v>
      </c>
      <c r="K481" s="7">
        <v>2.69</v>
      </c>
    </row>
    <row r="482" spans="1:11" x14ac:dyDescent="0.3">
      <c r="A482" s="2">
        <v>41890</v>
      </c>
      <c r="B482" s="9">
        <f>MONTH(Table1[[#This Row],[Order Date]])</f>
        <v>9</v>
      </c>
      <c r="C482" s="9">
        <f>YEAR(Table1[[#This Row],[Order Date]])</f>
        <v>2014</v>
      </c>
      <c r="D482" t="s">
        <v>960</v>
      </c>
      <c r="E482" t="s">
        <v>95</v>
      </c>
      <c r="F482" t="s">
        <v>11</v>
      </c>
      <c r="G482" t="s">
        <v>43</v>
      </c>
      <c r="H482" t="s">
        <v>1082</v>
      </c>
      <c r="I482" s="7">
        <v>4.46</v>
      </c>
      <c r="J482" s="8">
        <v>3</v>
      </c>
      <c r="K482" s="7">
        <v>-0.95</v>
      </c>
    </row>
    <row r="483" spans="1:11" x14ac:dyDescent="0.3">
      <c r="A483" s="2">
        <v>41890</v>
      </c>
      <c r="B483" s="9">
        <f>MONTH(Table1[[#This Row],[Order Date]])</f>
        <v>9</v>
      </c>
      <c r="C483" s="9">
        <f>YEAR(Table1[[#This Row],[Order Date]])</f>
        <v>2014</v>
      </c>
      <c r="D483" t="s">
        <v>960</v>
      </c>
      <c r="E483" t="s">
        <v>95</v>
      </c>
      <c r="F483" t="s">
        <v>11</v>
      </c>
      <c r="G483" t="s">
        <v>20</v>
      </c>
      <c r="H483" t="s">
        <v>416</v>
      </c>
      <c r="I483" s="7">
        <v>9.35</v>
      </c>
      <c r="J483" s="8">
        <v>5</v>
      </c>
      <c r="K483" s="7">
        <v>-6.54</v>
      </c>
    </row>
    <row r="484" spans="1:11" x14ac:dyDescent="0.3">
      <c r="A484" s="2">
        <v>41891</v>
      </c>
      <c r="B484" s="9">
        <f>MONTH(Table1[[#This Row],[Order Date]])</f>
        <v>9</v>
      </c>
      <c r="C484" s="9">
        <f>YEAR(Table1[[#This Row],[Order Date]])</f>
        <v>2014</v>
      </c>
      <c r="D484" t="s">
        <v>1230</v>
      </c>
      <c r="E484" t="s">
        <v>108</v>
      </c>
      <c r="F484" t="s">
        <v>11</v>
      </c>
      <c r="G484" t="s">
        <v>16</v>
      </c>
      <c r="H484" t="s">
        <v>1231</v>
      </c>
      <c r="I484" s="7">
        <v>103.6</v>
      </c>
      <c r="J484" s="8">
        <v>7</v>
      </c>
      <c r="K484" s="7">
        <v>51.8</v>
      </c>
    </row>
    <row r="485" spans="1:11" x14ac:dyDescent="0.3">
      <c r="A485" s="2">
        <v>41891</v>
      </c>
      <c r="B485" s="9">
        <f>MONTH(Table1[[#This Row],[Order Date]])</f>
        <v>9</v>
      </c>
      <c r="C485" s="9">
        <f>YEAR(Table1[[#This Row],[Order Date]])</f>
        <v>2014</v>
      </c>
      <c r="D485" t="s">
        <v>1232</v>
      </c>
      <c r="E485" t="s">
        <v>422</v>
      </c>
      <c r="F485" t="s">
        <v>34</v>
      </c>
      <c r="G485" t="s">
        <v>35</v>
      </c>
      <c r="H485" t="s">
        <v>1233</v>
      </c>
      <c r="I485" s="7">
        <v>785.88</v>
      </c>
      <c r="J485" s="8">
        <v>6</v>
      </c>
      <c r="K485" s="7">
        <v>212.19</v>
      </c>
    </row>
    <row r="486" spans="1:11" x14ac:dyDescent="0.3">
      <c r="A486" s="2">
        <v>41891</v>
      </c>
      <c r="B486" s="9">
        <f>MONTH(Table1[[#This Row],[Order Date]])</f>
        <v>9</v>
      </c>
      <c r="C486" s="9">
        <f>YEAR(Table1[[#This Row],[Order Date]])</f>
        <v>2014</v>
      </c>
      <c r="D486" t="s">
        <v>1232</v>
      </c>
      <c r="E486" t="s">
        <v>422</v>
      </c>
      <c r="F486" t="s">
        <v>11</v>
      </c>
      <c r="G486" t="s">
        <v>12</v>
      </c>
      <c r="H486" t="s">
        <v>1234</v>
      </c>
      <c r="I486" s="7">
        <v>26.2</v>
      </c>
      <c r="J486" s="8">
        <v>2</v>
      </c>
      <c r="K486" s="7">
        <v>12.84</v>
      </c>
    </row>
    <row r="487" spans="1:11" x14ac:dyDescent="0.3">
      <c r="A487" s="2">
        <v>41891</v>
      </c>
      <c r="B487" s="9">
        <f>MONTH(Table1[[#This Row],[Order Date]])</f>
        <v>9</v>
      </c>
      <c r="C487" s="9">
        <f>YEAR(Table1[[#This Row],[Order Date]])</f>
        <v>2014</v>
      </c>
      <c r="D487" t="s">
        <v>1232</v>
      </c>
      <c r="E487" t="s">
        <v>422</v>
      </c>
      <c r="F487" t="s">
        <v>11</v>
      </c>
      <c r="G487" t="s">
        <v>18</v>
      </c>
      <c r="H487" t="s">
        <v>73</v>
      </c>
      <c r="I487" s="7">
        <v>1325.85</v>
      </c>
      <c r="J487" s="8">
        <v>5</v>
      </c>
      <c r="K487" s="7">
        <v>238.65</v>
      </c>
    </row>
    <row r="488" spans="1:11" x14ac:dyDescent="0.3">
      <c r="A488" s="2">
        <v>41891</v>
      </c>
      <c r="B488" s="9">
        <f>MONTH(Table1[[#This Row],[Order Date]])</f>
        <v>9</v>
      </c>
      <c r="C488" s="9">
        <f>YEAR(Table1[[#This Row],[Order Date]])</f>
        <v>2014</v>
      </c>
      <c r="D488" t="s">
        <v>1235</v>
      </c>
      <c r="E488" t="s">
        <v>23</v>
      </c>
      <c r="F488" t="s">
        <v>11</v>
      </c>
      <c r="G488" t="s">
        <v>12</v>
      </c>
      <c r="H488" t="s">
        <v>1236</v>
      </c>
      <c r="I488" s="7">
        <v>15.55</v>
      </c>
      <c r="J488" s="8">
        <v>3</v>
      </c>
      <c r="K488" s="7">
        <v>5.44</v>
      </c>
    </row>
    <row r="489" spans="1:11" x14ac:dyDescent="0.3">
      <c r="A489" s="2">
        <v>41891</v>
      </c>
      <c r="B489" s="9">
        <f>MONTH(Table1[[#This Row],[Order Date]])</f>
        <v>9</v>
      </c>
      <c r="C489" s="9">
        <f>YEAR(Table1[[#This Row],[Order Date]])</f>
        <v>2014</v>
      </c>
      <c r="D489" t="s">
        <v>1235</v>
      </c>
      <c r="E489" t="s">
        <v>23</v>
      </c>
      <c r="F489" t="s">
        <v>39</v>
      </c>
      <c r="G489" t="s">
        <v>52</v>
      </c>
      <c r="H489" t="s">
        <v>1237</v>
      </c>
      <c r="I489" s="7">
        <v>64.7</v>
      </c>
      <c r="J489" s="8">
        <v>6</v>
      </c>
      <c r="K489" s="7">
        <v>-4.8499999999999996</v>
      </c>
    </row>
    <row r="490" spans="1:11" x14ac:dyDescent="0.3">
      <c r="A490" s="2">
        <v>41891</v>
      </c>
      <c r="B490" s="9">
        <f>MONTH(Table1[[#This Row],[Order Date]])</f>
        <v>9</v>
      </c>
      <c r="C490" s="9">
        <f>YEAR(Table1[[#This Row],[Order Date]])</f>
        <v>2014</v>
      </c>
      <c r="D490" t="s">
        <v>1235</v>
      </c>
      <c r="E490" t="s">
        <v>23</v>
      </c>
      <c r="F490" t="s">
        <v>34</v>
      </c>
      <c r="G490" t="s">
        <v>47</v>
      </c>
      <c r="H490" t="s">
        <v>1160</v>
      </c>
      <c r="I490" s="7">
        <v>17.47</v>
      </c>
      <c r="J490" s="8">
        <v>3</v>
      </c>
      <c r="K490" s="7">
        <v>5.0199999999999996</v>
      </c>
    </row>
    <row r="491" spans="1:11" x14ac:dyDescent="0.3">
      <c r="A491" s="2">
        <v>41891</v>
      </c>
      <c r="B491" s="9">
        <f>MONTH(Table1[[#This Row],[Order Date]])</f>
        <v>9</v>
      </c>
      <c r="C491" s="9">
        <f>YEAR(Table1[[#This Row],[Order Date]])</f>
        <v>2014</v>
      </c>
      <c r="D491" t="s">
        <v>1235</v>
      </c>
      <c r="E491" t="s">
        <v>23</v>
      </c>
      <c r="F491" t="s">
        <v>39</v>
      </c>
      <c r="G491" t="s">
        <v>40</v>
      </c>
      <c r="H491" t="s">
        <v>1238</v>
      </c>
      <c r="I491" s="7">
        <v>135.52000000000001</v>
      </c>
      <c r="J491" s="8">
        <v>1</v>
      </c>
      <c r="K491" s="7">
        <v>-31.62</v>
      </c>
    </row>
    <row r="492" spans="1:11" x14ac:dyDescent="0.3">
      <c r="A492" s="2">
        <v>41891</v>
      </c>
      <c r="B492" s="9">
        <f>MONTH(Table1[[#This Row],[Order Date]])</f>
        <v>9</v>
      </c>
      <c r="C492" s="9">
        <f>YEAR(Table1[[#This Row],[Order Date]])</f>
        <v>2014</v>
      </c>
      <c r="D492" t="s">
        <v>1239</v>
      </c>
      <c r="E492" t="s">
        <v>237</v>
      </c>
      <c r="F492" t="s">
        <v>39</v>
      </c>
      <c r="G492" t="s">
        <v>293</v>
      </c>
      <c r="H492" t="s">
        <v>1240</v>
      </c>
      <c r="I492" s="7">
        <v>1299.99</v>
      </c>
      <c r="J492" s="8">
        <v>2</v>
      </c>
      <c r="K492" s="7">
        <v>-572</v>
      </c>
    </row>
    <row r="493" spans="1:11" x14ac:dyDescent="0.3">
      <c r="A493" s="2">
        <v>41891</v>
      </c>
      <c r="B493" s="9">
        <f>MONTH(Table1[[#This Row],[Order Date]])</f>
        <v>9</v>
      </c>
      <c r="C493" s="9">
        <f>YEAR(Table1[[#This Row],[Order Date]])</f>
        <v>2014</v>
      </c>
      <c r="D493" t="s">
        <v>532</v>
      </c>
      <c r="E493" t="s">
        <v>78</v>
      </c>
      <c r="F493" t="s">
        <v>34</v>
      </c>
      <c r="G493" t="s">
        <v>47</v>
      </c>
      <c r="H493" t="s">
        <v>1241</v>
      </c>
      <c r="I493" s="7">
        <v>60.67</v>
      </c>
      <c r="J493" s="8">
        <v>6</v>
      </c>
      <c r="K493" s="7">
        <v>12.89</v>
      </c>
    </row>
    <row r="494" spans="1:11" x14ac:dyDescent="0.3">
      <c r="A494" s="2">
        <v>41891</v>
      </c>
      <c r="B494" s="9">
        <f>MONTH(Table1[[#This Row],[Order Date]])</f>
        <v>9</v>
      </c>
      <c r="C494" s="9">
        <f>YEAR(Table1[[#This Row],[Order Date]])</f>
        <v>2014</v>
      </c>
      <c r="D494" t="s">
        <v>1243</v>
      </c>
      <c r="E494" t="s">
        <v>15</v>
      </c>
      <c r="F494" t="s">
        <v>11</v>
      </c>
      <c r="G494" t="s">
        <v>12</v>
      </c>
      <c r="H494" t="s">
        <v>721</v>
      </c>
      <c r="I494" s="7">
        <v>10.9</v>
      </c>
      <c r="J494" s="8">
        <v>3</v>
      </c>
      <c r="K494" s="7">
        <v>3.41</v>
      </c>
    </row>
    <row r="495" spans="1:11" x14ac:dyDescent="0.3">
      <c r="A495" s="2">
        <v>41892</v>
      </c>
      <c r="B495" s="9">
        <f>MONTH(Table1[[#This Row],[Order Date]])</f>
        <v>9</v>
      </c>
      <c r="C495" s="9">
        <f>YEAR(Table1[[#This Row],[Order Date]])</f>
        <v>2014</v>
      </c>
      <c r="D495" t="s">
        <v>1170</v>
      </c>
      <c r="E495" t="s">
        <v>27</v>
      </c>
      <c r="F495" t="s">
        <v>39</v>
      </c>
      <c r="G495" t="s">
        <v>40</v>
      </c>
      <c r="H495" t="s">
        <v>933</v>
      </c>
      <c r="I495" s="7">
        <v>15.99</v>
      </c>
      <c r="J495" s="8">
        <v>1</v>
      </c>
      <c r="K495" s="7">
        <v>-3</v>
      </c>
    </row>
    <row r="496" spans="1:11" x14ac:dyDescent="0.3">
      <c r="A496" s="2">
        <v>41893</v>
      </c>
      <c r="B496" s="9">
        <f>MONTH(Table1[[#This Row],[Order Date]])</f>
        <v>9</v>
      </c>
      <c r="C496" s="9">
        <f>YEAR(Table1[[#This Row],[Order Date]])</f>
        <v>2014</v>
      </c>
      <c r="D496" t="s">
        <v>1119</v>
      </c>
      <c r="E496" t="s">
        <v>27</v>
      </c>
      <c r="F496" t="s">
        <v>34</v>
      </c>
      <c r="G496" t="s">
        <v>74</v>
      </c>
      <c r="H496" t="s">
        <v>1545</v>
      </c>
      <c r="I496" s="7">
        <v>222.67</v>
      </c>
      <c r="J496" s="8">
        <v>2</v>
      </c>
      <c r="K496" s="7">
        <v>10.48</v>
      </c>
    </row>
    <row r="497" spans="1:11" x14ac:dyDescent="0.3">
      <c r="A497" s="2">
        <v>41893</v>
      </c>
      <c r="B497" s="9">
        <f>MONTH(Table1[[#This Row],[Order Date]])</f>
        <v>9</v>
      </c>
      <c r="C497" s="9">
        <f>YEAR(Table1[[#This Row],[Order Date]])</f>
        <v>2014</v>
      </c>
      <c r="D497" t="s">
        <v>1119</v>
      </c>
      <c r="E497" t="s">
        <v>27</v>
      </c>
      <c r="F497" t="s">
        <v>39</v>
      </c>
      <c r="G497" t="s">
        <v>40</v>
      </c>
      <c r="H497" t="s">
        <v>731</v>
      </c>
      <c r="I497" s="7">
        <v>703.97</v>
      </c>
      <c r="J497" s="8">
        <v>4</v>
      </c>
      <c r="K497" s="7">
        <v>88</v>
      </c>
    </row>
    <row r="498" spans="1:11" x14ac:dyDescent="0.3">
      <c r="A498" s="2">
        <v>41893</v>
      </c>
      <c r="B498" s="9">
        <f>MONTH(Table1[[#This Row],[Order Date]])</f>
        <v>9</v>
      </c>
      <c r="C498" s="9">
        <f>YEAR(Table1[[#This Row],[Order Date]])</f>
        <v>2014</v>
      </c>
      <c r="D498" t="s">
        <v>1119</v>
      </c>
      <c r="E498" t="s">
        <v>27</v>
      </c>
      <c r="F498" t="s">
        <v>11</v>
      </c>
      <c r="G498" t="s">
        <v>18</v>
      </c>
      <c r="H498" t="s">
        <v>1305</v>
      </c>
      <c r="I498" s="7">
        <v>92.52</v>
      </c>
      <c r="J498" s="8">
        <v>6</v>
      </c>
      <c r="K498" s="7">
        <v>24.98</v>
      </c>
    </row>
    <row r="499" spans="1:11" x14ac:dyDescent="0.3">
      <c r="A499" s="2">
        <v>41893</v>
      </c>
      <c r="B499" s="9">
        <f>MONTH(Table1[[#This Row],[Order Date]])</f>
        <v>9</v>
      </c>
      <c r="C499" s="9">
        <f>YEAR(Table1[[#This Row],[Order Date]])</f>
        <v>2014</v>
      </c>
      <c r="D499" t="s">
        <v>1119</v>
      </c>
      <c r="E499" t="s">
        <v>27</v>
      </c>
      <c r="F499" t="s">
        <v>11</v>
      </c>
      <c r="G499" t="s">
        <v>12</v>
      </c>
      <c r="H499" t="s">
        <v>1546</v>
      </c>
      <c r="I499" s="7">
        <v>62.65</v>
      </c>
      <c r="J499" s="8">
        <v>7</v>
      </c>
      <c r="K499" s="7">
        <v>28.82</v>
      </c>
    </row>
    <row r="500" spans="1:11" x14ac:dyDescent="0.3">
      <c r="A500" s="2">
        <v>41893</v>
      </c>
      <c r="B500" s="9">
        <f>MONTH(Table1[[#This Row],[Order Date]])</f>
        <v>9</v>
      </c>
      <c r="C500" s="9">
        <f>YEAR(Table1[[#This Row],[Order Date]])</f>
        <v>2014</v>
      </c>
      <c r="D500" t="s">
        <v>1119</v>
      </c>
      <c r="E500" t="s">
        <v>27</v>
      </c>
      <c r="F500" t="s">
        <v>11</v>
      </c>
      <c r="G500" t="s">
        <v>12</v>
      </c>
      <c r="H500" t="s">
        <v>1547</v>
      </c>
      <c r="I500" s="7">
        <v>94.85</v>
      </c>
      <c r="J500" s="8">
        <v>5</v>
      </c>
      <c r="K500" s="7">
        <v>45.53</v>
      </c>
    </row>
    <row r="501" spans="1:11" x14ac:dyDescent="0.3">
      <c r="A501" s="2">
        <v>41893</v>
      </c>
      <c r="B501" s="9">
        <f>MONTH(Table1[[#This Row],[Order Date]])</f>
        <v>9</v>
      </c>
      <c r="C501" s="9">
        <f>YEAR(Table1[[#This Row],[Order Date]])</f>
        <v>2014</v>
      </c>
      <c r="D501" t="s">
        <v>1548</v>
      </c>
      <c r="E501" t="s">
        <v>144</v>
      </c>
      <c r="F501" t="s">
        <v>34</v>
      </c>
      <c r="G501" t="s">
        <v>47</v>
      </c>
      <c r="H501" t="s">
        <v>1549</v>
      </c>
      <c r="I501" s="7">
        <v>56.52</v>
      </c>
      <c r="J501" s="8">
        <v>9</v>
      </c>
      <c r="K501" s="7">
        <v>21.48</v>
      </c>
    </row>
    <row r="502" spans="1:11" x14ac:dyDescent="0.3">
      <c r="A502" s="2">
        <v>41894</v>
      </c>
      <c r="B502" s="9">
        <f>MONTH(Table1[[#This Row],[Order Date]])</f>
        <v>9</v>
      </c>
      <c r="C502" s="9">
        <f>YEAR(Table1[[#This Row],[Order Date]])</f>
        <v>2014</v>
      </c>
      <c r="D502" t="s">
        <v>170</v>
      </c>
      <c r="E502" t="s">
        <v>27</v>
      </c>
      <c r="F502" t="s">
        <v>11</v>
      </c>
      <c r="G502" t="s">
        <v>12</v>
      </c>
      <c r="H502" t="s">
        <v>1721</v>
      </c>
      <c r="I502" s="7">
        <v>34.68</v>
      </c>
      <c r="J502" s="8">
        <v>6</v>
      </c>
      <c r="K502" s="7">
        <v>16.989999999999998</v>
      </c>
    </row>
    <row r="503" spans="1:11" x14ac:dyDescent="0.3">
      <c r="A503" s="2">
        <v>41894</v>
      </c>
      <c r="B503" s="9">
        <f>MONTH(Table1[[#This Row],[Order Date]])</f>
        <v>9</v>
      </c>
      <c r="C503" s="9">
        <f>YEAR(Table1[[#This Row],[Order Date]])</f>
        <v>2014</v>
      </c>
      <c r="D503" t="s">
        <v>1381</v>
      </c>
      <c r="E503" t="s">
        <v>95</v>
      </c>
      <c r="F503" t="s">
        <v>11</v>
      </c>
      <c r="G503" t="s">
        <v>18</v>
      </c>
      <c r="H503" t="s">
        <v>1556</v>
      </c>
      <c r="I503" s="7">
        <v>100.7</v>
      </c>
      <c r="J503" s="8">
        <v>6</v>
      </c>
      <c r="K503" s="7">
        <v>-1.26</v>
      </c>
    </row>
    <row r="504" spans="1:11" x14ac:dyDescent="0.3">
      <c r="A504" s="2">
        <v>41894</v>
      </c>
      <c r="B504" s="9">
        <f>MONTH(Table1[[#This Row],[Order Date]])</f>
        <v>9</v>
      </c>
      <c r="C504" s="9">
        <f>YEAR(Table1[[#This Row],[Order Date]])</f>
        <v>2014</v>
      </c>
      <c r="D504" t="s">
        <v>1186</v>
      </c>
      <c r="E504" t="s">
        <v>10</v>
      </c>
      <c r="F504" t="s">
        <v>11</v>
      </c>
      <c r="G504" t="s">
        <v>12</v>
      </c>
      <c r="H504" t="s">
        <v>124</v>
      </c>
      <c r="I504" s="7">
        <v>10.69</v>
      </c>
      <c r="J504" s="8">
        <v>2</v>
      </c>
      <c r="K504" s="7">
        <v>3.74</v>
      </c>
    </row>
    <row r="505" spans="1:11" x14ac:dyDescent="0.3">
      <c r="A505" s="2">
        <v>41894</v>
      </c>
      <c r="B505" s="9">
        <f>MONTH(Table1[[#This Row],[Order Date]])</f>
        <v>9</v>
      </c>
      <c r="C505" s="9">
        <f>YEAR(Table1[[#This Row],[Order Date]])</f>
        <v>2014</v>
      </c>
      <c r="D505" t="s">
        <v>1186</v>
      </c>
      <c r="E505" t="s">
        <v>10</v>
      </c>
      <c r="F505" t="s">
        <v>11</v>
      </c>
      <c r="G505" t="s">
        <v>18</v>
      </c>
      <c r="H505" t="s">
        <v>1645</v>
      </c>
      <c r="I505" s="7">
        <v>237.1</v>
      </c>
      <c r="J505" s="8">
        <v>3</v>
      </c>
      <c r="K505" s="7">
        <v>20.75</v>
      </c>
    </row>
    <row r="506" spans="1:11" x14ac:dyDescent="0.3">
      <c r="A506" s="2">
        <v>41894</v>
      </c>
      <c r="B506" s="9">
        <f>MONTH(Table1[[#This Row],[Order Date]])</f>
        <v>9</v>
      </c>
      <c r="C506" s="9">
        <f>YEAR(Table1[[#This Row],[Order Date]])</f>
        <v>2014</v>
      </c>
      <c r="D506" t="s">
        <v>350</v>
      </c>
      <c r="E506" t="s">
        <v>15</v>
      </c>
      <c r="F506" t="s">
        <v>11</v>
      </c>
      <c r="G506" t="s">
        <v>12</v>
      </c>
      <c r="H506" t="s">
        <v>1722</v>
      </c>
      <c r="I506" s="7">
        <v>8.4499999999999993</v>
      </c>
      <c r="J506" s="8">
        <v>2</v>
      </c>
      <c r="K506" s="7">
        <v>2.96</v>
      </c>
    </row>
    <row r="507" spans="1:11" x14ac:dyDescent="0.3">
      <c r="A507" s="2">
        <v>41894</v>
      </c>
      <c r="B507" s="9">
        <f>MONTH(Table1[[#This Row],[Order Date]])</f>
        <v>9</v>
      </c>
      <c r="C507" s="9">
        <f>YEAR(Table1[[#This Row],[Order Date]])</f>
        <v>2014</v>
      </c>
      <c r="D507" t="s">
        <v>350</v>
      </c>
      <c r="E507" t="s">
        <v>15</v>
      </c>
      <c r="F507" t="s">
        <v>11</v>
      </c>
      <c r="G507" t="s">
        <v>92</v>
      </c>
      <c r="H507" t="s">
        <v>1101</v>
      </c>
      <c r="I507" s="7">
        <v>20.39</v>
      </c>
      <c r="J507" s="8">
        <v>2</v>
      </c>
      <c r="K507" s="7">
        <v>-53.01</v>
      </c>
    </row>
    <row r="508" spans="1:11" x14ac:dyDescent="0.3">
      <c r="A508" s="2">
        <v>41894</v>
      </c>
      <c r="B508" s="9">
        <f>MONTH(Table1[[#This Row],[Order Date]])</f>
        <v>9</v>
      </c>
      <c r="C508" s="9">
        <f>YEAR(Table1[[#This Row],[Order Date]])</f>
        <v>2014</v>
      </c>
      <c r="D508" t="s">
        <v>1712</v>
      </c>
      <c r="E508" t="s">
        <v>23</v>
      </c>
      <c r="F508" t="s">
        <v>39</v>
      </c>
      <c r="G508" t="s">
        <v>590</v>
      </c>
      <c r="H508" t="s">
        <v>1723</v>
      </c>
      <c r="I508" s="7">
        <v>1079.98</v>
      </c>
      <c r="J508" s="8">
        <v>4</v>
      </c>
      <c r="K508" s="7">
        <v>126</v>
      </c>
    </row>
    <row r="509" spans="1:11" x14ac:dyDescent="0.3">
      <c r="A509" s="2">
        <v>41913</v>
      </c>
      <c r="B509" s="9">
        <f>MONTH(Table1[[#This Row],[Order Date]])</f>
        <v>10</v>
      </c>
      <c r="C509" s="9">
        <f>YEAR(Table1[[#This Row],[Order Date]])</f>
        <v>2014</v>
      </c>
      <c r="D509" t="s">
        <v>54</v>
      </c>
      <c r="E509" t="s">
        <v>55</v>
      </c>
      <c r="F509" t="s">
        <v>11</v>
      </c>
      <c r="G509" t="s">
        <v>16</v>
      </c>
      <c r="H509" t="s">
        <v>56</v>
      </c>
      <c r="I509" s="7">
        <v>2.89</v>
      </c>
      <c r="J509" s="8">
        <v>1</v>
      </c>
      <c r="K509" s="7">
        <v>1.36</v>
      </c>
    </row>
    <row r="510" spans="1:11" x14ac:dyDescent="0.3">
      <c r="A510" s="2">
        <v>41913</v>
      </c>
      <c r="B510" s="9">
        <f>MONTH(Table1[[#This Row],[Order Date]])</f>
        <v>10</v>
      </c>
      <c r="C510" s="9">
        <f>YEAR(Table1[[#This Row],[Order Date]])</f>
        <v>2014</v>
      </c>
      <c r="D510" t="s">
        <v>54</v>
      </c>
      <c r="E510" t="s">
        <v>55</v>
      </c>
      <c r="F510" t="s">
        <v>34</v>
      </c>
      <c r="G510" t="s">
        <v>47</v>
      </c>
      <c r="H510" t="s">
        <v>57</v>
      </c>
      <c r="I510" s="7">
        <v>51.94</v>
      </c>
      <c r="J510" s="8">
        <v>1</v>
      </c>
      <c r="K510" s="7">
        <v>21.3</v>
      </c>
    </row>
    <row r="511" spans="1:11" x14ac:dyDescent="0.3">
      <c r="A511" s="2">
        <v>41915</v>
      </c>
      <c r="B511" s="9">
        <f>MONTH(Table1[[#This Row],[Order Date]])</f>
        <v>10</v>
      </c>
      <c r="C511" s="9">
        <f>YEAR(Table1[[#This Row],[Order Date]])</f>
        <v>2014</v>
      </c>
      <c r="D511" t="s">
        <v>268</v>
      </c>
      <c r="E511" t="s">
        <v>269</v>
      </c>
      <c r="F511" t="s">
        <v>11</v>
      </c>
      <c r="G511" t="s">
        <v>24</v>
      </c>
      <c r="H511" t="s">
        <v>270</v>
      </c>
      <c r="I511" s="7">
        <v>83.17</v>
      </c>
      <c r="J511" s="8">
        <v>4</v>
      </c>
      <c r="K511" s="7">
        <v>9.36</v>
      </c>
    </row>
    <row r="512" spans="1:11" x14ac:dyDescent="0.3">
      <c r="A512" s="2">
        <v>41917</v>
      </c>
      <c r="B512" s="9">
        <f>MONTH(Table1[[#This Row],[Order Date]])</f>
        <v>10</v>
      </c>
      <c r="C512" s="9">
        <f>YEAR(Table1[[#This Row],[Order Date]])</f>
        <v>2014</v>
      </c>
      <c r="D512" t="s">
        <v>574</v>
      </c>
      <c r="E512" t="s">
        <v>158</v>
      </c>
      <c r="F512" t="s">
        <v>11</v>
      </c>
      <c r="G512" t="s">
        <v>63</v>
      </c>
      <c r="H512" t="s">
        <v>628</v>
      </c>
      <c r="I512" s="7">
        <v>158.13</v>
      </c>
      <c r="J512" s="8">
        <v>3</v>
      </c>
      <c r="K512" s="7">
        <v>77.48</v>
      </c>
    </row>
    <row r="513" spans="1:11" x14ac:dyDescent="0.3">
      <c r="A513" s="2">
        <v>41917</v>
      </c>
      <c r="B513" s="9">
        <f>MONTH(Table1[[#This Row],[Order Date]])</f>
        <v>10</v>
      </c>
      <c r="C513" s="9">
        <f>YEAR(Table1[[#This Row],[Order Date]])</f>
        <v>2014</v>
      </c>
      <c r="D513" t="s">
        <v>574</v>
      </c>
      <c r="E513" t="s">
        <v>158</v>
      </c>
      <c r="F513" t="s">
        <v>39</v>
      </c>
      <c r="G513" t="s">
        <v>40</v>
      </c>
      <c r="H513" t="s">
        <v>629</v>
      </c>
      <c r="I513" s="7">
        <v>43.6</v>
      </c>
      <c r="J513" s="8">
        <v>5</v>
      </c>
      <c r="K513" s="7">
        <v>4.3600000000000003</v>
      </c>
    </row>
    <row r="514" spans="1:11" x14ac:dyDescent="0.3">
      <c r="A514" s="2">
        <v>41917</v>
      </c>
      <c r="B514" s="9">
        <f>MONTH(Table1[[#This Row],[Order Date]])</f>
        <v>10</v>
      </c>
      <c r="C514" s="9">
        <f>YEAR(Table1[[#This Row],[Order Date]])</f>
        <v>2014</v>
      </c>
      <c r="D514" t="s">
        <v>630</v>
      </c>
      <c r="E514" t="s">
        <v>23</v>
      </c>
      <c r="F514" t="s">
        <v>34</v>
      </c>
      <c r="G514" t="s">
        <v>74</v>
      </c>
      <c r="H514" t="s">
        <v>631</v>
      </c>
      <c r="I514" s="7">
        <v>349.97</v>
      </c>
      <c r="J514" s="8">
        <v>7</v>
      </c>
      <c r="K514" s="7">
        <v>-216.98</v>
      </c>
    </row>
    <row r="515" spans="1:11" x14ac:dyDescent="0.3">
      <c r="A515" s="2">
        <v>41917</v>
      </c>
      <c r="B515" s="9">
        <f>MONTH(Table1[[#This Row],[Order Date]])</f>
        <v>10</v>
      </c>
      <c r="C515" s="9">
        <f>YEAR(Table1[[#This Row],[Order Date]])</f>
        <v>2014</v>
      </c>
      <c r="D515" t="s">
        <v>633</v>
      </c>
      <c r="E515" t="s">
        <v>27</v>
      </c>
      <c r="F515" t="s">
        <v>39</v>
      </c>
      <c r="G515" t="s">
        <v>40</v>
      </c>
      <c r="H515" t="s">
        <v>635</v>
      </c>
      <c r="I515" s="7">
        <v>1432</v>
      </c>
      <c r="J515" s="8">
        <v>5</v>
      </c>
      <c r="K515" s="7">
        <v>125.3</v>
      </c>
    </row>
    <row r="516" spans="1:11" x14ac:dyDescent="0.3">
      <c r="A516" s="2">
        <v>41917</v>
      </c>
      <c r="B516" s="9">
        <f>MONTH(Table1[[#This Row],[Order Date]])</f>
        <v>10</v>
      </c>
      <c r="C516" s="9">
        <f>YEAR(Table1[[#This Row],[Order Date]])</f>
        <v>2014</v>
      </c>
      <c r="D516" t="s">
        <v>633</v>
      </c>
      <c r="E516" t="s">
        <v>27</v>
      </c>
      <c r="F516" t="s">
        <v>11</v>
      </c>
      <c r="G516" t="s">
        <v>194</v>
      </c>
      <c r="H516" t="s">
        <v>636</v>
      </c>
      <c r="I516" s="7">
        <v>41.04</v>
      </c>
      <c r="J516" s="8">
        <v>6</v>
      </c>
      <c r="K516" s="7">
        <v>11.08</v>
      </c>
    </row>
    <row r="517" spans="1:11" x14ac:dyDescent="0.3">
      <c r="A517" s="2">
        <v>41917</v>
      </c>
      <c r="B517" s="9">
        <f>MONTH(Table1[[#This Row],[Order Date]])</f>
        <v>10</v>
      </c>
      <c r="C517" s="9">
        <f>YEAR(Table1[[#This Row],[Order Date]])</f>
        <v>2014</v>
      </c>
      <c r="D517" t="s">
        <v>633</v>
      </c>
      <c r="E517" t="s">
        <v>27</v>
      </c>
      <c r="F517" t="s">
        <v>34</v>
      </c>
      <c r="G517" t="s">
        <v>35</v>
      </c>
      <c r="H517" t="s">
        <v>637</v>
      </c>
      <c r="I517" s="7">
        <v>256.77999999999997</v>
      </c>
      <c r="J517" s="8">
        <v>1</v>
      </c>
      <c r="K517" s="7">
        <v>32.1</v>
      </c>
    </row>
    <row r="518" spans="1:11" x14ac:dyDescent="0.3">
      <c r="A518" s="2">
        <v>41918</v>
      </c>
      <c r="B518" s="9">
        <f>MONTH(Table1[[#This Row],[Order Date]])</f>
        <v>10</v>
      </c>
      <c r="C518" s="9">
        <f>YEAR(Table1[[#This Row],[Order Date]])</f>
        <v>2014</v>
      </c>
      <c r="D518" t="s">
        <v>793</v>
      </c>
      <c r="E518" t="s">
        <v>108</v>
      </c>
      <c r="F518" t="s">
        <v>11</v>
      </c>
      <c r="G518" t="s">
        <v>16</v>
      </c>
      <c r="H518" t="s">
        <v>794</v>
      </c>
      <c r="I518" s="7">
        <v>491.55</v>
      </c>
      <c r="J518" s="8">
        <v>5</v>
      </c>
      <c r="K518" s="7">
        <v>240.86</v>
      </c>
    </row>
    <row r="519" spans="1:11" x14ac:dyDescent="0.3">
      <c r="A519" s="2">
        <v>41921</v>
      </c>
      <c r="B519" s="9">
        <f>MONTH(Table1[[#This Row],[Order Date]])</f>
        <v>10</v>
      </c>
      <c r="C519" s="9">
        <f>YEAR(Table1[[#This Row],[Order Date]])</f>
        <v>2014</v>
      </c>
      <c r="D519" t="s">
        <v>551</v>
      </c>
      <c r="E519" t="s">
        <v>55</v>
      </c>
      <c r="F519" t="s">
        <v>11</v>
      </c>
      <c r="G519" t="s">
        <v>20</v>
      </c>
      <c r="H519" t="s">
        <v>919</v>
      </c>
      <c r="I519" s="7">
        <v>9.64</v>
      </c>
      <c r="J519" s="8">
        <v>2</v>
      </c>
      <c r="K519" s="7">
        <v>4.72</v>
      </c>
    </row>
    <row r="520" spans="1:11" x14ac:dyDescent="0.3">
      <c r="A520" s="2">
        <v>41921</v>
      </c>
      <c r="B520" s="9">
        <f>MONTH(Table1[[#This Row],[Order Date]])</f>
        <v>10</v>
      </c>
      <c r="C520" s="9">
        <f>YEAR(Table1[[#This Row],[Order Date]])</f>
        <v>2014</v>
      </c>
      <c r="D520" t="s">
        <v>248</v>
      </c>
      <c r="E520" t="s">
        <v>91</v>
      </c>
      <c r="F520" t="s">
        <v>11</v>
      </c>
      <c r="G520" t="s">
        <v>63</v>
      </c>
      <c r="H520" t="s">
        <v>1244</v>
      </c>
      <c r="I520" s="7">
        <v>21.73</v>
      </c>
      <c r="J520" s="8">
        <v>7</v>
      </c>
      <c r="K520" s="7">
        <v>7.6</v>
      </c>
    </row>
    <row r="521" spans="1:11" x14ac:dyDescent="0.3">
      <c r="A521" s="2">
        <v>41921</v>
      </c>
      <c r="B521" s="9">
        <f>MONTH(Table1[[#This Row],[Order Date]])</f>
        <v>10</v>
      </c>
      <c r="C521" s="9">
        <f>YEAR(Table1[[#This Row],[Order Date]])</f>
        <v>2014</v>
      </c>
      <c r="D521" t="s">
        <v>248</v>
      </c>
      <c r="E521" t="s">
        <v>91</v>
      </c>
      <c r="F521" t="s">
        <v>34</v>
      </c>
      <c r="G521" t="s">
        <v>35</v>
      </c>
      <c r="H521" t="s">
        <v>559</v>
      </c>
      <c r="I521" s="7">
        <v>1487.04</v>
      </c>
      <c r="J521" s="8">
        <v>5</v>
      </c>
      <c r="K521" s="7">
        <v>148.69999999999999</v>
      </c>
    </row>
    <row r="522" spans="1:11" x14ac:dyDescent="0.3">
      <c r="A522" s="2">
        <v>41921</v>
      </c>
      <c r="B522" s="9">
        <f>MONTH(Table1[[#This Row],[Order Date]])</f>
        <v>10</v>
      </c>
      <c r="C522" s="9">
        <f>YEAR(Table1[[#This Row],[Order Date]])</f>
        <v>2014</v>
      </c>
      <c r="D522" t="s">
        <v>1245</v>
      </c>
      <c r="E522" t="s">
        <v>171</v>
      </c>
      <c r="F522" t="s">
        <v>11</v>
      </c>
      <c r="G522" t="s">
        <v>92</v>
      </c>
      <c r="H522" t="s">
        <v>1246</v>
      </c>
      <c r="I522" s="7">
        <v>81.92</v>
      </c>
      <c r="J522" s="8">
        <v>4</v>
      </c>
      <c r="K522" s="7">
        <v>22.12</v>
      </c>
    </row>
    <row r="523" spans="1:11" x14ac:dyDescent="0.3">
      <c r="A523" s="2">
        <v>41921</v>
      </c>
      <c r="B523" s="9">
        <f>MONTH(Table1[[#This Row],[Order Date]])</f>
        <v>10</v>
      </c>
      <c r="C523" s="9">
        <f>YEAR(Table1[[#This Row],[Order Date]])</f>
        <v>2014</v>
      </c>
      <c r="D523" t="s">
        <v>1245</v>
      </c>
      <c r="E523" t="s">
        <v>171</v>
      </c>
      <c r="F523" t="s">
        <v>34</v>
      </c>
      <c r="G523" t="s">
        <v>47</v>
      </c>
      <c r="H523" t="s">
        <v>334</v>
      </c>
      <c r="I523" s="7">
        <v>254.9</v>
      </c>
      <c r="J523" s="8">
        <v>5</v>
      </c>
      <c r="K523" s="7">
        <v>76.47</v>
      </c>
    </row>
    <row r="524" spans="1:11" x14ac:dyDescent="0.3">
      <c r="A524" s="2">
        <v>41922</v>
      </c>
      <c r="B524" s="9">
        <f>MONTH(Table1[[#This Row],[Order Date]])</f>
        <v>10</v>
      </c>
      <c r="C524" s="9">
        <f>YEAR(Table1[[#This Row],[Order Date]])</f>
        <v>2014</v>
      </c>
      <c r="D524" t="s">
        <v>1409</v>
      </c>
      <c r="E524" t="s">
        <v>27</v>
      </c>
      <c r="F524" t="s">
        <v>11</v>
      </c>
      <c r="G524" t="s">
        <v>63</v>
      </c>
      <c r="H524" t="s">
        <v>1410</v>
      </c>
      <c r="I524" s="7">
        <v>15.28</v>
      </c>
      <c r="J524" s="8">
        <v>2</v>
      </c>
      <c r="K524" s="7">
        <v>7.49</v>
      </c>
    </row>
    <row r="525" spans="1:11" x14ac:dyDescent="0.3">
      <c r="A525" s="2">
        <v>41922</v>
      </c>
      <c r="B525" s="9">
        <f>MONTH(Table1[[#This Row],[Order Date]])</f>
        <v>10</v>
      </c>
      <c r="C525" s="9">
        <f>YEAR(Table1[[#This Row],[Order Date]])</f>
        <v>2014</v>
      </c>
      <c r="D525" t="s">
        <v>128</v>
      </c>
      <c r="E525" t="s">
        <v>95</v>
      </c>
      <c r="F525" t="s">
        <v>34</v>
      </c>
      <c r="G525" t="s">
        <v>47</v>
      </c>
      <c r="H525" t="s">
        <v>952</v>
      </c>
      <c r="I525" s="7">
        <v>46.87</v>
      </c>
      <c r="J525" s="8">
        <v>7</v>
      </c>
      <c r="K525" s="7">
        <v>3.52</v>
      </c>
    </row>
    <row r="526" spans="1:11" x14ac:dyDescent="0.3">
      <c r="A526" s="2">
        <v>41922</v>
      </c>
      <c r="B526" s="9">
        <f>MONTH(Table1[[#This Row],[Order Date]])</f>
        <v>10</v>
      </c>
      <c r="C526" s="9">
        <f>YEAR(Table1[[#This Row],[Order Date]])</f>
        <v>2014</v>
      </c>
      <c r="D526" t="s">
        <v>262</v>
      </c>
      <c r="E526" t="s">
        <v>10</v>
      </c>
      <c r="F526" t="s">
        <v>39</v>
      </c>
      <c r="G526" t="s">
        <v>40</v>
      </c>
      <c r="H526" t="s">
        <v>342</v>
      </c>
      <c r="I526" s="7">
        <v>755.94</v>
      </c>
      <c r="J526" s="8">
        <v>7</v>
      </c>
      <c r="K526" s="7">
        <v>66.150000000000006</v>
      </c>
    </row>
    <row r="527" spans="1:11" x14ac:dyDescent="0.3">
      <c r="A527" s="2">
        <v>41922</v>
      </c>
      <c r="B527" s="9">
        <f>MONTH(Table1[[#This Row],[Order Date]])</f>
        <v>10</v>
      </c>
      <c r="C527" s="9">
        <f>YEAR(Table1[[#This Row],[Order Date]])</f>
        <v>2014</v>
      </c>
      <c r="D527" t="s">
        <v>262</v>
      </c>
      <c r="E527" t="s">
        <v>10</v>
      </c>
      <c r="F527" t="s">
        <v>11</v>
      </c>
      <c r="G527" t="s">
        <v>20</v>
      </c>
      <c r="H527" t="s">
        <v>496</v>
      </c>
      <c r="I527" s="7">
        <v>11.98</v>
      </c>
      <c r="J527" s="8">
        <v>5</v>
      </c>
      <c r="K527" s="7">
        <v>-19.170000000000002</v>
      </c>
    </row>
    <row r="528" spans="1:11" x14ac:dyDescent="0.3">
      <c r="A528" s="2">
        <v>41922</v>
      </c>
      <c r="B528" s="9">
        <f>MONTH(Table1[[#This Row],[Order Date]])</f>
        <v>10</v>
      </c>
      <c r="C528" s="9">
        <f>YEAR(Table1[[#This Row],[Order Date]])</f>
        <v>2014</v>
      </c>
      <c r="D528" t="s">
        <v>279</v>
      </c>
      <c r="E528" t="s">
        <v>78</v>
      </c>
      <c r="F528" t="s">
        <v>39</v>
      </c>
      <c r="G528" t="s">
        <v>293</v>
      </c>
      <c r="H528" t="s">
        <v>1411</v>
      </c>
      <c r="I528" s="7">
        <v>101.99</v>
      </c>
      <c r="J528" s="8">
        <v>2</v>
      </c>
      <c r="K528" s="7">
        <v>-71.400000000000006</v>
      </c>
    </row>
    <row r="529" spans="1:11" x14ac:dyDescent="0.3">
      <c r="A529" s="2">
        <v>41922</v>
      </c>
      <c r="B529" s="9">
        <f>MONTH(Table1[[#This Row],[Order Date]])</f>
        <v>10</v>
      </c>
      <c r="C529" s="9">
        <f>YEAR(Table1[[#This Row],[Order Date]])</f>
        <v>2014</v>
      </c>
      <c r="D529" t="s">
        <v>279</v>
      </c>
      <c r="E529" t="s">
        <v>78</v>
      </c>
      <c r="F529" t="s">
        <v>11</v>
      </c>
      <c r="G529" t="s">
        <v>20</v>
      </c>
      <c r="H529" t="s">
        <v>1253</v>
      </c>
      <c r="I529" s="7">
        <v>18.260000000000002</v>
      </c>
      <c r="J529" s="8">
        <v>2</v>
      </c>
      <c r="K529" s="7">
        <v>-13.39</v>
      </c>
    </row>
    <row r="530" spans="1:11" x14ac:dyDescent="0.3">
      <c r="A530" s="2">
        <v>41922</v>
      </c>
      <c r="B530" s="9">
        <f>MONTH(Table1[[#This Row],[Order Date]])</f>
        <v>10</v>
      </c>
      <c r="C530" s="9">
        <f>YEAR(Table1[[#This Row],[Order Date]])</f>
        <v>2014</v>
      </c>
      <c r="D530" t="s">
        <v>1412</v>
      </c>
      <c r="E530" t="s">
        <v>390</v>
      </c>
      <c r="F530" t="s">
        <v>11</v>
      </c>
      <c r="G530" t="s">
        <v>24</v>
      </c>
      <c r="H530" t="s">
        <v>1413</v>
      </c>
      <c r="I530" s="7">
        <v>255.85</v>
      </c>
      <c r="J530" s="8">
        <v>7</v>
      </c>
      <c r="K530" s="7">
        <v>112.57</v>
      </c>
    </row>
    <row r="531" spans="1:11" x14ac:dyDescent="0.3">
      <c r="A531" s="2">
        <v>41923</v>
      </c>
      <c r="B531" s="9">
        <f>MONTH(Table1[[#This Row],[Order Date]])</f>
        <v>10</v>
      </c>
      <c r="C531" s="9">
        <f>YEAR(Table1[[#This Row],[Order Date]])</f>
        <v>2014</v>
      </c>
      <c r="D531" t="s">
        <v>453</v>
      </c>
      <c r="E531" t="s">
        <v>27</v>
      </c>
      <c r="F531" t="s">
        <v>39</v>
      </c>
      <c r="G531" t="s">
        <v>40</v>
      </c>
      <c r="H531" t="s">
        <v>135</v>
      </c>
      <c r="I531" s="7">
        <v>601.54</v>
      </c>
      <c r="J531" s="8">
        <v>8</v>
      </c>
      <c r="K531" s="7">
        <v>60.15</v>
      </c>
    </row>
    <row r="532" spans="1:11" x14ac:dyDescent="0.3">
      <c r="A532" s="2">
        <v>41923</v>
      </c>
      <c r="B532" s="9">
        <f>MONTH(Table1[[#This Row],[Order Date]])</f>
        <v>10</v>
      </c>
      <c r="C532" s="9">
        <f>YEAR(Table1[[#This Row],[Order Date]])</f>
        <v>2014</v>
      </c>
      <c r="D532" t="s">
        <v>453</v>
      </c>
      <c r="E532" t="s">
        <v>27</v>
      </c>
      <c r="F532" t="s">
        <v>11</v>
      </c>
      <c r="G532" t="s">
        <v>12</v>
      </c>
      <c r="H532" t="s">
        <v>274</v>
      </c>
      <c r="I532" s="7">
        <v>62.24</v>
      </c>
      <c r="J532" s="8">
        <v>8</v>
      </c>
      <c r="K532" s="7">
        <v>28.01</v>
      </c>
    </row>
    <row r="533" spans="1:11" x14ac:dyDescent="0.3">
      <c r="A533" s="2">
        <v>41923</v>
      </c>
      <c r="B533" s="9">
        <f>MONTH(Table1[[#This Row],[Order Date]])</f>
        <v>10</v>
      </c>
      <c r="C533" s="9">
        <f>YEAR(Table1[[#This Row],[Order Date]])</f>
        <v>2014</v>
      </c>
      <c r="D533" t="s">
        <v>453</v>
      </c>
      <c r="E533" t="s">
        <v>27</v>
      </c>
      <c r="F533" t="s">
        <v>34</v>
      </c>
      <c r="G533" t="s">
        <v>47</v>
      </c>
      <c r="H533" t="s">
        <v>1551</v>
      </c>
      <c r="I533" s="7">
        <v>53.2</v>
      </c>
      <c r="J533" s="8">
        <v>5</v>
      </c>
      <c r="K533" s="7">
        <v>14.9</v>
      </c>
    </row>
    <row r="534" spans="1:11" x14ac:dyDescent="0.3">
      <c r="A534" s="2">
        <v>41923</v>
      </c>
      <c r="B534" s="9">
        <f>MONTH(Table1[[#This Row],[Order Date]])</f>
        <v>10</v>
      </c>
      <c r="C534" s="9">
        <f>YEAR(Table1[[#This Row],[Order Date]])</f>
        <v>2014</v>
      </c>
      <c r="D534" t="s">
        <v>453</v>
      </c>
      <c r="E534" t="s">
        <v>27</v>
      </c>
      <c r="F534" t="s">
        <v>11</v>
      </c>
      <c r="G534" t="s">
        <v>16</v>
      </c>
      <c r="H534" t="s">
        <v>1552</v>
      </c>
      <c r="I534" s="7">
        <v>39.840000000000003</v>
      </c>
      <c r="J534" s="8">
        <v>8</v>
      </c>
      <c r="K534" s="7">
        <v>18.329999999999998</v>
      </c>
    </row>
    <row r="535" spans="1:11" x14ac:dyDescent="0.3">
      <c r="A535" s="2">
        <v>41923</v>
      </c>
      <c r="B535" s="9">
        <f>MONTH(Table1[[#This Row],[Order Date]])</f>
        <v>10</v>
      </c>
      <c r="C535" s="9">
        <f>YEAR(Table1[[#This Row],[Order Date]])</f>
        <v>2014</v>
      </c>
      <c r="D535" t="s">
        <v>244</v>
      </c>
      <c r="E535" t="s">
        <v>108</v>
      </c>
      <c r="F535" t="s">
        <v>11</v>
      </c>
      <c r="G535" t="s">
        <v>24</v>
      </c>
      <c r="H535" t="s">
        <v>1553</v>
      </c>
      <c r="I535" s="7">
        <v>3.9</v>
      </c>
      <c r="J535" s="8">
        <v>2</v>
      </c>
      <c r="K535" s="7">
        <v>1.52</v>
      </c>
    </row>
    <row r="536" spans="1:11" x14ac:dyDescent="0.3">
      <c r="A536" s="2">
        <v>41923</v>
      </c>
      <c r="B536" s="9">
        <f>MONTH(Table1[[#This Row],[Order Date]])</f>
        <v>10</v>
      </c>
      <c r="C536" s="9">
        <f>YEAR(Table1[[#This Row],[Order Date]])</f>
        <v>2014</v>
      </c>
      <c r="D536" t="s">
        <v>244</v>
      </c>
      <c r="E536" t="s">
        <v>108</v>
      </c>
      <c r="F536" t="s">
        <v>11</v>
      </c>
      <c r="G536" t="s">
        <v>12</v>
      </c>
      <c r="H536" t="s">
        <v>1554</v>
      </c>
      <c r="I536" s="7">
        <v>12.84</v>
      </c>
      <c r="J536" s="8">
        <v>3</v>
      </c>
      <c r="K536" s="7">
        <v>5.78</v>
      </c>
    </row>
    <row r="537" spans="1:11" x14ac:dyDescent="0.3">
      <c r="A537" s="2">
        <v>41923</v>
      </c>
      <c r="B537" s="9">
        <f>MONTH(Table1[[#This Row],[Order Date]])</f>
        <v>10</v>
      </c>
      <c r="C537" s="9">
        <f>YEAR(Table1[[#This Row],[Order Date]])</f>
        <v>2014</v>
      </c>
      <c r="D537" t="s">
        <v>244</v>
      </c>
      <c r="E537" t="s">
        <v>108</v>
      </c>
      <c r="F537" t="s">
        <v>11</v>
      </c>
      <c r="G537" t="s">
        <v>12</v>
      </c>
      <c r="H537" t="s">
        <v>1555</v>
      </c>
      <c r="I537" s="7">
        <v>15.84</v>
      </c>
      <c r="J537" s="8">
        <v>3</v>
      </c>
      <c r="K537" s="7">
        <v>7.13</v>
      </c>
    </row>
    <row r="538" spans="1:11" x14ac:dyDescent="0.3">
      <c r="A538" s="2">
        <v>41923</v>
      </c>
      <c r="B538" s="9">
        <f>MONTH(Table1[[#This Row],[Order Date]])</f>
        <v>10</v>
      </c>
      <c r="C538" s="9">
        <f>YEAR(Table1[[#This Row],[Order Date]])</f>
        <v>2014</v>
      </c>
      <c r="D538" t="s">
        <v>244</v>
      </c>
      <c r="E538" t="s">
        <v>108</v>
      </c>
      <c r="F538" t="s">
        <v>34</v>
      </c>
      <c r="G538" t="s">
        <v>35</v>
      </c>
      <c r="H538" t="s">
        <v>971</v>
      </c>
      <c r="I538" s="7">
        <v>563.94000000000005</v>
      </c>
      <c r="J538" s="8">
        <v>3</v>
      </c>
      <c r="K538" s="7">
        <v>112.79</v>
      </c>
    </row>
    <row r="539" spans="1:11" x14ac:dyDescent="0.3">
      <c r="A539" s="2">
        <v>41924</v>
      </c>
      <c r="B539" s="9">
        <f>MONTH(Table1[[#This Row],[Order Date]])</f>
        <v>10</v>
      </c>
      <c r="C539" s="9">
        <f>YEAR(Table1[[#This Row],[Order Date]])</f>
        <v>2014</v>
      </c>
      <c r="D539" t="s">
        <v>1640</v>
      </c>
      <c r="E539" t="s">
        <v>144</v>
      </c>
      <c r="F539" t="s">
        <v>11</v>
      </c>
      <c r="G539" t="s">
        <v>12</v>
      </c>
      <c r="H539" t="s">
        <v>1583</v>
      </c>
      <c r="I539" s="7">
        <v>11.36</v>
      </c>
      <c r="J539" s="8">
        <v>2</v>
      </c>
      <c r="K539" s="7">
        <v>5.23</v>
      </c>
    </row>
    <row r="540" spans="1:11" x14ac:dyDescent="0.3">
      <c r="A540" s="2">
        <v>41924</v>
      </c>
      <c r="B540" s="9">
        <f>MONTH(Table1[[#This Row],[Order Date]])</f>
        <v>10</v>
      </c>
      <c r="C540" s="9">
        <f>YEAR(Table1[[#This Row],[Order Date]])</f>
        <v>2014</v>
      </c>
      <c r="D540" t="s">
        <v>1640</v>
      </c>
      <c r="E540" t="s">
        <v>144</v>
      </c>
      <c r="F540" t="s">
        <v>11</v>
      </c>
      <c r="G540" t="s">
        <v>20</v>
      </c>
      <c r="H540" t="s">
        <v>1724</v>
      </c>
      <c r="I540" s="7">
        <v>106.34</v>
      </c>
      <c r="J540" s="8">
        <v>7</v>
      </c>
      <c r="K540" s="7">
        <v>37.22</v>
      </c>
    </row>
    <row r="541" spans="1:11" x14ac:dyDescent="0.3">
      <c r="A541" s="2">
        <v>41924</v>
      </c>
      <c r="B541" s="9">
        <f>MONTH(Table1[[#This Row],[Order Date]])</f>
        <v>10</v>
      </c>
      <c r="C541" s="9">
        <f>YEAR(Table1[[#This Row],[Order Date]])</f>
        <v>2014</v>
      </c>
      <c r="D541" t="s">
        <v>1725</v>
      </c>
      <c r="E541" t="s">
        <v>495</v>
      </c>
      <c r="F541" t="s">
        <v>34</v>
      </c>
      <c r="G541" t="s">
        <v>35</v>
      </c>
      <c r="H541" t="s">
        <v>1726</v>
      </c>
      <c r="I541" s="7">
        <v>338.35</v>
      </c>
      <c r="J541" s="8">
        <v>3</v>
      </c>
      <c r="K541" s="7">
        <v>4.2300000000000004</v>
      </c>
    </row>
    <row r="542" spans="1:11" x14ac:dyDescent="0.3">
      <c r="A542" s="2">
        <v>41924</v>
      </c>
      <c r="B542" s="9">
        <f>MONTH(Table1[[#This Row],[Order Date]])</f>
        <v>10</v>
      </c>
      <c r="C542" s="9">
        <f>YEAR(Table1[[#This Row],[Order Date]])</f>
        <v>2014</v>
      </c>
      <c r="D542" t="s">
        <v>1725</v>
      </c>
      <c r="E542" t="s">
        <v>495</v>
      </c>
      <c r="F542" t="s">
        <v>11</v>
      </c>
      <c r="G542" t="s">
        <v>12</v>
      </c>
      <c r="H542" t="s">
        <v>1130</v>
      </c>
      <c r="I542" s="7">
        <v>25.92</v>
      </c>
      <c r="J542" s="8">
        <v>4</v>
      </c>
      <c r="K542" s="7">
        <v>12.44</v>
      </c>
    </row>
    <row r="543" spans="1:11" x14ac:dyDescent="0.3">
      <c r="A543" s="2">
        <v>41924</v>
      </c>
      <c r="B543" s="9">
        <f>MONTH(Table1[[#This Row],[Order Date]])</f>
        <v>10</v>
      </c>
      <c r="C543" s="9">
        <f>YEAR(Table1[[#This Row],[Order Date]])</f>
        <v>2014</v>
      </c>
      <c r="D543" t="s">
        <v>1725</v>
      </c>
      <c r="E543" t="s">
        <v>495</v>
      </c>
      <c r="F543" t="s">
        <v>11</v>
      </c>
      <c r="G543" t="s">
        <v>12</v>
      </c>
      <c r="H543" t="s">
        <v>1727</v>
      </c>
      <c r="I543" s="7">
        <v>91.36</v>
      </c>
      <c r="J543" s="8">
        <v>4</v>
      </c>
      <c r="K543" s="7">
        <v>42.03</v>
      </c>
    </row>
    <row r="544" spans="1:11" x14ac:dyDescent="0.3">
      <c r="A544" s="2">
        <v>41944</v>
      </c>
      <c r="B544" s="9">
        <f>MONTH(Table1[[#This Row],[Order Date]])</f>
        <v>11</v>
      </c>
      <c r="C544" s="9">
        <f>YEAR(Table1[[#This Row],[Order Date]])</f>
        <v>2014</v>
      </c>
      <c r="D544" t="s">
        <v>58</v>
      </c>
      <c r="E544" t="s">
        <v>59</v>
      </c>
      <c r="F544" t="s">
        <v>34</v>
      </c>
      <c r="G544" t="s">
        <v>47</v>
      </c>
      <c r="H544" t="s">
        <v>60</v>
      </c>
      <c r="I544" s="7">
        <v>9.94</v>
      </c>
      <c r="J544" s="8">
        <v>2</v>
      </c>
      <c r="K544" s="7">
        <v>3.08</v>
      </c>
    </row>
    <row r="545" spans="1:11" x14ac:dyDescent="0.3">
      <c r="A545" s="2">
        <v>41945</v>
      </c>
      <c r="B545" s="9">
        <f>MONTH(Table1[[#This Row],[Order Date]])</f>
        <v>11</v>
      </c>
      <c r="C545" s="9">
        <f>YEAR(Table1[[#This Row],[Order Date]])</f>
        <v>2014</v>
      </c>
      <c r="D545" t="s">
        <v>178</v>
      </c>
      <c r="E545" t="s">
        <v>179</v>
      </c>
      <c r="F545" t="s">
        <v>11</v>
      </c>
      <c r="G545" t="s">
        <v>16</v>
      </c>
      <c r="H545" t="s">
        <v>181</v>
      </c>
      <c r="I545" s="7">
        <v>14.94</v>
      </c>
      <c r="J545" s="8">
        <v>3</v>
      </c>
      <c r="K545" s="7">
        <v>6.87</v>
      </c>
    </row>
    <row r="546" spans="1:11" x14ac:dyDescent="0.3">
      <c r="A546" s="2">
        <v>41945</v>
      </c>
      <c r="B546" s="9">
        <f>MONTH(Table1[[#This Row],[Order Date]])</f>
        <v>11</v>
      </c>
      <c r="C546" s="9">
        <f>YEAR(Table1[[#This Row],[Order Date]])</f>
        <v>2014</v>
      </c>
      <c r="D546" t="s">
        <v>178</v>
      </c>
      <c r="E546" t="s">
        <v>179</v>
      </c>
      <c r="F546" t="s">
        <v>11</v>
      </c>
      <c r="G546" t="s">
        <v>20</v>
      </c>
      <c r="H546" t="s">
        <v>182</v>
      </c>
      <c r="I546" s="7">
        <v>9.64</v>
      </c>
      <c r="J546" s="8">
        <v>2</v>
      </c>
      <c r="K546" s="7">
        <v>4.43</v>
      </c>
    </row>
    <row r="547" spans="1:11" x14ac:dyDescent="0.3">
      <c r="A547" s="2">
        <v>41945</v>
      </c>
      <c r="B547" s="9">
        <f>MONTH(Table1[[#This Row],[Order Date]])</f>
        <v>11</v>
      </c>
      <c r="C547" s="9">
        <f>YEAR(Table1[[#This Row],[Order Date]])</f>
        <v>2014</v>
      </c>
      <c r="D547" t="s">
        <v>178</v>
      </c>
      <c r="E547" t="s">
        <v>179</v>
      </c>
      <c r="F547" t="s">
        <v>34</v>
      </c>
      <c r="G547" t="s">
        <v>47</v>
      </c>
      <c r="H547" t="s">
        <v>183</v>
      </c>
      <c r="I547" s="7">
        <v>332.94</v>
      </c>
      <c r="J547" s="8">
        <v>3</v>
      </c>
      <c r="K547" s="7">
        <v>53.27</v>
      </c>
    </row>
    <row r="548" spans="1:11" x14ac:dyDescent="0.3">
      <c r="A548" s="2">
        <v>41945</v>
      </c>
      <c r="B548" s="9">
        <f>MONTH(Table1[[#This Row],[Order Date]])</f>
        <v>11</v>
      </c>
      <c r="C548" s="9">
        <f>YEAR(Table1[[#This Row],[Order Date]])</f>
        <v>2014</v>
      </c>
      <c r="D548" t="s">
        <v>178</v>
      </c>
      <c r="E548" t="s">
        <v>179</v>
      </c>
      <c r="F548" t="s">
        <v>11</v>
      </c>
      <c r="G548" t="s">
        <v>20</v>
      </c>
      <c r="H548" t="s">
        <v>184</v>
      </c>
      <c r="I548" s="7">
        <v>51.9</v>
      </c>
      <c r="J548" s="8">
        <v>3</v>
      </c>
      <c r="K548" s="7">
        <v>24.39</v>
      </c>
    </row>
    <row r="549" spans="1:11" x14ac:dyDescent="0.3">
      <c r="A549" s="2">
        <v>41945</v>
      </c>
      <c r="B549" s="9">
        <f>MONTH(Table1[[#This Row],[Order Date]])</f>
        <v>11</v>
      </c>
      <c r="C549" s="9">
        <f>YEAR(Table1[[#This Row],[Order Date]])</f>
        <v>2014</v>
      </c>
      <c r="D549" t="s">
        <v>178</v>
      </c>
      <c r="E549" t="s">
        <v>179</v>
      </c>
      <c r="F549" t="s">
        <v>11</v>
      </c>
      <c r="G549" t="s">
        <v>18</v>
      </c>
      <c r="H549" t="s">
        <v>185</v>
      </c>
      <c r="I549" s="7">
        <v>64.959999999999994</v>
      </c>
      <c r="J549" s="8">
        <v>2</v>
      </c>
      <c r="K549" s="7">
        <v>2.6</v>
      </c>
    </row>
    <row r="550" spans="1:11" x14ac:dyDescent="0.3">
      <c r="A550" s="2">
        <v>41946</v>
      </c>
      <c r="B550" s="9">
        <f>MONTH(Table1[[#This Row],[Order Date]])</f>
        <v>11</v>
      </c>
      <c r="C550" s="9">
        <f>YEAR(Table1[[#This Row],[Order Date]])</f>
        <v>2014</v>
      </c>
      <c r="D550" t="s">
        <v>271</v>
      </c>
      <c r="E550" t="s">
        <v>78</v>
      </c>
      <c r="F550" t="s">
        <v>34</v>
      </c>
      <c r="G550" t="s">
        <v>47</v>
      </c>
      <c r="H550" t="s">
        <v>272</v>
      </c>
      <c r="I550" s="7">
        <v>8.32</v>
      </c>
      <c r="J550" s="8">
        <v>5</v>
      </c>
      <c r="K550" s="7">
        <v>2.29</v>
      </c>
    </row>
    <row r="551" spans="1:11" x14ac:dyDescent="0.3">
      <c r="A551" s="2">
        <v>41946</v>
      </c>
      <c r="B551" s="9">
        <f>MONTH(Table1[[#This Row],[Order Date]])</f>
        <v>11</v>
      </c>
      <c r="C551" s="9">
        <f>YEAR(Table1[[#This Row],[Order Date]])</f>
        <v>2014</v>
      </c>
      <c r="D551" t="s">
        <v>271</v>
      </c>
      <c r="E551" t="s">
        <v>78</v>
      </c>
      <c r="F551" t="s">
        <v>11</v>
      </c>
      <c r="G551" t="s">
        <v>43</v>
      </c>
      <c r="H551" t="s">
        <v>273</v>
      </c>
      <c r="I551" s="7">
        <v>10.46</v>
      </c>
      <c r="J551" s="8">
        <v>6</v>
      </c>
      <c r="K551" s="7">
        <v>1.7</v>
      </c>
    </row>
    <row r="552" spans="1:11" x14ac:dyDescent="0.3">
      <c r="A552" s="2">
        <v>41946</v>
      </c>
      <c r="B552" s="9">
        <f>MONTH(Table1[[#This Row],[Order Date]])</f>
        <v>11</v>
      </c>
      <c r="C552" s="9">
        <f>YEAR(Table1[[#This Row],[Order Date]])</f>
        <v>2014</v>
      </c>
      <c r="D552" t="s">
        <v>275</v>
      </c>
      <c r="E552" t="s">
        <v>33</v>
      </c>
      <c r="F552" t="s">
        <v>11</v>
      </c>
      <c r="G552" t="s">
        <v>92</v>
      </c>
      <c r="H552" t="s">
        <v>276</v>
      </c>
      <c r="I552" s="7">
        <v>146.76</v>
      </c>
      <c r="J552" s="8">
        <v>3</v>
      </c>
      <c r="K552" s="7">
        <v>38.159999999999997</v>
      </c>
    </row>
    <row r="553" spans="1:11" x14ac:dyDescent="0.3">
      <c r="A553" s="2">
        <v>41946</v>
      </c>
      <c r="B553" s="9">
        <f>MONTH(Table1[[#This Row],[Order Date]])</f>
        <v>11</v>
      </c>
      <c r="C553" s="9">
        <f>YEAR(Table1[[#This Row],[Order Date]])</f>
        <v>2014</v>
      </c>
      <c r="D553" t="s">
        <v>275</v>
      </c>
      <c r="E553" t="s">
        <v>33</v>
      </c>
      <c r="F553" t="s">
        <v>11</v>
      </c>
      <c r="G553" t="s">
        <v>12</v>
      </c>
      <c r="H553" t="s">
        <v>278</v>
      </c>
      <c r="I553" s="7">
        <v>14.94</v>
      </c>
      <c r="J553" s="8">
        <v>3</v>
      </c>
      <c r="K553" s="7">
        <v>7.02</v>
      </c>
    </row>
    <row r="554" spans="1:11" x14ac:dyDescent="0.3">
      <c r="A554" s="2">
        <v>41946</v>
      </c>
      <c r="B554" s="9">
        <f>MONTH(Table1[[#This Row],[Order Date]])</f>
        <v>11</v>
      </c>
      <c r="C554" s="9">
        <f>YEAR(Table1[[#This Row],[Order Date]])</f>
        <v>2014</v>
      </c>
      <c r="D554" t="s">
        <v>279</v>
      </c>
      <c r="E554" t="s">
        <v>27</v>
      </c>
      <c r="F554" t="s">
        <v>11</v>
      </c>
      <c r="G554" t="s">
        <v>24</v>
      </c>
      <c r="H554" t="s">
        <v>280</v>
      </c>
      <c r="I554" s="7">
        <v>7.98</v>
      </c>
      <c r="J554" s="8">
        <v>3</v>
      </c>
      <c r="K554" s="7">
        <v>2.0699999999999998</v>
      </c>
    </row>
    <row r="555" spans="1:11" x14ac:dyDescent="0.3">
      <c r="A555" s="2">
        <v>41947</v>
      </c>
      <c r="B555" s="9">
        <f>MONTH(Table1[[#This Row],[Order Date]])</f>
        <v>11</v>
      </c>
      <c r="C555" s="9">
        <f>YEAR(Table1[[#This Row],[Order Date]])</f>
        <v>2014</v>
      </c>
      <c r="D555" t="s">
        <v>490</v>
      </c>
      <c r="E555" t="s">
        <v>120</v>
      </c>
      <c r="F555" t="s">
        <v>11</v>
      </c>
      <c r="G555" t="s">
        <v>43</v>
      </c>
      <c r="H555" t="s">
        <v>491</v>
      </c>
      <c r="I555" s="7">
        <v>6.91</v>
      </c>
      <c r="J555" s="8">
        <v>3</v>
      </c>
      <c r="K555" s="7">
        <v>2.33</v>
      </c>
    </row>
    <row r="556" spans="1:11" x14ac:dyDescent="0.3">
      <c r="A556" s="2">
        <v>41947</v>
      </c>
      <c r="B556" s="9">
        <f>MONTH(Table1[[#This Row],[Order Date]])</f>
        <v>11</v>
      </c>
      <c r="C556" s="9">
        <f>YEAR(Table1[[#This Row],[Order Date]])</f>
        <v>2014</v>
      </c>
      <c r="D556" t="s">
        <v>490</v>
      </c>
      <c r="E556" t="s">
        <v>120</v>
      </c>
      <c r="F556" t="s">
        <v>11</v>
      </c>
      <c r="G556" t="s">
        <v>12</v>
      </c>
      <c r="H556" t="s">
        <v>492</v>
      </c>
      <c r="I556" s="7">
        <v>10.37</v>
      </c>
      <c r="J556" s="8">
        <v>2</v>
      </c>
      <c r="K556" s="7">
        <v>3.63</v>
      </c>
    </row>
    <row r="557" spans="1:11" x14ac:dyDescent="0.3">
      <c r="A557" s="2">
        <v>41947</v>
      </c>
      <c r="B557" s="9">
        <f>MONTH(Table1[[#This Row],[Order Date]])</f>
        <v>11</v>
      </c>
      <c r="C557" s="9">
        <f>YEAR(Table1[[#This Row],[Order Date]])</f>
        <v>2014</v>
      </c>
      <c r="D557" t="s">
        <v>490</v>
      </c>
      <c r="E557" t="s">
        <v>120</v>
      </c>
      <c r="F557" t="s">
        <v>39</v>
      </c>
      <c r="G557" t="s">
        <v>52</v>
      </c>
      <c r="H557" t="s">
        <v>493</v>
      </c>
      <c r="I557" s="7">
        <v>335.94</v>
      </c>
      <c r="J557" s="8">
        <v>7</v>
      </c>
      <c r="K557" s="7">
        <v>41.99</v>
      </c>
    </row>
    <row r="558" spans="1:11" x14ac:dyDescent="0.3">
      <c r="A558" s="2">
        <v>41947</v>
      </c>
      <c r="B558" s="9">
        <f>MONTH(Table1[[#This Row],[Order Date]])</f>
        <v>11</v>
      </c>
      <c r="C558" s="9">
        <f>YEAR(Table1[[#This Row],[Order Date]])</f>
        <v>2014</v>
      </c>
      <c r="D558" t="s">
        <v>497</v>
      </c>
      <c r="E558" t="s">
        <v>10</v>
      </c>
      <c r="F558" t="s">
        <v>39</v>
      </c>
      <c r="G558" t="s">
        <v>40</v>
      </c>
      <c r="H558" t="s">
        <v>498</v>
      </c>
      <c r="I558" s="7">
        <v>758.35</v>
      </c>
      <c r="J558" s="8">
        <v>6</v>
      </c>
      <c r="K558" s="7">
        <v>265.42</v>
      </c>
    </row>
    <row r="559" spans="1:11" x14ac:dyDescent="0.3">
      <c r="A559" s="2">
        <v>41947</v>
      </c>
      <c r="B559" s="9">
        <f>MONTH(Table1[[#This Row],[Order Date]])</f>
        <v>11</v>
      </c>
      <c r="C559" s="9">
        <f>YEAR(Table1[[#This Row],[Order Date]])</f>
        <v>2014</v>
      </c>
      <c r="D559" t="s">
        <v>499</v>
      </c>
      <c r="E559" t="s">
        <v>500</v>
      </c>
      <c r="F559" t="s">
        <v>11</v>
      </c>
      <c r="G559" t="s">
        <v>18</v>
      </c>
      <c r="H559" t="s">
        <v>501</v>
      </c>
      <c r="I559" s="7">
        <v>87.08</v>
      </c>
      <c r="J559" s="8">
        <v>7</v>
      </c>
      <c r="K559" s="7">
        <v>24.38</v>
      </c>
    </row>
    <row r="560" spans="1:11" x14ac:dyDescent="0.3">
      <c r="A560" s="2">
        <v>41947</v>
      </c>
      <c r="B560" s="9">
        <f>MONTH(Table1[[#This Row],[Order Date]])</f>
        <v>11</v>
      </c>
      <c r="C560" s="9">
        <f>YEAR(Table1[[#This Row],[Order Date]])</f>
        <v>2014</v>
      </c>
      <c r="D560" t="s">
        <v>499</v>
      </c>
      <c r="E560" t="s">
        <v>500</v>
      </c>
      <c r="F560" t="s">
        <v>39</v>
      </c>
      <c r="G560" t="s">
        <v>40</v>
      </c>
      <c r="H560" t="s">
        <v>502</v>
      </c>
      <c r="I560" s="7">
        <v>105.58</v>
      </c>
      <c r="J560" s="8">
        <v>2</v>
      </c>
      <c r="K560" s="7">
        <v>9.24</v>
      </c>
    </row>
    <row r="561" spans="1:11" x14ac:dyDescent="0.3">
      <c r="A561" s="2">
        <v>41947</v>
      </c>
      <c r="B561" s="9">
        <f>MONTH(Table1[[#This Row],[Order Date]])</f>
        <v>11</v>
      </c>
      <c r="C561" s="9">
        <f>YEAR(Table1[[#This Row],[Order Date]])</f>
        <v>2014</v>
      </c>
      <c r="D561" t="s">
        <v>499</v>
      </c>
      <c r="E561" t="s">
        <v>500</v>
      </c>
      <c r="F561" t="s">
        <v>39</v>
      </c>
      <c r="G561" t="s">
        <v>52</v>
      </c>
      <c r="H561" t="s">
        <v>503</v>
      </c>
      <c r="I561" s="7">
        <v>217.44</v>
      </c>
      <c r="J561" s="8">
        <v>6</v>
      </c>
      <c r="K561" s="7">
        <v>91.32</v>
      </c>
    </row>
    <row r="562" spans="1:11" x14ac:dyDescent="0.3">
      <c r="A562" s="2">
        <v>41948</v>
      </c>
      <c r="B562" s="9">
        <f>MONTH(Table1[[#This Row],[Order Date]])</f>
        <v>11</v>
      </c>
      <c r="C562" s="9">
        <f>YEAR(Table1[[#This Row],[Order Date]])</f>
        <v>2014</v>
      </c>
      <c r="D562" t="s">
        <v>638</v>
      </c>
      <c r="E562" t="s">
        <v>10</v>
      </c>
      <c r="F562" t="s">
        <v>39</v>
      </c>
      <c r="G562" t="s">
        <v>52</v>
      </c>
      <c r="H562" t="s">
        <v>639</v>
      </c>
      <c r="I562" s="7">
        <v>58.11</v>
      </c>
      <c r="J562" s="8">
        <v>2</v>
      </c>
      <c r="K562" s="7">
        <v>7.26</v>
      </c>
    </row>
    <row r="563" spans="1:11" x14ac:dyDescent="0.3">
      <c r="A563" s="2">
        <v>41948</v>
      </c>
      <c r="B563" s="9">
        <f>MONTH(Table1[[#This Row],[Order Date]])</f>
        <v>11</v>
      </c>
      <c r="C563" s="9">
        <f>YEAR(Table1[[#This Row],[Order Date]])</f>
        <v>2014</v>
      </c>
      <c r="D563" t="s">
        <v>638</v>
      </c>
      <c r="E563" t="s">
        <v>10</v>
      </c>
      <c r="F563" t="s">
        <v>39</v>
      </c>
      <c r="G563" t="s">
        <v>40</v>
      </c>
      <c r="H563" t="s">
        <v>640</v>
      </c>
      <c r="I563" s="7">
        <v>100.79</v>
      </c>
      <c r="J563" s="8">
        <v>1</v>
      </c>
      <c r="K563" s="7">
        <v>6.3</v>
      </c>
    </row>
    <row r="564" spans="1:11" x14ac:dyDescent="0.3">
      <c r="A564" s="2">
        <v>41948</v>
      </c>
      <c r="B564" s="9">
        <f>MONTH(Table1[[#This Row],[Order Date]])</f>
        <v>11</v>
      </c>
      <c r="C564" s="9">
        <f>YEAR(Table1[[#This Row],[Order Date]])</f>
        <v>2014</v>
      </c>
      <c r="D564" t="s">
        <v>638</v>
      </c>
      <c r="E564" t="s">
        <v>10</v>
      </c>
      <c r="F564" t="s">
        <v>34</v>
      </c>
      <c r="G564" t="s">
        <v>47</v>
      </c>
      <c r="H564" t="s">
        <v>641</v>
      </c>
      <c r="I564" s="7">
        <v>66.11</v>
      </c>
      <c r="J564" s="8">
        <v>4</v>
      </c>
      <c r="K564" s="7">
        <v>-84.29</v>
      </c>
    </row>
    <row r="565" spans="1:11" x14ac:dyDescent="0.3">
      <c r="A565" s="2">
        <v>41948</v>
      </c>
      <c r="B565" s="9">
        <f>MONTH(Table1[[#This Row],[Order Date]])</f>
        <v>11</v>
      </c>
      <c r="C565" s="9">
        <f>YEAR(Table1[[#This Row],[Order Date]])</f>
        <v>2014</v>
      </c>
      <c r="D565" t="s">
        <v>642</v>
      </c>
      <c r="E565" t="s">
        <v>10</v>
      </c>
      <c r="F565" t="s">
        <v>39</v>
      </c>
      <c r="G565" t="s">
        <v>52</v>
      </c>
      <c r="H565" t="s">
        <v>643</v>
      </c>
      <c r="I565" s="7">
        <v>46.86</v>
      </c>
      <c r="J565" s="8">
        <v>2</v>
      </c>
      <c r="K565" s="7">
        <v>7.62</v>
      </c>
    </row>
    <row r="566" spans="1:11" x14ac:dyDescent="0.3">
      <c r="A566" s="2">
        <v>41948</v>
      </c>
      <c r="B566" s="9">
        <f>MONTH(Table1[[#This Row],[Order Date]])</f>
        <v>11</v>
      </c>
      <c r="C566" s="9">
        <f>YEAR(Table1[[#This Row],[Order Date]])</f>
        <v>2014</v>
      </c>
      <c r="D566" t="s">
        <v>648</v>
      </c>
      <c r="E566" t="s">
        <v>15</v>
      </c>
      <c r="F566" t="s">
        <v>11</v>
      </c>
      <c r="G566" t="s">
        <v>20</v>
      </c>
      <c r="H566" t="s">
        <v>649</v>
      </c>
      <c r="I566" s="7">
        <v>104.58</v>
      </c>
      <c r="J566" s="8">
        <v>9</v>
      </c>
      <c r="K566" s="7">
        <v>-172.56</v>
      </c>
    </row>
    <row r="567" spans="1:11" x14ac:dyDescent="0.3">
      <c r="A567" s="2">
        <v>41950</v>
      </c>
      <c r="B567" s="9">
        <f>MONTH(Table1[[#This Row],[Order Date]])</f>
        <v>11</v>
      </c>
      <c r="C567" s="9">
        <f>YEAR(Table1[[#This Row],[Order Date]])</f>
        <v>2014</v>
      </c>
      <c r="D567" t="s">
        <v>580</v>
      </c>
      <c r="E567" t="s">
        <v>171</v>
      </c>
      <c r="F567" t="s">
        <v>39</v>
      </c>
      <c r="G567" t="s">
        <v>40</v>
      </c>
      <c r="H567" t="s">
        <v>908</v>
      </c>
      <c r="I567" s="7">
        <v>197.97</v>
      </c>
      <c r="J567" s="8">
        <v>3</v>
      </c>
      <c r="K567" s="7">
        <v>57.41</v>
      </c>
    </row>
    <row r="568" spans="1:11" x14ac:dyDescent="0.3">
      <c r="A568" s="2">
        <v>41950</v>
      </c>
      <c r="B568" s="9">
        <f>MONTH(Table1[[#This Row],[Order Date]])</f>
        <v>11</v>
      </c>
      <c r="C568" s="9">
        <f>YEAR(Table1[[#This Row],[Order Date]])</f>
        <v>2014</v>
      </c>
      <c r="D568" t="s">
        <v>580</v>
      </c>
      <c r="E568" t="s">
        <v>171</v>
      </c>
      <c r="F568" t="s">
        <v>34</v>
      </c>
      <c r="G568" t="s">
        <v>35</v>
      </c>
      <c r="H568" t="s">
        <v>285</v>
      </c>
      <c r="I568" s="7">
        <v>854.94</v>
      </c>
      <c r="J568" s="8">
        <v>3</v>
      </c>
      <c r="K568" s="7">
        <v>213.74</v>
      </c>
    </row>
    <row r="569" spans="1:11" x14ac:dyDescent="0.3">
      <c r="A569" s="2">
        <v>41950</v>
      </c>
      <c r="B569" s="9">
        <f>MONTH(Table1[[#This Row],[Order Date]])</f>
        <v>11</v>
      </c>
      <c r="C569" s="9">
        <f>YEAR(Table1[[#This Row],[Order Date]])</f>
        <v>2014</v>
      </c>
      <c r="D569" t="s">
        <v>198</v>
      </c>
      <c r="E569" t="s">
        <v>10</v>
      </c>
      <c r="F569" t="s">
        <v>39</v>
      </c>
      <c r="G569" t="s">
        <v>40</v>
      </c>
      <c r="H569" t="s">
        <v>911</v>
      </c>
      <c r="I569" s="7">
        <v>575.97</v>
      </c>
      <c r="J569" s="8">
        <v>4</v>
      </c>
      <c r="K569" s="7">
        <v>43.2</v>
      </c>
    </row>
    <row r="570" spans="1:11" x14ac:dyDescent="0.3">
      <c r="A570" s="2">
        <v>41950</v>
      </c>
      <c r="B570" s="9">
        <f>MONTH(Table1[[#This Row],[Order Date]])</f>
        <v>11</v>
      </c>
      <c r="C570" s="9">
        <f>YEAR(Table1[[#This Row],[Order Date]])</f>
        <v>2014</v>
      </c>
      <c r="D570" t="s">
        <v>198</v>
      </c>
      <c r="E570" t="s">
        <v>10</v>
      </c>
      <c r="F570" t="s">
        <v>11</v>
      </c>
      <c r="G570" t="s">
        <v>12</v>
      </c>
      <c r="H570" t="s">
        <v>912</v>
      </c>
      <c r="I570" s="7">
        <v>10.37</v>
      </c>
      <c r="J570" s="8">
        <v>2</v>
      </c>
      <c r="K570" s="7">
        <v>3.63</v>
      </c>
    </row>
    <row r="571" spans="1:11" x14ac:dyDescent="0.3">
      <c r="A571" s="2">
        <v>41950</v>
      </c>
      <c r="B571" s="9">
        <f>MONTH(Table1[[#This Row],[Order Date]])</f>
        <v>11</v>
      </c>
      <c r="C571" s="9">
        <f>YEAR(Table1[[#This Row],[Order Date]])</f>
        <v>2014</v>
      </c>
      <c r="D571" t="s">
        <v>913</v>
      </c>
      <c r="E571" t="s">
        <v>144</v>
      </c>
      <c r="F571" t="s">
        <v>11</v>
      </c>
      <c r="G571" t="s">
        <v>12</v>
      </c>
      <c r="H571" t="s">
        <v>914</v>
      </c>
      <c r="I571" s="7">
        <v>49.12</v>
      </c>
      <c r="J571" s="8">
        <v>4</v>
      </c>
      <c r="K571" s="7">
        <v>23.09</v>
      </c>
    </row>
    <row r="572" spans="1:11" x14ac:dyDescent="0.3">
      <c r="A572" s="2">
        <v>41950</v>
      </c>
      <c r="B572" s="9">
        <f>MONTH(Table1[[#This Row],[Order Date]])</f>
        <v>11</v>
      </c>
      <c r="C572" s="9">
        <f>YEAR(Table1[[#This Row],[Order Date]])</f>
        <v>2014</v>
      </c>
      <c r="D572" t="s">
        <v>913</v>
      </c>
      <c r="E572" t="s">
        <v>144</v>
      </c>
      <c r="F572" t="s">
        <v>11</v>
      </c>
      <c r="G572" t="s">
        <v>20</v>
      </c>
      <c r="H572" t="s">
        <v>915</v>
      </c>
      <c r="I572" s="7">
        <v>18.28</v>
      </c>
      <c r="J572" s="8">
        <v>5</v>
      </c>
      <c r="K572" s="7">
        <v>6.4</v>
      </c>
    </row>
    <row r="573" spans="1:11" x14ac:dyDescent="0.3">
      <c r="A573" s="2">
        <v>41950</v>
      </c>
      <c r="B573" s="9">
        <f>MONTH(Table1[[#This Row],[Order Date]])</f>
        <v>11</v>
      </c>
      <c r="C573" s="9">
        <f>YEAR(Table1[[#This Row],[Order Date]])</f>
        <v>2014</v>
      </c>
      <c r="D573" t="s">
        <v>916</v>
      </c>
      <c r="E573" t="s">
        <v>144</v>
      </c>
      <c r="F573" t="s">
        <v>39</v>
      </c>
      <c r="G573" t="s">
        <v>40</v>
      </c>
      <c r="H573" t="s">
        <v>917</v>
      </c>
      <c r="I573" s="7">
        <v>164.85</v>
      </c>
      <c r="J573" s="8">
        <v>3</v>
      </c>
      <c r="K573" s="7">
        <v>47.81</v>
      </c>
    </row>
    <row r="574" spans="1:11" x14ac:dyDescent="0.3">
      <c r="A574" s="2">
        <v>41951</v>
      </c>
      <c r="B574" s="9">
        <f>MONTH(Table1[[#This Row],[Order Date]])</f>
        <v>11</v>
      </c>
      <c r="C574" s="9">
        <f>YEAR(Table1[[#This Row],[Order Date]])</f>
        <v>2014</v>
      </c>
      <c r="D574" t="s">
        <v>633</v>
      </c>
      <c r="E574" t="s">
        <v>158</v>
      </c>
      <c r="F574" t="s">
        <v>34</v>
      </c>
      <c r="G574" t="s">
        <v>47</v>
      </c>
      <c r="H574" t="s">
        <v>1083</v>
      </c>
      <c r="I574" s="7">
        <v>12.35</v>
      </c>
      <c r="J574" s="8">
        <v>1</v>
      </c>
      <c r="K574" s="7">
        <v>5.43</v>
      </c>
    </row>
    <row r="575" spans="1:11" x14ac:dyDescent="0.3">
      <c r="A575" s="2">
        <v>41951</v>
      </c>
      <c r="B575" s="9">
        <f>MONTH(Table1[[#This Row],[Order Date]])</f>
        <v>11</v>
      </c>
      <c r="C575" s="9">
        <f>YEAR(Table1[[#This Row],[Order Date]])</f>
        <v>2014</v>
      </c>
      <c r="D575" t="s">
        <v>633</v>
      </c>
      <c r="E575" t="s">
        <v>158</v>
      </c>
      <c r="F575" t="s">
        <v>11</v>
      </c>
      <c r="G575" t="s">
        <v>24</v>
      </c>
      <c r="H575" t="s">
        <v>1084</v>
      </c>
      <c r="I575" s="7">
        <v>40.97</v>
      </c>
      <c r="J575" s="8">
        <v>1</v>
      </c>
      <c r="K575" s="7">
        <v>10.65</v>
      </c>
    </row>
    <row r="576" spans="1:11" x14ac:dyDescent="0.3">
      <c r="A576" s="2">
        <v>41951</v>
      </c>
      <c r="B576" s="9">
        <f>MONTH(Table1[[#This Row],[Order Date]])</f>
        <v>11</v>
      </c>
      <c r="C576" s="9">
        <f>YEAR(Table1[[#This Row],[Order Date]])</f>
        <v>2014</v>
      </c>
      <c r="D576" t="s">
        <v>633</v>
      </c>
      <c r="E576" t="s">
        <v>158</v>
      </c>
      <c r="F576" t="s">
        <v>11</v>
      </c>
      <c r="G576" t="s">
        <v>43</v>
      </c>
      <c r="H576" t="s">
        <v>1085</v>
      </c>
      <c r="I576" s="7">
        <v>22.96</v>
      </c>
      <c r="J576" s="8">
        <v>2</v>
      </c>
      <c r="K576" s="7">
        <v>10.79</v>
      </c>
    </row>
    <row r="577" spans="1:11" x14ac:dyDescent="0.3">
      <c r="A577" s="2">
        <v>41951</v>
      </c>
      <c r="B577" s="9">
        <f>MONTH(Table1[[#This Row],[Order Date]])</f>
        <v>11</v>
      </c>
      <c r="C577" s="9">
        <f>YEAR(Table1[[#This Row],[Order Date]])</f>
        <v>2014</v>
      </c>
      <c r="D577" t="s">
        <v>988</v>
      </c>
      <c r="E577" t="s">
        <v>144</v>
      </c>
      <c r="F577" t="s">
        <v>11</v>
      </c>
      <c r="G577" t="s">
        <v>18</v>
      </c>
      <c r="H577" t="s">
        <v>1086</v>
      </c>
      <c r="I577" s="7">
        <v>375.34</v>
      </c>
      <c r="J577" s="8">
        <v>1</v>
      </c>
      <c r="K577" s="7">
        <v>18.77</v>
      </c>
    </row>
    <row r="578" spans="1:11" x14ac:dyDescent="0.3">
      <c r="A578" s="2">
        <v>41952</v>
      </c>
      <c r="B578" s="9">
        <f>MONTH(Table1[[#This Row],[Order Date]])</f>
        <v>11</v>
      </c>
      <c r="C578" s="9">
        <f>YEAR(Table1[[#This Row],[Order Date]])</f>
        <v>2014</v>
      </c>
      <c r="D578" t="s">
        <v>1247</v>
      </c>
      <c r="E578" t="s">
        <v>27</v>
      </c>
      <c r="F578" t="s">
        <v>34</v>
      </c>
      <c r="G578" t="s">
        <v>47</v>
      </c>
      <c r="H578" t="s">
        <v>1248</v>
      </c>
      <c r="I578" s="7">
        <v>127.95</v>
      </c>
      <c r="J578" s="8">
        <v>3</v>
      </c>
      <c r="K578" s="7">
        <v>21.75</v>
      </c>
    </row>
    <row r="579" spans="1:11" x14ac:dyDescent="0.3">
      <c r="A579" s="2">
        <v>41953</v>
      </c>
      <c r="B579" s="9">
        <f>MONTH(Table1[[#This Row],[Order Date]])</f>
        <v>11</v>
      </c>
      <c r="C579" s="9">
        <f>YEAR(Table1[[#This Row],[Order Date]])</f>
        <v>2014</v>
      </c>
      <c r="D579" t="s">
        <v>1414</v>
      </c>
      <c r="E579" t="s">
        <v>23</v>
      </c>
      <c r="F579" t="s">
        <v>11</v>
      </c>
      <c r="G579" t="s">
        <v>18</v>
      </c>
      <c r="H579" t="s">
        <v>1415</v>
      </c>
      <c r="I579" s="7">
        <v>281.89999999999998</v>
      </c>
      <c r="J579" s="8">
        <v>2</v>
      </c>
      <c r="K579" s="7">
        <v>10.57</v>
      </c>
    </row>
    <row r="580" spans="1:11" x14ac:dyDescent="0.3">
      <c r="A580" s="2">
        <v>41953</v>
      </c>
      <c r="B580" s="9">
        <f>MONTH(Table1[[#This Row],[Order Date]])</f>
        <v>11</v>
      </c>
      <c r="C580" s="9">
        <f>YEAR(Table1[[#This Row],[Order Date]])</f>
        <v>2014</v>
      </c>
      <c r="D580" t="s">
        <v>1414</v>
      </c>
      <c r="E580" t="s">
        <v>23</v>
      </c>
      <c r="F580" t="s">
        <v>11</v>
      </c>
      <c r="G580" t="s">
        <v>63</v>
      </c>
      <c r="H580" t="s">
        <v>403</v>
      </c>
      <c r="I580" s="7">
        <v>201.43</v>
      </c>
      <c r="J580" s="8">
        <v>3</v>
      </c>
      <c r="K580" s="7">
        <v>67.98</v>
      </c>
    </row>
    <row r="581" spans="1:11" x14ac:dyDescent="0.3">
      <c r="A581" s="2">
        <v>41953</v>
      </c>
      <c r="B581" s="9">
        <f>MONTH(Table1[[#This Row],[Order Date]])</f>
        <v>11</v>
      </c>
      <c r="C581" s="9">
        <f>YEAR(Table1[[#This Row],[Order Date]])</f>
        <v>2014</v>
      </c>
      <c r="D581" t="s">
        <v>707</v>
      </c>
      <c r="E581" t="s">
        <v>158</v>
      </c>
      <c r="F581" t="s">
        <v>34</v>
      </c>
      <c r="G581" t="s">
        <v>47</v>
      </c>
      <c r="H581" t="s">
        <v>1416</v>
      </c>
      <c r="I581" s="7">
        <v>63.47</v>
      </c>
      <c r="J581" s="8">
        <v>11</v>
      </c>
      <c r="K581" s="7">
        <v>19.04</v>
      </c>
    </row>
    <row r="582" spans="1:11" x14ac:dyDescent="0.3">
      <c r="A582" s="2">
        <v>41953</v>
      </c>
      <c r="B582" s="9">
        <f>MONTH(Table1[[#This Row],[Order Date]])</f>
        <v>11</v>
      </c>
      <c r="C582" s="9">
        <f>YEAR(Table1[[#This Row],[Order Date]])</f>
        <v>2014</v>
      </c>
      <c r="D582" t="s">
        <v>707</v>
      </c>
      <c r="E582" t="s">
        <v>158</v>
      </c>
      <c r="F582" t="s">
        <v>39</v>
      </c>
      <c r="G582" t="s">
        <v>52</v>
      </c>
      <c r="H582" t="s">
        <v>1417</v>
      </c>
      <c r="I582" s="7">
        <v>345</v>
      </c>
      <c r="J582" s="8">
        <v>5</v>
      </c>
      <c r="K582" s="7">
        <v>58.65</v>
      </c>
    </row>
    <row r="583" spans="1:11" x14ac:dyDescent="0.3">
      <c r="A583" s="2">
        <v>41953</v>
      </c>
      <c r="B583" s="9">
        <f>MONTH(Table1[[#This Row],[Order Date]])</f>
        <v>11</v>
      </c>
      <c r="C583" s="9">
        <f>YEAR(Table1[[#This Row],[Order Date]])</f>
        <v>2014</v>
      </c>
      <c r="D583" t="s">
        <v>1418</v>
      </c>
      <c r="E583" t="s">
        <v>27</v>
      </c>
      <c r="F583" t="s">
        <v>11</v>
      </c>
      <c r="G583" t="s">
        <v>18</v>
      </c>
      <c r="H583" t="s">
        <v>1419</v>
      </c>
      <c r="I583" s="7">
        <v>31.92</v>
      </c>
      <c r="J583" s="8">
        <v>4</v>
      </c>
      <c r="K583" s="7">
        <v>8.3000000000000007</v>
      </c>
    </row>
    <row r="584" spans="1:11" x14ac:dyDescent="0.3">
      <c r="A584" s="2">
        <v>41953</v>
      </c>
      <c r="B584" s="9">
        <f>MONTH(Table1[[#This Row],[Order Date]])</f>
        <v>11</v>
      </c>
      <c r="C584" s="9">
        <f>YEAR(Table1[[#This Row],[Order Date]])</f>
        <v>2014</v>
      </c>
      <c r="D584" t="s">
        <v>1418</v>
      </c>
      <c r="E584" t="s">
        <v>27</v>
      </c>
      <c r="F584" t="s">
        <v>34</v>
      </c>
      <c r="G584" t="s">
        <v>35</v>
      </c>
      <c r="H584" t="s">
        <v>1420</v>
      </c>
      <c r="I584" s="7">
        <v>433.57</v>
      </c>
      <c r="J584" s="8">
        <v>2</v>
      </c>
      <c r="K584" s="7">
        <v>-65.040000000000006</v>
      </c>
    </row>
    <row r="585" spans="1:11" x14ac:dyDescent="0.3">
      <c r="A585" s="2">
        <v>41953</v>
      </c>
      <c r="B585" s="9">
        <f>MONTH(Table1[[#This Row],[Order Date]])</f>
        <v>11</v>
      </c>
      <c r="C585" s="9">
        <f>YEAR(Table1[[#This Row],[Order Date]])</f>
        <v>2014</v>
      </c>
      <c r="D585" t="s">
        <v>543</v>
      </c>
      <c r="E585" t="s">
        <v>100</v>
      </c>
      <c r="F585" t="s">
        <v>34</v>
      </c>
      <c r="G585" t="s">
        <v>47</v>
      </c>
      <c r="H585" t="s">
        <v>1421</v>
      </c>
      <c r="I585" s="7">
        <v>8.92</v>
      </c>
      <c r="J585" s="8">
        <v>4</v>
      </c>
      <c r="K585" s="7">
        <v>3.92</v>
      </c>
    </row>
    <row r="586" spans="1:11" x14ac:dyDescent="0.3">
      <c r="A586" s="2">
        <v>41954</v>
      </c>
      <c r="B586" s="9">
        <f>MONTH(Table1[[#This Row],[Order Date]])</f>
        <v>11</v>
      </c>
      <c r="C586" s="9">
        <f>YEAR(Table1[[#This Row],[Order Date]])</f>
        <v>2014</v>
      </c>
      <c r="D586" t="s">
        <v>1557</v>
      </c>
      <c r="E586" t="s">
        <v>152</v>
      </c>
      <c r="F586" t="s">
        <v>11</v>
      </c>
      <c r="G586" t="s">
        <v>18</v>
      </c>
      <c r="H586" t="s">
        <v>1558</v>
      </c>
      <c r="I586" s="7">
        <v>665.88</v>
      </c>
      <c r="J586" s="8">
        <v>6</v>
      </c>
      <c r="K586" s="7">
        <v>13.32</v>
      </c>
    </row>
    <row r="587" spans="1:11" x14ac:dyDescent="0.3">
      <c r="A587" s="2">
        <v>41954</v>
      </c>
      <c r="B587" s="9">
        <f>MONTH(Table1[[#This Row],[Order Date]])</f>
        <v>11</v>
      </c>
      <c r="C587" s="9">
        <f>YEAR(Table1[[#This Row],[Order Date]])</f>
        <v>2014</v>
      </c>
      <c r="D587" t="s">
        <v>1559</v>
      </c>
      <c r="E587" t="s">
        <v>269</v>
      </c>
      <c r="F587" t="s">
        <v>11</v>
      </c>
      <c r="G587" t="s">
        <v>24</v>
      </c>
      <c r="H587" t="s">
        <v>376</v>
      </c>
      <c r="I587" s="7">
        <v>3.39</v>
      </c>
      <c r="J587" s="8">
        <v>1</v>
      </c>
      <c r="K587" s="7">
        <v>0.81</v>
      </c>
    </row>
    <row r="588" spans="1:11" x14ac:dyDescent="0.3">
      <c r="A588" s="2">
        <v>41954</v>
      </c>
      <c r="B588" s="9">
        <f>MONTH(Table1[[#This Row],[Order Date]])</f>
        <v>11</v>
      </c>
      <c r="C588" s="9">
        <f>YEAR(Table1[[#This Row],[Order Date]])</f>
        <v>2014</v>
      </c>
      <c r="D588" t="s">
        <v>1559</v>
      </c>
      <c r="E588" t="s">
        <v>269</v>
      </c>
      <c r="F588" t="s">
        <v>39</v>
      </c>
      <c r="G588" t="s">
        <v>40</v>
      </c>
      <c r="H588" t="s">
        <v>1560</v>
      </c>
      <c r="I588" s="7">
        <v>559.98</v>
      </c>
      <c r="J588" s="8">
        <v>2</v>
      </c>
      <c r="K588" s="7">
        <v>56</v>
      </c>
    </row>
    <row r="589" spans="1:11" x14ac:dyDescent="0.3">
      <c r="A589" s="2">
        <v>41954</v>
      </c>
      <c r="B589" s="9">
        <f>MONTH(Table1[[#This Row],[Order Date]])</f>
        <v>11</v>
      </c>
      <c r="C589" s="9">
        <f>YEAR(Table1[[#This Row],[Order Date]])</f>
        <v>2014</v>
      </c>
      <c r="D589" t="s">
        <v>1559</v>
      </c>
      <c r="E589" t="s">
        <v>269</v>
      </c>
      <c r="F589" t="s">
        <v>34</v>
      </c>
      <c r="G589" t="s">
        <v>35</v>
      </c>
      <c r="H589" t="s">
        <v>1561</v>
      </c>
      <c r="I589" s="7">
        <v>603.91999999999996</v>
      </c>
      <c r="J589" s="8">
        <v>5</v>
      </c>
      <c r="K589" s="7">
        <v>75.489999999999995</v>
      </c>
    </row>
    <row r="590" spans="1:11" x14ac:dyDescent="0.3">
      <c r="A590" s="2">
        <v>41954</v>
      </c>
      <c r="B590" s="9">
        <f>MONTH(Table1[[#This Row],[Order Date]])</f>
        <v>11</v>
      </c>
      <c r="C590" s="9">
        <f>YEAR(Table1[[#This Row],[Order Date]])</f>
        <v>2014</v>
      </c>
      <c r="D590" t="s">
        <v>1562</v>
      </c>
      <c r="E590" t="s">
        <v>10</v>
      </c>
      <c r="F590" t="s">
        <v>11</v>
      </c>
      <c r="G590" t="s">
        <v>20</v>
      </c>
      <c r="H590" t="s">
        <v>1563</v>
      </c>
      <c r="I590" s="7">
        <v>1.23</v>
      </c>
      <c r="J590" s="8">
        <v>1</v>
      </c>
      <c r="K590" s="7">
        <v>-1.97</v>
      </c>
    </row>
    <row r="591" spans="1:11" x14ac:dyDescent="0.3">
      <c r="A591" s="2">
        <v>41954</v>
      </c>
      <c r="B591" s="9">
        <f>MONTH(Table1[[#This Row],[Order Date]])</f>
        <v>11</v>
      </c>
      <c r="C591" s="9">
        <f>YEAR(Table1[[#This Row],[Order Date]])</f>
        <v>2014</v>
      </c>
      <c r="D591" t="s">
        <v>1562</v>
      </c>
      <c r="E591" t="s">
        <v>10</v>
      </c>
      <c r="F591" t="s">
        <v>11</v>
      </c>
      <c r="G591" t="s">
        <v>24</v>
      </c>
      <c r="H591" t="s">
        <v>1564</v>
      </c>
      <c r="I591" s="7">
        <v>67.56</v>
      </c>
      <c r="J591" s="8">
        <v>3</v>
      </c>
      <c r="K591" s="7">
        <v>6.76</v>
      </c>
    </row>
    <row r="592" spans="1:11" x14ac:dyDescent="0.3">
      <c r="A592" s="2">
        <v>41954</v>
      </c>
      <c r="B592" s="9">
        <f>MONTH(Table1[[#This Row],[Order Date]])</f>
        <v>11</v>
      </c>
      <c r="C592" s="9">
        <f>YEAR(Table1[[#This Row],[Order Date]])</f>
        <v>2014</v>
      </c>
      <c r="D592" t="s">
        <v>1562</v>
      </c>
      <c r="E592" t="s">
        <v>10</v>
      </c>
      <c r="F592" t="s">
        <v>11</v>
      </c>
      <c r="G592" t="s">
        <v>12</v>
      </c>
      <c r="H592" t="s">
        <v>1309</v>
      </c>
      <c r="I592" s="7">
        <v>21.72</v>
      </c>
      <c r="J592" s="8">
        <v>5</v>
      </c>
      <c r="K592" s="7">
        <v>7.87</v>
      </c>
    </row>
    <row r="593" spans="1:11" x14ac:dyDescent="0.3">
      <c r="A593" s="2">
        <v>41954</v>
      </c>
      <c r="B593" s="9">
        <f>MONTH(Table1[[#This Row],[Order Date]])</f>
        <v>11</v>
      </c>
      <c r="C593" s="9">
        <f>YEAR(Table1[[#This Row],[Order Date]])</f>
        <v>2014</v>
      </c>
      <c r="D593" t="s">
        <v>1562</v>
      </c>
      <c r="E593" t="s">
        <v>10</v>
      </c>
      <c r="F593" t="s">
        <v>39</v>
      </c>
      <c r="G593" t="s">
        <v>40</v>
      </c>
      <c r="H593" t="s">
        <v>726</v>
      </c>
      <c r="I593" s="7">
        <v>148.47999999999999</v>
      </c>
      <c r="J593" s="8">
        <v>2</v>
      </c>
      <c r="K593" s="7">
        <v>16.7</v>
      </c>
    </row>
    <row r="594" spans="1:11" x14ac:dyDescent="0.3">
      <c r="A594" s="2">
        <v>41954</v>
      </c>
      <c r="B594" s="9">
        <f>MONTH(Table1[[#This Row],[Order Date]])</f>
        <v>11</v>
      </c>
      <c r="C594" s="9">
        <f>YEAR(Table1[[#This Row],[Order Date]])</f>
        <v>2014</v>
      </c>
      <c r="D594" t="s">
        <v>1562</v>
      </c>
      <c r="E594" t="s">
        <v>10</v>
      </c>
      <c r="F594" t="s">
        <v>39</v>
      </c>
      <c r="G594" t="s">
        <v>40</v>
      </c>
      <c r="H594" t="s">
        <v>1566</v>
      </c>
      <c r="I594" s="7">
        <v>241.18</v>
      </c>
      <c r="J594" s="8">
        <v>3</v>
      </c>
      <c r="K594" s="7">
        <v>15.07</v>
      </c>
    </row>
    <row r="595" spans="1:11" x14ac:dyDescent="0.3">
      <c r="A595" s="2">
        <v>41954</v>
      </c>
      <c r="B595" s="9">
        <f>MONTH(Table1[[#This Row],[Order Date]])</f>
        <v>11</v>
      </c>
      <c r="C595" s="9">
        <f>YEAR(Table1[[#This Row],[Order Date]])</f>
        <v>2014</v>
      </c>
      <c r="D595" t="s">
        <v>1125</v>
      </c>
      <c r="E595" t="s">
        <v>27</v>
      </c>
      <c r="F595" t="s">
        <v>11</v>
      </c>
      <c r="G595" t="s">
        <v>24</v>
      </c>
      <c r="H595" t="s">
        <v>1567</v>
      </c>
      <c r="I595" s="7">
        <v>30.48</v>
      </c>
      <c r="J595" s="8">
        <v>3</v>
      </c>
      <c r="K595" s="7">
        <v>7.92</v>
      </c>
    </row>
    <row r="596" spans="1:11" x14ac:dyDescent="0.3">
      <c r="A596" s="2">
        <v>41954</v>
      </c>
      <c r="B596" s="9">
        <f>MONTH(Table1[[#This Row],[Order Date]])</f>
        <v>11</v>
      </c>
      <c r="C596" s="9">
        <f>YEAR(Table1[[#This Row],[Order Date]])</f>
        <v>2014</v>
      </c>
      <c r="D596" t="s">
        <v>1125</v>
      </c>
      <c r="E596" t="s">
        <v>27</v>
      </c>
      <c r="F596" t="s">
        <v>34</v>
      </c>
      <c r="G596" t="s">
        <v>35</v>
      </c>
      <c r="H596" t="s">
        <v>706</v>
      </c>
      <c r="I596" s="7">
        <v>112.65</v>
      </c>
      <c r="J596" s="8">
        <v>1</v>
      </c>
      <c r="K596" s="7">
        <v>11.26</v>
      </c>
    </row>
    <row r="597" spans="1:11" x14ac:dyDescent="0.3">
      <c r="A597" s="2">
        <v>41954</v>
      </c>
      <c r="B597" s="9">
        <f>MONTH(Table1[[#This Row],[Order Date]])</f>
        <v>11</v>
      </c>
      <c r="C597" s="9">
        <f>YEAR(Table1[[#This Row],[Order Date]])</f>
        <v>2014</v>
      </c>
      <c r="D597" t="s">
        <v>1014</v>
      </c>
      <c r="E597" t="s">
        <v>23</v>
      </c>
      <c r="F597" t="s">
        <v>34</v>
      </c>
      <c r="G597" t="s">
        <v>47</v>
      </c>
      <c r="H597" t="s">
        <v>539</v>
      </c>
      <c r="I597" s="7">
        <v>23.97</v>
      </c>
      <c r="J597" s="8">
        <v>2</v>
      </c>
      <c r="K597" s="7">
        <v>7.79</v>
      </c>
    </row>
    <row r="598" spans="1:11" x14ac:dyDescent="0.3">
      <c r="A598" s="2">
        <v>41954</v>
      </c>
      <c r="B598" s="9">
        <f>MONTH(Table1[[#This Row],[Order Date]])</f>
        <v>11</v>
      </c>
      <c r="C598" s="9">
        <f>YEAR(Table1[[#This Row],[Order Date]])</f>
        <v>2014</v>
      </c>
      <c r="D598" t="s">
        <v>1014</v>
      </c>
      <c r="E598" t="s">
        <v>23</v>
      </c>
      <c r="F598" t="s">
        <v>34</v>
      </c>
      <c r="G598" t="s">
        <v>74</v>
      </c>
      <c r="H598" t="s">
        <v>1568</v>
      </c>
      <c r="I598" s="7">
        <v>521.96</v>
      </c>
      <c r="J598" s="8">
        <v>4</v>
      </c>
      <c r="K598" s="7">
        <v>-250.54</v>
      </c>
    </row>
    <row r="599" spans="1:11" x14ac:dyDescent="0.3">
      <c r="A599" s="2">
        <v>41954</v>
      </c>
      <c r="B599" s="9">
        <f>MONTH(Table1[[#This Row],[Order Date]])</f>
        <v>11</v>
      </c>
      <c r="C599" s="9">
        <f>YEAR(Table1[[#This Row],[Order Date]])</f>
        <v>2014</v>
      </c>
      <c r="D599" t="s">
        <v>1064</v>
      </c>
      <c r="E599" t="s">
        <v>27</v>
      </c>
      <c r="F599" t="s">
        <v>11</v>
      </c>
      <c r="G599" t="s">
        <v>12</v>
      </c>
      <c r="H599" t="s">
        <v>1569</v>
      </c>
      <c r="I599" s="7">
        <v>123.92</v>
      </c>
      <c r="J599" s="8">
        <v>4</v>
      </c>
      <c r="K599" s="7">
        <v>55.76</v>
      </c>
    </row>
    <row r="600" spans="1:11" x14ac:dyDescent="0.3">
      <c r="A600" s="2">
        <v>41954</v>
      </c>
      <c r="B600" s="9">
        <f>MONTH(Table1[[#This Row],[Order Date]])</f>
        <v>11</v>
      </c>
      <c r="C600" s="9">
        <f>YEAR(Table1[[#This Row],[Order Date]])</f>
        <v>2014</v>
      </c>
      <c r="D600" t="s">
        <v>438</v>
      </c>
      <c r="E600" t="s">
        <v>158</v>
      </c>
      <c r="F600" t="s">
        <v>11</v>
      </c>
      <c r="G600" t="s">
        <v>20</v>
      </c>
      <c r="H600" t="s">
        <v>1570</v>
      </c>
      <c r="I600" s="7">
        <v>2033.58</v>
      </c>
      <c r="J600" s="8">
        <v>2</v>
      </c>
      <c r="K600" s="7">
        <v>762.59</v>
      </c>
    </row>
    <row r="601" spans="1:11" x14ac:dyDescent="0.3">
      <c r="A601" s="2">
        <v>41954</v>
      </c>
      <c r="B601" s="9">
        <f>MONTH(Table1[[#This Row],[Order Date]])</f>
        <v>11</v>
      </c>
      <c r="C601" s="9">
        <f>YEAR(Table1[[#This Row],[Order Date]])</f>
        <v>2014</v>
      </c>
      <c r="D601" t="s">
        <v>776</v>
      </c>
      <c r="E601" t="s">
        <v>15</v>
      </c>
      <c r="F601" t="s">
        <v>34</v>
      </c>
      <c r="G601" t="s">
        <v>47</v>
      </c>
      <c r="H601" t="s">
        <v>1571</v>
      </c>
      <c r="I601" s="7">
        <v>10.98</v>
      </c>
      <c r="J601" s="8">
        <v>2</v>
      </c>
      <c r="K601" s="7">
        <v>-7.96</v>
      </c>
    </row>
    <row r="602" spans="1:11" x14ac:dyDescent="0.3">
      <c r="A602" s="2">
        <v>41954</v>
      </c>
      <c r="B602" s="9">
        <f>MONTH(Table1[[#This Row],[Order Date]])</f>
        <v>11</v>
      </c>
      <c r="C602" s="9">
        <f>YEAR(Table1[[#This Row],[Order Date]])</f>
        <v>2014</v>
      </c>
      <c r="D602" t="s">
        <v>231</v>
      </c>
      <c r="E602" t="s">
        <v>144</v>
      </c>
      <c r="F602" t="s">
        <v>11</v>
      </c>
      <c r="G602" t="s">
        <v>12</v>
      </c>
      <c r="H602" t="s">
        <v>1572</v>
      </c>
      <c r="I602" s="7">
        <v>46.35</v>
      </c>
      <c r="J602" s="8">
        <v>5</v>
      </c>
      <c r="K602" s="7">
        <v>21.78</v>
      </c>
    </row>
    <row r="603" spans="1:11" x14ac:dyDescent="0.3">
      <c r="A603" s="2">
        <v>41954</v>
      </c>
      <c r="B603" s="9">
        <f>MONTH(Table1[[#This Row],[Order Date]])</f>
        <v>11</v>
      </c>
      <c r="C603" s="9">
        <f>YEAR(Table1[[#This Row],[Order Date]])</f>
        <v>2014</v>
      </c>
      <c r="D603" t="s">
        <v>231</v>
      </c>
      <c r="E603" t="s">
        <v>144</v>
      </c>
      <c r="F603" t="s">
        <v>11</v>
      </c>
      <c r="G603" t="s">
        <v>12</v>
      </c>
      <c r="H603" t="s">
        <v>1573</v>
      </c>
      <c r="I603" s="7">
        <v>223.92</v>
      </c>
      <c r="J603" s="8">
        <v>4</v>
      </c>
      <c r="K603" s="7">
        <v>109.72</v>
      </c>
    </row>
    <row r="604" spans="1:11" x14ac:dyDescent="0.3">
      <c r="A604" s="2">
        <v>41954</v>
      </c>
      <c r="B604" s="9">
        <f>MONTH(Table1[[#This Row],[Order Date]])</f>
        <v>11</v>
      </c>
      <c r="C604" s="9">
        <f>YEAR(Table1[[#This Row],[Order Date]])</f>
        <v>2014</v>
      </c>
      <c r="D604" t="s">
        <v>231</v>
      </c>
      <c r="E604" t="s">
        <v>144</v>
      </c>
      <c r="F604" t="s">
        <v>11</v>
      </c>
      <c r="G604" t="s">
        <v>194</v>
      </c>
      <c r="H604" t="s">
        <v>1265</v>
      </c>
      <c r="I604" s="7">
        <v>7.3</v>
      </c>
      <c r="J604" s="8">
        <v>2</v>
      </c>
      <c r="K604" s="7">
        <v>2.19</v>
      </c>
    </row>
    <row r="605" spans="1:11" x14ac:dyDescent="0.3">
      <c r="A605" s="2">
        <v>41975</v>
      </c>
      <c r="B605" s="9">
        <f>MONTH(Table1[[#This Row],[Order Date]])</f>
        <v>12</v>
      </c>
      <c r="C605" s="9">
        <f>YEAR(Table1[[#This Row],[Order Date]])</f>
        <v>2014</v>
      </c>
      <c r="D605" t="s">
        <v>186</v>
      </c>
      <c r="E605" t="s">
        <v>27</v>
      </c>
      <c r="F605" t="s">
        <v>34</v>
      </c>
      <c r="G605" t="s">
        <v>35</v>
      </c>
      <c r="H605" t="s">
        <v>187</v>
      </c>
      <c r="I605" s="7">
        <v>129.57</v>
      </c>
      <c r="J605" s="8">
        <v>2</v>
      </c>
      <c r="K605" s="7">
        <v>-24.29</v>
      </c>
    </row>
    <row r="606" spans="1:11" x14ac:dyDescent="0.3">
      <c r="A606" s="2">
        <v>41977</v>
      </c>
      <c r="B606" s="9">
        <f>MONTH(Table1[[#This Row],[Order Date]])</f>
        <v>12</v>
      </c>
      <c r="C606" s="9">
        <f>YEAR(Table1[[#This Row],[Order Date]])</f>
        <v>2014</v>
      </c>
      <c r="D606" t="s">
        <v>504</v>
      </c>
      <c r="E606" t="s">
        <v>27</v>
      </c>
      <c r="F606" t="s">
        <v>39</v>
      </c>
      <c r="G606" t="s">
        <v>40</v>
      </c>
      <c r="H606" t="s">
        <v>506</v>
      </c>
      <c r="I606" s="7">
        <v>438.37</v>
      </c>
      <c r="J606" s="8">
        <v>4</v>
      </c>
      <c r="K606" s="7">
        <v>38.36</v>
      </c>
    </row>
    <row r="607" spans="1:11" x14ac:dyDescent="0.3">
      <c r="A607" s="2">
        <v>41977</v>
      </c>
      <c r="B607" s="9">
        <f>MONTH(Table1[[#This Row],[Order Date]])</f>
        <v>12</v>
      </c>
      <c r="C607" s="9">
        <f>YEAR(Table1[[#This Row],[Order Date]])</f>
        <v>2014</v>
      </c>
      <c r="D607" t="s">
        <v>504</v>
      </c>
      <c r="E607" t="s">
        <v>27</v>
      </c>
      <c r="F607" t="s">
        <v>11</v>
      </c>
      <c r="G607" t="s">
        <v>20</v>
      </c>
      <c r="H607" t="s">
        <v>507</v>
      </c>
      <c r="I607" s="7">
        <v>18.09</v>
      </c>
      <c r="J607" s="8">
        <v>7</v>
      </c>
      <c r="K607" s="7">
        <v>6.56</v>
      </c>
    </row>
    <row r="608" spans="1:11" x14ac:dyDescent="0.3">
      <c r="A608" s="2">
        <v>41977</v>
      </c>
      <c r="B608" s="9">
        <f>MONTH(Table1[[#This Row],[Order Date]])</f>
        <v>12</v>
      </c>
      <c r="C608" s="9">
        <f>YEAR(Table1[[#This Row],[Order Date]])</f>
        <v>2014</v>
      </c>
      <c r="D608" t="s">
        <v>504</v>
      </c>
      <c r="E608" t="s">
        <v>27</v>
      </c>
      <c r="F608" t="s">
        <v>34</v>
      </c>
      <c r="G608" t="s">
        <v>74</v>
      </c>
      <c r="H608" t="s">
        <v>401</v>
      </c>
      <c r="I608" s="7">
        <v>308.5</v>
      </c>
      <c r="J608" s="8">
        <v>3</v>
      </c>
      <c r="K608" s="7">
        <v>-18.149999999999999</v>
      </c>
    </row>
    <row r="609" spans="1:11" x14ac:dyDescent="0.3">
      <c r="A609" s="2">
        <v>41977</v>
      </c>
      <c r="B609" s="9">
        <f>MONTH(Table1[[#This Row],[Order Date]])</f>
        <v>12</v>
      </c>
      <c r="C609" s="9">
        <f>YEAR(Table1[[#This Row],[Order Date]])</f>
        <v>2014</v>
      </c>
      <c r="D609" t="s">
        <v>508</v>
      </c>
      <c r="E609" t="s">
        <v>126</v>
      </c>
      <c r="F609" t="s">
        <v>11</v>
      </c>
      <c r="G609" t="s">
        <v>12</v>
      </c>
      <c r="H609" t="s">
        <v>509</v>
      </c>
      <c r="I609" s="7">
        <v>32.4</v>
      </c>
      <c r="J609" s="8">
        <v>5</v>
      </c>
      <c r="K609" s="7">
        <v>15.55</v>
      </c>
    </row>
    <row r="610" spans="1:11" x14ac:dyDescent="0.3">
      <c r="A610" s="2">
        <v>41977</v>
      </c>
      <c r="B610" s="9">
        <f>MONTH(Table1[[#This Row],[Order Date]])</f>
        <v>12</v>
      </c>
      <c r="C610" s="9">
        <f>YEAR(Table1[[#This Row],[Order Date]])</f>
        <v>2014</v>
      </c>
      <c r="D610" t="s">
        <v>510</v>
      </c>
      <c r="E610" t="s">
        <v>27</v>
      </c>
      <c r="F610" t="s">
        <v>11</v>
      </c>
      <c r="G610" t="s">
        <v>24</v>
      </c>
      <c r="H610" t="s">
        <v>511</v>
      </c>
      <c r="I610" s="7">
        <v>39.68</v>
      </c>
      <c r="J610" s="8">
        <v>2</v>
      </c>
      <c r="K610" s="7">
        <v>16.27</v>
      </c>
    </row>
    <row r="611" spans="1:11" x14ac:dyDescent="0.3">
      <c r="A611" s="2">
        <v>41978</v>
      </c>
      <c r="B611" s="9">
        <f>MONTH(Table1[[#This Row],[Order Date]])</f>
        <v>12</v>
      </c>
      <c r="C611" s="9">
        <f>YEAR(Table1[[#This Row],[Order Date]])</f>
        <v>2014</v>
      </c>
      <c r="D611" t="s">
        <v>268</v>
      </c>
      <c r="E611" t="s">
        <v>422</v>
      </c>
      <c r="F611" t="s">
        <v>34</v>
      </c>
      <c r="G611" t="s">
        <v>140</v>
      </c>
      <c r="H611" t="s">
        <v>650</v>
      </c>
      <c r="I611" s="7">
        <v>700.06</v>
      </c>
      <c r="J611" s="8">
        <v>3</v>
      </c>
      <c r="K611" s="7">
        <v>-130.01</v>
      </c>
    </row>
    <row r="612" spans="1:11" x14ac:dyDescent="0.3">
      <c r="A612" s="2">
        <v>41980</v>
      </c>
      <c r="B612" s="9">
        <f>MONTH(Table1[[#This Row],[Order Date]])</f>
        <v>12</v>
      </c>
      <c r="C612" s="9">
        <f>YEAR(Table1[[#This Row],[Order Date]])</f>
        <v>2014</v>
      </c>
      <c r="D612" t="s">
        <v>918</v>
      </c>
      <c r="E612" t="s">
        <v>27</v>
      </c>
      <c r="F612" t="s">
        <v>34</v>
      </c>
      <c r="G612" t="s">
        <v>140</v>
      </c>
      <c r="H612" t="s">
        <v>920</v>
      </c>
      <c r="I612" s="7">
        <v>698.35</v>
      </c>
      <c r="J612" s="8">
        <v>3</v>
      </c>
      <c r="K612" s="7">
        <v>-17.46</v>
      </c>
    </row>
    <row r="613" spans="1:11" x14ac:dyDescent="0.3">
      <c r="A613" s="2">
        <v>41980</v>
      </c>
      <c r="B613" s="9">
        <f>MONTH(Table1[[#This Row],[Order Date]])</f>
        <v>12</v>
      </c>
      <c r="C613" s="9">
        <f>YEAR(Table1[[#This Row],[Order Date]])</f>
        <v>2014</v>
      </c>
      <c r="D613" t="s">
        <v>516</v>
      </c>
      <c r="E613" t="s">
        <v>27</v>
      </c>
      <c r="F613" t="s">
        <v>39</v>
      </c>
      <c r="G613" t="s">
        <v>40</v>
      </c>
      <c r="H613" t="s">
        <v>921</v>
      </c>
      <c r="I613" s="7">
        <v>255.94</v>
      </c>
      <c r="J613" s="8">
        <v>8</v>
      </c>
      <c r="K613" s="7">
        <v>28.79</v>
      </c>
    </row>
    <row r="614" spans="1:11" x14ac:dyDescent="0.3">
      <c r="A614" s="2">
        <v>41980</v>
      </c>
      <c r="B614" s="9">
        <f>MONTH(Table1[[#This Row],[Order Date]])</f>
        <v>12</v>
      </c>
      <c r="C614" s="9">
        <f>YEAR(Table1[[#This Row],[Order Date]])</f>
        <v>2014</v>
      </c>
      <c r="D614" t="s">
        <v>248</v>
      </c>
      <c r="E614" t="s">
        <v>158</v>
      </c>
      <c r="F614" t="s">
        <v>34</v>
      </c>
      <c r="G614" t="s">
        <v>35</v>
      </c>
      <c r="H614" t="s">
        <v>922</v>
      </c>
      <c r="I614" s="7">
        <v>123.14</v>
      </c>
      <c r="J614" s="8">
        <v>4</v>
      </c>
      <c r="K614" s="7">
        <v>13.85</v>
      </c>
    </row>
    <row r="615" spans="1:11" x14ac:dyDescent="0.3">
      <c r="A615" s="2">
        <v>41980</v>
      </c>
      <c r="B615" s="9">
        <f>MONTH(Table1[[#This Row],[Order Date]])</f>
        <v>12</v>
      </c>
      <c r="C615" s="9">
        <f>YEAR(Table1[[#This Row],[Order Date]])</f>
        <v>2014</v>
      </c>
      <c r="D615" t="s">
        <v>248</v>
      </c>
      <c r="E615" t="s">
        <v>158</v>
      </c>
      <c r="F615" t="s">
        <v>11</v>
      </c>
      <c r="G615" t="s">
        <v>20</v>
      </c>
      <c r="H615" t="s">
        <v>860</v>
      </c>
      <c r="I615" s="7">
        <v>11.26</v>
      </c>
      <c r="J615" s="8">
        <v>4</v>
      </c>
      <c r="K615" s="7">
        <v>3.8</v>
      </c>
    </row>
    <row r="616" spans="1:11" x14ac:dyDescent="0.3">
      <c r="A616" s="2">
        <v>41980</v>
      </c>
      <c r="B616" s="9">
        <f>MONTH(Table1[[#This Row],[Order Date]])</f>
        <v>12</v>
      </c>
      <c r="C616" s="9">
        <f>YEAR(Table1[[#This Row],[Order Date]])</f>
        <v>2014</v>
      </c>
      <c r="D616" t="s">
        <v>923</v>
      </c>
      <c r="E616" t="s">
        <v>15</v>
      </c>
      <c r="F616" t="s">
        <v>11</v>
      </c>
      <c r="G616" t="s">
        <v>12</v>
      </c>
      <c r="H616" t="s">
        <v>666</v>
      </c>
      <c r="I616" s="7">
        <v>35.86</v>
      </c>
      <c r="J616" s="8">
        <v>9</v>
      </c>
      <c r="K616" s="7">
        <v>13</v>
      </c>
    </row>
    <row r="617" spans="1:11" x14ac:dyDescent="0.3">
      <c r="A617" s="2">
        <v>41980</v>
      </c>
      <c r="B617" s="9">
        <f>MONTH(Table1[[#This Row],[Order Date]])</f>
        <v>12</v>
      </c>
      <c r="C617" s="9">
        <f>YEAR(Table1[[#This Row],[Order Date]])</f>
        <v>2014</v>
      </c>
      <c r="D617" t="s">
        <v>923</v>
      </c>
      <c r="E617" t="s">
        <v>15</v>
      </c>
      <c r="F617" t="s">
        <v>39</v>
      </c>
      <c r="G617" t="s">
        <v>52</v>
      </c>
      <c r="H617" t="s">
        <v>924</v>
      </c>
      <c r="I617" s="7">
        <v>23.84</v>
      </c>
      <c r="J617" s="8">
        <v>4</v>
      </c>
      <c r="K617" s="7">
        <v>3.28</v>
      </c>
    </row>
    <row r="618" spans="1:11" x14ac:dyDescent="0.3">
      <c r="A618" s="2">
        <v>41980</v>
      </c>
      <c r="B618" s="9">
        <f>MONTH(Table1[[#This Row],[Order Date]])</f>
        <v>12</v>
      </c>
      <c r="C618" s="9">
        <f>YEAR(Table1[[#This Row],[Order Date]])</f>
        <v>2014</v>
      </c>
      <c r="D618" t="s">
        <v>925</v>
      </c>
      <c r="E618" t="s">
        <v>10</v>
      </c>
      <c r="F618" t="s">
        <v>34</v>
      </c>
      <c r="G618" t="s">
        <v>35</v>
      </c>
      <c r="H618" t="s">
        <v>926</v>
      </c>
      <c r="I618" s="7">
        <v>512.36</v>
      </c>
      <c r="J618" s="8">
        <v>3</v>
      </c>
      <c r="K618" s="7">
        <v>-14.64</v>
      </c>
    </row>
    <row r="619" spans="1:11" x14ac:dyDescent="0.3">
      <c r="A619" s="2">
        <v>41980</v>
      </c>
      <c r="B619" s="9">
        <f>MONTH(Table1[[#This Row],[Order Date]])</f>
        <v>12</v>
      </c>
      <c r="C619" s="9">
        <f>YEAR(Table1[[#This Row],[Order Date]])</f>
        <v>2014</v>
      </c>
      <c r="D619" t="s">
        <v>925</v>
      </c>
      <c r="E619" t="s">
        <v>10</v>
      </c>
      <c r="F619" t="s">
        <v>11</v>
      </c>
      <c r="G619" t="s">
        <v>24</v>
      </c>
      <c r="H619" t="s">
        <v>927</v>
      </c>
      <c r="I619" s="7">
        <v>22.29</v>
      </c>
      <c r="J619" s="8">
        <v>7</v>
      </c>
      <c r="K619" s="7">
        <v>3.9</v>
      </c>
    </row>
    <row r="620" spans="1:11" x14ac:dyDescent="0.3">
      <c r="A620" s="2">
        <v>41981</v>
      </c>
      <c r="B620" s="9">
        <f>MONTH(Table1[[#This Row],[Order Date]])</f>
        <v>12</v>
      </c>
      <c r="C620" s="9">
        <f>YEAR(Table1[[#This Row],[Order Date]])</f>
        <v>2014</v>
      </c>
      <c r="D620" t="s">
        <v>1087</v>
      </c>
      <c r="E620" t="s">
        <v>171</v>
      </c>
      <c r="F620" t="s">
        <v>11</v>
      </c>
      <c r="G620" t="s">
        <v>20</v>
      </c>
      <c r="H620" t="s">
        <v>1088</v>
      </c>
      <c r="I620" s="7">
        <v>196.21</v>
      </c>
      <c r="J620" s="8">
        <v>7</v>
      </c>
      <c r="K620" s="7">
        <v>98.11</v>
      </c>
    </row>
    <row r="621" spans="1:11" x14ac:dyDescent="0.3">
      <c r="A621" s="2">
        <v>41981</v>
      </c>
      <c r="B621" s="9">
        <f>MONTH(Table1[[#This Row],[Order Date]])</f>
        <v>12</v>
      </c>
      <c r="C621" s="9">
        <f>YEAR(Table1[[#This Row],[Order Date]])</f>
        <v>2014</v>
      </c>
      <c r="D621" t="s">
        <v>1089</v>
      </c>
      <c r="E621" t="s">
        <v>27</v>
      </c>
      <c r="F621" t="s">
        <v>39</v>
      </c>
      <c r="G621" t="s">
        <v>40</v>
      </c>
      <c r="H621" t="s">
        <v>1090</v>
      </c>
      <c r="I621" s="7">
        <v>806.34</v>
      </c>
      <c r="J621" s="8">
        <v>8</v>
      </c>
      <c r="K621" s="7">
        <v>50.4</v>
      </c>
    </row>
    <row r="622" spans="1:11" x14ac:dyDescent="0.3">
      <c r="A622" s="2">
        <v>41981</v>
      </c>
      <c r="B622" s="9">
        <f>MONTH(Table1[[#This Row],[Order Date]])</f>
        <v>12</v>
      </c>
      <c r="C622" s="9">
        <f>YEAR(Table1[[#This Row],[Order Date]])</f>
        <v>2014</v>
      </c>
      <c r="D622" t="s">
        <v>1091</v>
      </c>
      <c r="E622" t="s">
        <v>120</v>
      </c>
      <c r="F622" t="s">
        <v>11</v>
      </c>
      <c r="G622" t="s">
        <v>12</v>
      </c>
      <c r="H622" t="s">
        <v>1092</v>
      </c>
      <c r="I622" s="7">
        <v>31.1</v>
      </c>
      <c r="J622" s="8">
        <v>6</v>
      </c>
      <c r="K622" s="7">
        <v>10.89</v>
      </c>
    </row>
    <row r="623" spans="1:11" x14ac:dyDescent="0.3">
      <c r="A623" s="2">
        <v>41981</v>
      </c>
      <c r="B623" s="9">
        <f>MONTH(Table1[[#This Row],[Order Date]])</f>
        <v>12</v>
      </c>
      <c r="C623" s="9">
        <f>YEAR(Table1[[#This Row],[Order Date]])</f>
        <v>2014</v>
      </c>
      <c r="D623" t="s">
        <v>1091</v>
      </c>
      <c r="E623" t="s">
        <v>120</v>
      </c>
      <c r="F623" t="s">
        <v>11</v>
      </c>
      <c r="G623" t="s">
        <v>24</v>
      </c>
      <c r="H623" t="s">
        <v>1093</v>
      </c>
      <c r="I623" s="7">
        <v>47.96</v>
      </c>
      <c r="J623" s="8">
        <v>5</v>
      </c>
      <c r="K623" s="7">
        <v>4.2</v>
      </c>
    </row>
    <row r="624" spans="1:11" x14ac:dyDescent="0.3">
      <c r="A624" s="2">
        <v>41981</v>
      </c>
      <c r="B624" s="9">
        <f>MONTH(Table1[[#This Row],[Order Date]])</f>
        <v>12</v>
      </c>
      <c r="C624" s="9">
        <f>YEAR(Table1[[#This Row],[Order Date]])</f>
        <v>2014</v>
      </c>
      <c r="D624" t="s">
        <v>1091</v>
      </c>
      <c r="E624" t="s">
        <v>120</v>
      </c>
      <c r="F624" t="s">
        <v>11</v>
      </c>
      <c r="G624" t="s">
        <v>92</v>
      </c>
      <c r="H624" t="s">
        <v>1094</v>
      </c>
      <c r="I624" s="7">
        <v>211.25</v>
      </c>
      <c r="J624" s="8">
        <v>6</v>
      </c>
      <c r="K624" s="7">
        <v>15.84</v>
      </c>
    </row>
    <row r="625" spans="1:11" x14ac:dyDescent="0.3">
      <c r="A625" s="2">
        <v>41981</v>
      </c>
      <c r="B625" s="9">
        <f>MONTH(Table1[[#This Row],[Order Date]])</f>
        <v>12</v>
      </c>
      <c r="C625" s="9">
        <f>YEAR(Table1[[#This Row],[Order Date]])</f>
        <v>2014</v>
      </c>
      <c r="D625" t="s">
        <v>1091</v>
      </c>
      <c r="E625" t="s">
        <v>120</v>
      </c>
      <c r="F625" t="s">
        <v>11</v>
      </c>
      <c r="G625" t="s">
        <v>16</v>
      </c>
      <c r="H625" t="s">
        <v>343</v>
      </c>
      <c r="I625" s="7">
        <v>2.95</v>
      </c>
      <c r="J625" s="8">
        <v>1</v>
      </c>
      <c r="K625" s="7">
        <v>1</v>
      </c>
    </row>
    <row r="626" spans="1:11" x14ac:dyDescent="0.3">
      <c r="A626" s="2">
        <v>41981</v>
      </c>
      <c r="B626" s="9">
        <f>MONTH(Table1[[#This Row],[Order Date]])</f>
        <v>12</v>
      </c>
      <c r="C626" s="9">
        <f>YEAR(Table1[[#This Row],[Order Date]])</f>
        <v>2014</v>
      </c>
      <c r="D626" t="s">
        <v>577</v>
      </c>
      <c r="E626" t="s">
        <v>30</v>
      </c>
      <c r="F626" t="s">
        <v>11</v>
      </c>
      <c r="G626" t="s">
        <v>20</v>
      </c>
      <c r="H626" t="s">
        <v>1096</v>
      </c>
      <c r="I626" s="7">
        <v>14.04</v>
      </c>
      <c r="J626" s="8">
        <v>3</v>
      </c>
      <c r="K626" s="7">
        <v>6.74</v>
      </c>
    </row>
    <row r="627" spans="1:11" x14ac:dyDescent="0.3">
      <c r="A627" s="2">
        <v>41982</v>
      </c>
      <c r="B627" s="9">
        <f>MONTH(Table1[[#This Row],[Order Date]])</f>
        <v>12</v>
      </c>
      <c r="C627" s="9">
        <f>YEAR(Table1[[#This Row],[Order Date]])</f>
        <v>2014</v>
      </c>
      <c r="D627" t="s">
        <v>1249</v>
      </c>
      <c r="E627" t="s">
        <v>237</v>
      </c>
      <c r="F627" t="s">
        <v>11</v>
      </c>
      <c r="G627" t="s">
        <v>12</v>
      </c>
      <c r="H627" t="s">
        <v>213</v>
      </c>
      <c r="I627" s="7">
        <v>10.37</v>
      </c>
      <c r="J627" s="8">
        <v>2</v>
      </c>
      <c r="K627" s="7">
        <v>3.63</v>
      </c>
    </row>
    <row r="628" spans="1:11" x14ac:dyDescent="0.3">
      <c r="A628" s="2">
        <v>41982</v>
      </c>
      <c r="B628" s="9">
        <f>MONTH(Table1[[#This Row],[Order Date]])</f>
        <v>12</v>
      </c>
      <c r="C628" s="9">
        <f>YEAR(Table1[[#This Row],[Order Date]])</f>
        <v>2014</v>
      </c>
      <c r="D628" t="s">
        <v>1249</v>
      </c>
      <c r="E628" t="s">
        <v>237</v>
      </c>
      <c r="F628" t="s">
        <v>39</v>
      </c>
      <c r="G628" t="s">
        <v>52</v>
      </c>
      <c r="H628" t="s">
        <v>1141</v>
      </c>
      <c r="I628" s="7">
        <v>15.22</v>
      </c>
      <c r="J628" s="8">
        <v>1</v>
      </c>
      <c r="K628" s="7">
        <v>2.2799999999999998</v>
      </c>
    </row>
    <row r="629" spans="1:11" x14ac:dyDescent="0.3">
      <c r="A629" s="2">
        <v>41982</v>
      </c>
      <c r="B629" s="9">
        <f>MONTH(Table1[[#This Row],[Order Date]])</f>
        <v>12</v>
      </c>
      <c r="C629" s="9">
        <f>YEAR(Table1[[#This Row],[Order Date]])</f>
        <v>2014</v>
      </c>
      <c r="D629" t="s">
        <v>1251</v>
      </c>
      <c r="E629" t="s">
        <v>10</v>
      </c>
      <c r="F629" t="s">
        <v>11</v>
      </c>
      <c r="G629" t="s">
        <v>20</v>
      </c>
      <c r="H629" t="s">
        <v>1252</v>
      </c>
      <c r="I629" s="7">
        <v>5.18</v>
      </c>
      <c r="J629" s="8">
        <v>5</v>
      </c>
      <c r="K629" s="7">
        <v>-8.0299999999999994</v>
      </c>
    </row>
    <row r="630" spans="1:11" x14ac:dyDescent="0.3">
      <c r="A630" s="2">
        <v>41982</v>
      </c>
      <c r="B630" s="9">
        <f>MONTH(Table1[[#This Row],[Order Date]])</f>
        <v>12</v>
      </c>
      <c r="C630" s="9">
        <f>YEAR(Table1[[#This Row],[Order Date]])</f>
        <v>2014</v>
      </c>
      <c r="D630" t="s">
        <v>1254</v>
      </c>
      <c r="E630" t="s">
        <v>1255</v>
      </c>
      <c r="F630" t="s">
        <v>39</v>
      </c>
      <c r="G630" t="s">
        <v>52</v>
      </c>
      <c r="H630" t="s">
        <v>1256</v>
      </c>
      <c r="I630" s="7">
        <v>57.4</v>
      </c>
      <c r="J630" s="8">
        <v>5</v>
      </c>
      <c r="K630" s="7">
        <v>10.91</v>
      </c>
    </row>
    <row r="631" spans="1:11" x14ac:dyDescent="0.3">
      <c r="A631" s="2">
        <v>41982</v>
      </c>
      <c r="B631" s="9">
        <f>MONTH(Table1[[#This Row],[Order Date]])</f>
        <v>12</v>
      </c>
      <c r="C631" s="9">
        <f>YEAR(Table1[[#This Row],[Order Date]])</f>
        <v>2014</v>
      </c>
      <c r="D631" t="s">
        <v>1254</v>
      </c>
      <c r="E631" t="s">
        <v>1255</v>
      </c>
      <c r="F631" t="s">
        <v>11</v>
      </c>
      <c r="G631" t="s">
        <v>20</v>
      </c>
      <c r="H631" t="s">
        <v>653</v>
      </c>
      <c r="I631" s="7">
        <v>331.96</v>
      </c>
      <c r="J631" s="8">
        <v>2</v>
      </c>
      <c r="K631" s="7">
        <v>149.38</v>
      </c>
    </row>
    <row r="632" spans="1:11" x14ac:dyDescent="0.3">
      <c r="A632" s="2">
        <v>41982</v>
      </c>
      <c r="B632" s="9">
        <f>MONTH(Table1[[#This Row],[Order Date]])</f>
        <v>12</v>
      </c>
      <c r="C632" s="9">
        <f>YEAR(Table1[[#This Row],[Order Date]])</f>
        <v>2014</v>
      </c>
      <c r="D632" t="s">
        <v>1254</v>
      </c>
      <c r="E632" t="s">
        <v>1255</v>
      </c>
      <c r="F632" t="s">
        <v>34</v>
      </c>
      <c r="G632" t="s">
        <v>47</v>
      </c>
      <c r="H632" t="s">
        <v>1257</v>
      </c>
      <c r="I632" s="7">
        <v>40.56</v>
      </c>
      <c r="J632" s="8">
        <v>2</v>
      </c>
      <c r="K632" s="7">
        <v>12.98</v>
      </c>
    </row>
    <row r="633" spans="1:11" x14ac:dyDescent="0.3">
      <c r="A633" s="2">
        <v>41982</v>
      </c>
      <c r="B633" s="9">
        <f>MONTH(Table1[[#This Row],[Order Date]])</f>
        <v>12</v>
      </c>
      <c r="C633" s="9">
        <f>YEAR(Table1[[#This Row],[Order Date]])</f>
        <v>2014</v>
      </c>
      <c r="D633" t="s">
        <v>1258</v>
      </c>
      <c r="E633" t="s">
        <v>144</v>
      </c>
      <c r="F633" t="s">
        <v>34</v>
      </c>
      <c r="G633" t="s">
        <v>35</v>
      </c>
      <c r="H633" t="s">
        <v>953</v>
      </c>
      <c r="I633" s="7">
        <v>3785.29</v>
      </c>
      <c r="J633" s="8">
        <v>6</v>
      </c>
      <c r="K633" s="7">
        <v>420.59</v>
      </c>
    </row>
    <row r="634" spans="1:11" x14ac:dyDescent="0.3">
      <c r="A634" s="2">
        <v>41983</v>
      </c>
      <c r="B634" s="9">
        <f>MONTH(Table1[[#This Row],[Order Date]])</f>
        <v>12</v>
      </c>
      <c r="C634" s="9">
        <f>YEAR(Table1[[#This Row],[Order Date]])</f>
        <v>2014</v>
      </c>
      <c r="D634" t="s">
        <v>1310</v>
      </c>
      <c r="E634" t="s">
        <v>27</v>
      </c>
      <c r="F634" t="s">
        <v>11</v>
      </c>
      <c r="G634" t="s">
        <v>24</v>
      </c>
      <c r="H634" t="s">
        <v>974</v>
      </c>
      <c r="I634" s="7">
        <v>14.9</v>
      </c>
      <c r="J634" s="8">
        <v>5</v>
      </c>
      <c r="K634" s="7">
        <v>4.17</v>
      </c>
    </row>
    <row r="635" spans="1:11" x14ac:dyDescent="0.3">
      <c r="A635" s="2">
        <v>41983</v>
      </c>
      <c r="B635" s="9">
        <f>MONTH(Table1[[#This Row],[Order Date]])</f>
        <v>12</v>
      </c>
      <c r="C635" s="9">
        <f>YEAR(Table1[[#This Row],[Order Date]])</f>
        <v>2014</v>
      </c>
      <c r="D635" t="s">
        <v>1310</v>
      </c>
      <c r="E635" t="s">
        <v>27</v>
      </c>
      <c r="F635" t="s">
        <v>11</v>
      </c>
      <c r="G635" t="s">
        <v>18</v>
      </c>
      <c r="H635" t="s">
        <v>1422</v>
      </c>
      <c r="I635" s="7">
        <v>21.39</v>
      </c>
      <c r="J635" s="8">
        <v>1</v>
      </c>
      <c r="K635" s="7">
        <v>6.2</v>
      </c>
    </row>
    <row r="636" spans="1:11" x14ac:dyDescent="0.3">
      <c r="A636" s="2">
        <v>41983</v>
      </c>
      <c r="B636" s="9">
        <f>MONTH(Table1[[#This Row],[Order Date]])</f>
        <v>12</v>
      </c>
      <c r="C636" s="9">
        <f>YEAR(Table1[[#This Row],[Order Date]])</f>
        <v>2014</v>
      </c>
      <c r="D636" t="s">
        <v>1423</v>
      </c>
      <c r="E636" t="s">
        <v>15</v>
      </c>
      <c r="F636" t="s">
        <v>11</v>
      </c>
      <c r="G636" t="s">
        <v>194</v>
      </c>
      <c r="H636" t="s">
        <v>1424</v>
      </c>
      <c r="I636" s="7">
        <v>22.24</v>
      </c>
      <c r="J636" s="8">
        <v>2</v>
      </c>
      <c r="K636" s="7">
        <v>2.5</v>
      </c>
    </row>
    <row r="637" spans="1:11" x14ac:dyDescent="0.3">
      <c r="A637" s="2">
        <v>41984</v>
      </c>
      <c r="B637" s="9">
        <f>MONTH(Table1[[#This Row],[Order Date]])</f>
        <v>12</v>
      </c>
      <c r="C637" s="9">
        <f>YEAR(Table1[[#This Row],[Order Date]])</f>
        <v>2014</v>
      </c>
      <c r="D637" t="s">
        <v>1574</v>
      </c>
      <c r="E637" t="s">
        <v>10</v>
      </c>
      <c r="F637" t="s">
        <v>11</v>
      </c>
      <c r="G637" t="s">
        <v>18</v>
      </c>
      <c r="H637" t="s">
        <v>1575</v>
      </c>
      <c r="I637" s="7">
        <v>49.63</v>
      </c>
      <c r="J637" s="8">
        <v>4</v>
      </c>
      <c r="K637" s="7">
        <v>4.96</v>
      </c>
    </row>
    <row r="638" spans="1:11" x14ac:dyDescent="0.3">
      <c r="A638" s="2">
        <v>41984</v>
      </c>
      <c r="B638" s="9">
        <f>MONTH(Table1[[#This Row],[Order Date]])</f>
        <v>12</v>
      </c>
      <c r="C638" s="9">
        <f>YEAR(Table1[[#This Row],[Order Date]])</f>
        <v>2014</v>
      </c>
      <c r="D638" t="s">
        <v>1293</v>
      </c>
      <c r="E638" t="s">
        <v>27</v>
      </c>
      <c r="F638" t="s">
        <v>11</v>
      </c>
      <c r="G638" t="s">
        <v>12</v>
      </c>
      <c r="H638" t="s">
        <v>1576</v>
      </c>
      <c r="I638" s="7">
        <v>11.96</v>
      </c>
      <c r="J638" s="8">
        <v>2</v>
      </c>
      <c r="K638" s="7">
        <v>5.86</v>
      </c>
    </row>
    <row r="639" spans="1:11" x14ac:dyDescent="0.3">
      <c r="A639" s="2">
        <v>41984</v>
      </c>
      <c r="B639" s="9">
        <f>MONTH(Table1[[#This Row],[Order Date]])</f>
        <v>12</v>
      </c>
      <c r="C639" s="9">
        <f>YEAR(Table1[[#This Row],[Order Date]])</f>
        <v>2014</v>
      </c>
      <c r="D639" t="s">
        <v>1293</v>
      </c>
      <c r="E639" t="s">
        <v>27</v>
      </c>
      <c r="F639" t="s">
        <v>34</v>
      </c>
      <c r="G639" t="s">
        <v>140</v>
      </c>
      <c r="H639" t="s">
        <v>1577</v>
      </c>
      <c r="I639" s="7">
        <v>629.05999999999995</v>
      </c>
      <c r="J639" s="8">
        <v>3</v>
      </c>
      <c r="K639" s="7">
        <v>31.45</v>
      </c>
    </row>
    <row r="640" spans="1:11" x14ac:dyDescent="0.3">
      <c r="A640" s="2">
        <v>41984</v>
      </c>
      <c r="B640" s="9">
        <f>MONTH(Table1[[#This Row],[Order Date]])</f>
        <v>12</v>
      </c>
      <c r="C640" s="9">
        <f>YEAR(Table1[[#This Row],[Order Date]])</f>
        <v>2014</v>
      </c>
      <c r="D640" t="s">
        <v>1578</v>
      </c>
      <c r="E640" t="s">
        <v>10</v>
      </c>
      <c r="F640" t="s">
        <v>11</v>
      </c>
      <c r="G640" t="s">
        <v>24</v>
      </c>
      <c r="H640" t="s">
        <v>332</v>
      </c>
      <c r="I640" s="7">
        <v>2.67</v>
      </c>
      <c r="J640" s="8">
        <v>1</v>
      </c>
      <c r="K640" s="7">
        <v>0.33</v>
      </c>
    </row>
    <row r="641" spans="1:11" x14ac:dyDescent="0.3">
      <c r="A641" s="2">
        <v>41984</v>
      </c>
      <c r="B641" s="9">
        <f>MONTH(Table1[[#This Row],[Order Date]])</f>
        <v>12</v>
      </c>
      <c r="C641" s="9">
        <f>YEAR(Table1[[#This Row],[Order Date]])</f>
        <v>2014</v>
      </c>
      <c r="D641" t="s">
        <v>1578</v>
      </c>
      <c r="E641" t="s">
        <v>10</v>
      </c>
      <c r="F641" t="s">
        <v>39</v>
      </c>
      <c r="G641" t="s">
        <v>52</v>
      </c>
      <c r="H641" t="s">
        <v>1579</v>
      </c>
      <c r="I641" s="7">
        <v>79.510000000000005</v>
      </c>
      <c r="J641" s="8">
        <v>3</v>
      </c>
      <c r="K641" s="7">
        <v>20.87</v>
      </c>
    </row>
    <row r="642" spans="1:11" x14ac:dyDescent="0.3">
      <c r="A642" s="2">
        <v>41984</v>
      </c>
      <c r="B642" s="9">
        <f>MONTH(Table1[[#This Row],[Order Date]])</f>
        <v>12</v>
      </c>
      <c r="C642" s="9">
        <f>YEAR(Table1[[#This Row],[Order Date]])</f>
        <v>2014</v>
      </c>
      <c r="D642" t="s">
        <v>9</v>
      </c>
      <c r="E642" t="s">
        <v>10</v>
      </c>
      <c r="F642" t="s">
        <v>34</v>
      </c>
      <c r="G642" t="s">
        <v>47</v>
      </c>
      <c r="H642" t="s">
        <v>129</v>
      </c>
      <c r="I642" s="7">
        <v>25.13</v>
      </c>
      <c r="J642" s="8">
        <v>3</v>
      </c>
      <c r="K642" s="7">
        <v>-6.91</v>
      </c>
    </row>
    <row r="643" spans="1:11" x14ac:dyDescent="0.3">
      <c r="A643" s="2">
        <v>41984</v>
      </c>
      <c r="B643" s="9">
        <f>MONTH(Table1[[#This Row],[Order Date]])</f>
        <v>12</v>
      </c>
      <c r="C643" s="9">
        <f>YEAR(Table1[[#This Row],[Order Date]])</f>
        <v>2014</v>
      </c>
      <c r="D643" t="s">
        <v>9</v>
      </c>
      <c r="E643" t="s">
        <v>10</v>
      </c>
      <c r="F643" t="s">
        <v>39</v>
      </c>
      <c r="G643" t="s">
        <v>52</v>
      </c>
      <c r="H643" t="s">
        <v>975</v>
      </c>
      <c r="I643" s="7">
        <v>127.98</v>
      </c>
      <c r="J643" s="8">
        <v>2</v>
      </c>
      <c r="K643" s="7">
        <v>25.6</v>
      </c>
    </row>
    <row r="644" spans="1:11" x14ac:dyDescent="0.3">
      <c r="A644" s="2">
        <v>41985</v>
      </c>
      <c r="B644" s="9">
        <f>MONTH(Table1[[#This Row],[Order Date]])</f>
        <v>12</v>
      </c>
      <c r="C644" s="9">
        <f>YEAR(Table1[[#This Row],[Order Date]])</f>
        <v>2014</v>
      </c>
      <c r="D644" t="s">
        <v>1183</v>
      </c>
      <c r="E644" t="s">
        <v>27</v>
      </c>
      <c r="F644" t="s">
        <v>34</v>
      </c>
      <c r="G644" t="s">
        <v>140</v>
      </c>
      <c r="H644" t="s">
        <v>1728</v>
      </c>
      <c r="I644" s="7">
        <v>764.69</v>
      </c>
      <c r="J644" s="8">
        <v>6</v>
      </c>
      <c r="K644" s="7">
        <v>95.59</v>
      </c>
    </row>
    <row r="645" spans="1:11" x14ac:dyDescent="0.3">
      <c r="A645" s="2">
        <v>41985</v>
      </c>
      <c r="B645" s="9">
        <f>MONTH(Table1[[#This Row],[Order Date]])</f>
        <v>12</v>
      </c>
      <c r="C645" s="9">
        <f>YEAR(Table1[[#This Row],[Order Date]])</f>
        <v>2014</v>
      </c>
      <c r="D645" t="s">
        <v>1183</v>
      </c>
      <c r="E645" t="s">
        <v>27</v>
      </c>
      <c r="F645" t="s">
        <v>34</v>
      </c>
      <c r="G645" t="s">
        <v>140</v>
      </c>
      <c r="H645" t="s">
        <v>313</v>
      </c>
      <c r="I645" s="7">
        <v>3610.85</v>
      </c>
      <c r="J645" s="8">
        <v>12</v>
      </c>
      <c r="K645" s="7">
        <v>135.41</v>
      </c>
    </row>
    <row r="646" spans="1:11" x14ac:dyDescent="0.3">
      <c r="A646" s="2">
        <v>41985</v>
      </c>
      <c r="B646" s="9">
        <f>MONTH(Table1[[#This Row],[Order Date]])</f>
        <v>12</v>
      </c>
      <c r="C646" s="9">
        <f>YEAR(Table1[[#This Row],[Order Date]])</f>
        <v>2014</v>
      </c>
      <c r="D646" t="s">
        <v>1527</v>
      </c>
      <c r="E646" t="s">
        <v>27</v>
      </c>
      <c r="F646" t="s">
        <v>34</v>
      </c>
      <c r="G646" t="s">
        <v>47</v>
      </c>
      <c r="H646" t="s">
        <v>1729</v>
      </c>
      <c r="I646" s="7">
        <v>43.31</v>
      </c>
      <c r="J646" s="8">
        <v>1</v>
      </c>
      <c r="K646" s="7">
        <v>4.33</v>
      </c>
    </row>
    <row r="647" spans="1:11" x14ac:dyDescent="0.3">
      <c r="A647" s="2">
        <v>41985</v>
      </c>
      <c r="B647" s="9">
        <f>MONTH(Table1[[#This Row],[Order Date]])</f>
        <v>12</v>
      </c>
      <c r="C647" s="9">
        <f>YEAR(Table1[[#This Row],[Order Date]])</f>
        <v>2014</v>
      </c>
      <c r="D647" t="s">
        <v>1730</v>
      </c>
      <c r="E647" t="s">
        <v>10</v>
      </c>
      <c r="F647" t="s">
        <v>11</v>
      </c>
      <c r="G647" t="s">
        <v>20</v>
      </c>
      <c r="H647" t="s">
        <v>1731</v>
      </c>
      <c r="I647" s="7">
        <v>210.39</v>
      </c>
      <c r="J647" s="8">
        <v>2</v>
      </c>
      <c r="K647" s="7">
        <v>-336.63</v>
      </c>
    </row>
    <row r="648" spans="1:11" x14ac:dyDescent="0.3">
      <c r="A648" s="2">
        <v>41985</v>
      </c>
      <c r="B648" s="9">
        <f>MONTH(Table1[[#This Row],[Order Date]])</f>
        <v>12</v>
      </c>
      <c r="C648" s="9">
        <f>YEAR(Table1[[#This Row],[Order Date]])</f>
        <v>2014</v>
      </c>
      <c r="D648" t="s">
        <v>1732</v>
      </c>
      <c r="E648" t="s">
        <v>27</v>
      </c>
      <c r="F648" t="s">
        <v>34</v>
      </c>
      <c r="G648" t="s">
        <v>47</v>
      </c>
      <c r="H648" t="s">
        <v>1733</v>
      </c>
      <c r="I648" s="7">
        <v>12.54</v>
      </c>
      <c r="J648" s="8">
        <v>3</v>
      </c>
      <c r="K648" s="7">
        <v>4.51</v>
      </c>
    </row>
    <row r="649" spans="1:11" x14ac:dyDescent="0.3">
      <c r="A649" s="2">
        <v>41985</v>
      </c>
      <c r="B649" s="9">
        <f>MONTH(Table1[[#This Row],[Order Date]])</f>
        <v>12</v>
      </c>
      <c r="C649" s="9">
        <f>YEAR(Table1[[#This Row],[Order Date]])</f>
        <v>2014</v>
      </c>
      <c r="D649" t="s">
        <v>1732</v>
      </c>
      <c r="E649" t="s">
        <v>27</v>
      </c>
      <c r="F649" t="s">
        <v>11</v>
      </c>
      <c r="G649" t="s">
        <v>18</v>
      </c>
      <c r="H649" t="s">
        <v>1734</v>
      </c>
      <c r="I649" s="7">
        <v>8.94</v>
      </c>
      <c r="J649" s="8">
        <v>3</v>
      </c>
      <c r="K649" s="7">
        <v>0.63</v>
      </c>
    </row>
    <row r="650" spans="1:11" x14ac:dyDescent="0.3">
      <c r="A650" s="2">
        <v>41985</v>
      </c>
      <c r="B650" s="9">
        <f>MONTH(Table1[[#This Row],[Order Date]])</f>
        <v>12</v>
      </c>
      <c r="C650" s="9">
        <f>YEAR(Table1[[#This Row],[Order Date]])</f>
        <v>2014</v>
      </c>
      <c r="D650" t="s">
        <v>1732</v>
      </c>
      <c r="E650" t="s">
        <v>27</v>
      </c>
      <c r="F650" t="s">
        <v>34</v>
      </c>
      <c r="G650" t="s">
        <v>47</v>
      </c>
      <c r="H650" t="s">
        <v>1371</v>
      </c>
      <c r="I650" s="7">
        <v>9.24</v>
      </c>
      <c r="J650" s="8">
        <v>3</v>
      </c>
      <c r="K650" s="7">
        <v>4.4400000000000004</v>
      </c>
    </row>
    <row r="651" spans="1:11" x14ac:dyDescent="0.3">
      <c r="A651" s="2">
        <v>42007</v>
      </c>
      <c r="B651" s="9">
        <f>MONTH(Table1[[#This Row],[Order Date]])</f>
        <v>1</v>
      </c>
      <c r="C651" s="9">
        <f>YEAR(Table1[[#This Row],[Order Date]])</f>
        <v>2015</v>
      </c>
      <c r="D651" t="s">
        <v>189</v>
      </c>
      <c r="E651" t="s">
        <v>30</v>
      </c>
      <c r="F651" t="s">
        <v>11</v>
      </c>
      <c r="G651" t="s">
        <v>20</v>
      </c>
      <c r="H651" t="s">
        <v>1882</v>
      </c>
      <c r="I651" s="7">
        <v>58.72</v>
      </c>
      <c r="J651" s="8">
        <v>4</v>
      </c>
      <c r="K651" s="7">
        <v>27.01</v>
      </c>
    </row>
    <row r="652" spans="1:11" x14ac:dyDescent="0.3">
      <c r="A652" s="2">
        <v>42007</v>
      </c>
      <c r="B652" s="9">
        <f>MONTH(Table1[[#This Row],[Order Date]])</f>
        <v>1</v>
      </c>
      <c r="C652" s="9">
        <f>YEAR(Table1[[#This Row],[Order Date]])</f>
        <v>2015</v>
      </c>
      <c r="D652" t="s">
        <v>1626</v>
      </c>
      <c r="E652" t="s">
        <v>27</v>
      </c>
      <c r="F652" t="s">
        <v>34</v>
      </c>
      <c r="G652" t="s">
        <v>35</v>
      </c>
      <c r="H652" t="s">
        <v>685</v>
      </c>
      <c r="I652" s="7">
        <v>184.75</v>
      </c>
      <c r="J652" s="8">
        <v>3</v>
      </c>
      <c r="K652" s="7">
        <v>-20.78</v>
      </c>
    </row>
    <row r="653" spans="1:11" x14ac:dyDescent="0.3">
      <c r="A653" s="2">
        <v>42007</v>
      </c>
      <c r="B653" s="9">
        <f>MONTH(Table1[[#This Row],[Order Date]])</f>
        <v>1</v>
      </c>
      <c r="C653" s="9">
        <f>YEAR(Table1[[#This Row],[Order Date]])</f>
        <v>2015</v>
      </c>
      <c r="D653" t="s">
        <v>697</v>
      </c>
      <c r="E653" t="s">
        <v>23</v>
      </c>
      <c r="F653" t="s">
        <v>11</v>
      </c>
      <c r="G653" t="s">
        <v>92</v>
      </c>
      <c r="H653" t="s">
        <v>1883</v>
      </c>
      <c r="I653" s="7">
        <v>3.55</v>
      </c>
      <c r="J653" s="8">
        <v>2</v>
      </c>
      <c r="K653" s="7">
        <v>0.44</v>
      </c>
    </row>
    <row r="654" spans="1:11" x14ac:dyDescent="0.3">
      <c r="A654" s="2">
        <v>42007</v>
      </c>
      <c r="B654" s="9">
        <f>MONTH(Table1[[#This Row],[Order Date]])</f>
        <v>1</v>
      </c>
      <c r="C654" s="9">
        <f>YEAR(Table1[[#This Row],[Order Date]])</f>
        <v>2015</v>
      </c>
      <c r="D654" t="s">
        <v>262</v>
      </c>
      <c r="E654" t="s">
        <v>10</v>
      </c>
      <c r="F654" t="s">
        <v>11</v>
      </c>
      <c r="G654" t="s">
        <v>24</v>
      </c>
      <c r="H654" t="s">
        <v>1884</v>
      </c>
      <c r="I654" s="7">
        <v>55.33</v>
      </c>
      <c r="J654" s="8">
        <v>2</v>
      </c>
      <c r="K654" s="7">
        <v>6.22</v>
      </c>
    </row>
    <row r="655" spans="1:11" x14ac:dyDescent="0.3">
      <c r="A655" s="2">
        <v>42007</v>
      </c>
      <c r="B655" s="9">
        <f>MONTH(Table1[[#This Row],[Order Date]])</f>
        <v>1</v>
      </c>
      <c r="C655" s="9">
        <f>YEAR(Table1[[#This Row],[Order Date]])</f>
        <v>2015</v>
      </c>
      <c r="D655" t="s">
        <v>262</v>
      </c>
      <c r="E655" t="s">
        <v>10</v>
      </c>
      <c r="F655" t="s">
        <v>34</v>
      </c>
      <c r="G655" t="s">
        <v>74</v>
      </c>
      <c r="H655" t="s">
        <v>1885</v>
      </c>
      <c r="I655" s="7">
        <v>1228</v>
      </c>
      <c r="J655" s="8">
        <v>6</v>
      </c>
      <c r="K655" s="7">
        <v>-36.119999999999997</v>
      </c>
    </row>
    <row r="656" spans="1:11" x14ac:dyDescent="0.3">
      <c r="A656" s="2">
        <v>42007</v>
      </c>
      <c r="B656" s="9">
        <f>MONTH(Table1[[#This Row],[Order Date]])</f>
        <v>1</v>
      </c>
      <c r="C656" s="9">
        <f>YEAR(Table1[[#This Row],[Order Date]])</f>
        <v>2015</v>
      </c>
      <c r="D656" t="s">
        <v>1886</v>
      </c>
      <c r="E656" t="s">
        <v>10</v>
      </c>
      <c r="F656" t="s">
        <v>39</v>
      </c>
      <c r="G656" t="s">
        <v>40</v>
      </c>
      <c r="H656" t="s">
        <v>1887</v>
      </c>
      <c r="I656" s="7">
        <v>95.84</v>
      </c>
      <c r="J656" s="8">
        <v>4</v>
      </c>
      <c r="K656" s="7">
        <v>34.74</v>
      </c>
    </row>
    <row r="657" spans="1:11" x14ac:dyDescent="0.3">
      <c r="A657" s="2">
        <v>42009</v>
      </c>
      <c r="B657" s="9">
        <f>MONTH(Table1[[#This Row],[Order Date]])</f>
        <v>1</v>
      </c>
      <c r="C657" s="9">
        <f>YEAR(Table1[[#This Row],[Order Date]])</f>
        <v>2015</v>
      </c>
      <c r="D657" t="s">
        <v>1269</v>
      </c>
      <c r="E657" t="s">
        <v>27</v>
      </c>
      <c r="F657" t="s">
        <v>39</v>
      </c>
      <c r="G657" t="s">
        <v>40</v>
      </c>
      <c r="H657" t="s">
        <v>2006</v>
      </c>
      <c r="I657" s="7">
        <v>88.75</v>
      </c>
      <c r="J657" s="8">
        <v>3</v>
      </c>
      <c r="K657" s="7">
        <v>11.09</v>
      </c>
    </row>
    <row r="658" spans="1:11" x14ac:dyDescent="0.3">
      <c r="A658" s="2">
        <v>42009</v>
      </c>
      <c r="B658" s="9">
        <f>MONTH(Table1[[#This Row],[Order Date]])</f>
        <v>1</v>
      </c>
      <c r="C658" s="9">
        <f>YEAR(Table1[[#This Row],[Order Date]])</f>
        <v>2015</v>
      </c>
      <c r="D658" t="s">
        <v>2007</v>
      </c>
      <c r="E658" t="s">
        <v>120</v>
      </c>
      <c r="F658" t="s">
        <v>11</v>
      </c>
      <c r="G658" t="s">
        <v>194</v>
      </c>
      <c r="H658" t="s">
        <v>2008</v>
      </c>
      <c r="I658" s="7">
        <v>41.38</v>
      </c>
      <c r="J658" s="8">
        <v>3</v>
      </c>
      <c r="K658" s="7">
        <v>4.6500000000000004</v>
      </c>
    </row>
    <row r="659" spans="1:11" x14ac:dyDescent="0.3">
      <c r="A659" s="2">
        <v>42009</v>
      </c>
      <c r="B659" s="9">
        <f>MONTH(Table1[[#This Row],[Order Date]])</f>
        <v>1</v>
      </c>
      <c r="C659" s="9">
        <f>YEAR(Table1[[#This Row],[Order Date]])</f>
        <v>2015</v>
      </c>
      <c r="D659" t="s">
        <v>2007</v>
      </c>
      <c r="E659" t="s">
        <v>120</v>
      </c>
      <c r="F659" t="s">
        <v>11</v>
      </c>
      <c r="G659" t="s">
        <v>24</v>
      </c>
      <c r="H659" t="s">
        <v>2009</v>
      </c>
      <c r="I659" s="7">
        <v>172.7</v>
      </c>
      <c r="J659" s="8">
        <v>6</v>
      </c>
      <c r="K659" s="7">
        <v>10.79</v>
      </c>
    </row>
    <row r="660" spans="1:11" x14ac:dyDescent="0.3">
      <c r="A660" s="2">
        <v>42009</v>
      </c>
      <c r="B660" s="9">
        <f>MONTH(Table1[[#This Row],[Order Date]])</f>
        <v>1</v>
      </c>
      <c r="C660" s="9">
        <f>YEAR(Table1[[#This Row],[Order Date]])</f>
        <v>2015</v>
      </c>
      <c r="D660" t="s">
        <v>1510</v>
      </c>
      <c r="E660" t="s">
        <v>27</v>
      </c>
      <c r="F660" t="s">
        <v>11</v>
      </c>
      <c r="G660" t="s">
        <v>20</v>
      </c>
      <c r="H660" t="s">
        <v>323</v>
      </c>
      <c r="I660" s="7">
        <v>12.18</v>
      </c>
      <c r="J660" s="8">
        <v>1</v>
      </c>
      <c r="K660" s="7">
        <v>4.41</v>
      </c>
    </row>
    <row r="661" spans="1:11" x14ac:dyDescent="0.3">
      <c r="A661" s="2">
        <v>42009</v>
      </c>
      <c r="B661" s="9">
        <f>MONTH(Table1[[#This Row],[Order Date]])</f>
        <v>1</v>
      </c>
      <c r="C661" s="9">
        <f>YEAR(Table1[[#This Row],[Order Date]])</f>
        <v>2015</v>
      </c>
      <c r="D661" t="s">
        <v>1510</v>
      </c>
      <c r="E661" t="s">
        <v>27</v>
      </c>
      <c r="F661" t="s">
        <v>11</v>
      </c>
      <c r="G661" t="s">
        <v>194</v>
      </c>
      <c r="H661" t="s">
        <v>2010</v>
      </c>
      <c r="I661" s="7">
        <v>35.06</v>
      </c>
      <c r="J661" s="8">
        <v>2</v>
      </c>
      <c r="K661" s="7">
        <v>10.52</v>
      </c>
    </row>
    <row r="662" spans="1:11" x14ac:dyDescent="0.3">
      <c r="A662" s="2">
        <v>42010</v>
      </c>
      <c r="B662" s="9">
        <f>MONTH(Table1[[#This Row],[Order Date]])</f>
        <v>1</v>
      </c>
      <c r="C662" s="9">
        <f>YEAR(Table1[[#This Row],[Order Date]])</f>
        <v>2015</v>
      </c>
      <c r="D662" t="s">
        <v>433</v>
      </c>
      <c r="E662" t="s">
        <v>10</v>
      </c>
      <c r="F662" t="s">
        <v>11</v>
      </c>
      <c r="G662" t="s">
        <v>20</v>
      </c>
      <c r="H662" t="s">
        <v>1275</v>
      </c>
      <c r="I662" s="7">
        <v>5.73</v>
      </c>
      <c r="J662" s="8">
        <v>8</v>
      </c>
      <c r="K662" s="7">
        <v>-9.16</v>
      </c>
    </row>
    <row r="663" spans="1:11" x14ac:dyDescent="0.3">
      <c r="A663" s="2">
        <v>42010</v>
      </c>
      <c r="B663" s="9">
        <f>MONTH(Table1[[#This Row],[Order Date]])</f>
        <v>1</v>
      </c>
      <c r="C663" s="9">
        <f>YEAR(Table1[[#This Row],[Order Date]])</f>
        <v>2015</v>
      </c>
      <c r="D663" t="s">
        <v>433</v>
      </c>
      <c r="E663" t="s">
        <v>10</v>
      </c>
      <c r="F663" t="s">
        <v>11</v>
      </c>
      <c r="G663" t="s">
        <v>12</v>
      </c>
      <c r="H663" t="s">
        <v>2052</v>
      </c>
      <c r="I663" s="7">
        <v>42.24</v>
      </c>
      <c r="J663" s="8">
        <v>10</v>
      </c>
      <c r="K663" s="7">
        <v>13.2</v>
      </c>
    </row>
    <row r="664" spans="1:11" x14ac:dyDescent="0.3">
      <c r="A664" s="2">
        <v>42010</v>
      </c>
      <c r="B664" s="9">
        <f>MONTH(Table1[[#This Row],[Order Date]])</f>
        <v>1</v>
      </c>
      <c r="C664" s="9">
        <f>YEAR(Table1[[#This Row],[Order Date]])</f>
        <v>2015</v>
      </c>
      <c r="D664" t="s">
        <v>236</v>
      </c>
      <c r="E664" t="s">
        <v>108</v>
      </c>
      <c r="F664" t="s">
        <v>39</v>
      </c>
      <c r="G664" t="s">
        <v>40</v>
      </c>
      <c r="H664" t="s">
        <v>2004</v>
      </c>
      <c r="I664" s="7">
        <v>41.9</v>
      </c>
      <c r="J664" s="8">
        <v>2</v>
      </c>
      <c r="K664" s="7">
        <v>11.73</v>
      </c>
    </row>
    <row r="665" spans="1:11" x14ac:dyDescent="0.3">
      <c r="A665" s="2">
        <v>42010</v>
      </c>
      <c r="B665" s="9">
        <f>MONTH(Table1[[#This Row],[Order Date]])</f>
        <v>1</v>
      </c>
      <c r="C665" s="9">
        <f>YEAR(Table1[[#This Row],[Order Date]])</f>
        <v>2015</v>
      </c>
      <c r="D665" t="s">
        <v>236</v>
      </c>
      <c r="E665" t="s">
        <v>108</v>
      </c>
      <c r="F665" t="s">
        <v>11</v>
      </c>
      <c r="G665" t="s">
        <v>16</v>
      </c>
      <c r="H665" t="s">
        <v>2053</v>
      </c>
      <c r="I665" s="7">
        <v>28.91</v>
      </c>
      <c r="J665" s="8">
        <v>7</v>
      </c>
      <c r="K665" s="7">
        <v>13.3</v>
      </c>
    </row>
    <row r="666" spans="1:11" x14ac:dyDescent="0.3">
      <c r="A666" s="2">
        <v>42013</v>
      </c>
      <c r="B666" s="9">
        <f>MONTH(Table1[[#This Row],[Order Date]])</f>
        <v>1</v>
      </c>
      <c r="C666" s="9">
        <f>YEAR(Table1[[#This Row],[Order Date]])</f>
        <v>2015</v>
      </c>
      <c r="D666" t="s">
        <v>389</v>
      </c>
      <c r="E666" t="s">
        <v>422</v>
      </c>
      <c r="F666" t="s">
        <v>11</v>
      </c>
      <c r="G666" t="s">
        <v>20</v>
      </c>
      <c r="H666" t="s">
        <v>2172</v>
      </c>
      <c r="I666" s="7">
        <v>114.6</v>
      </c>
      <c r="J666" s="8">
        <v>5</v>
      </c>
      <c r="K666" s="7">
        <v>51.57</v>
      </c>
    </row>
    <row r="667" spans="1:11" x14ac:dyDescent="0.3">
      <c r="A667" s="2">
        <v>42013</v>
      </c>
      <c r="B667" s="9">
        <f>MONTH(Table1[[#This Row],[Order Date]])</f>
        <v>1</v>
      </c>
      <c r="C667" s="9">
        <f>YEAR(Table1[[#This Row],[Order Date]])</f>
        <v>2015</v>
      </c>
      <c r="D667" t="s">
        <v>389</v>
      </c>
      <c r="E667" t="s">
        <v>422</v>
      </c>
      <c r="F667" t="s">
        <v>34</v>
      </c>
      <c r="G667" t="s">
        <v>47</v>
      </c>
      <c r="H667" t="s">
        <v>665</v>
      </c>
      <c r="I667" s="7">
        <v>124.36</v>
      </c>
      <c r="J667" s="8">
        <v>2</v>
      </c>
      <c r="K667" s="7">
        <v>27.36</v>
      </c>
    </row>
    <row r="668" spans="1:11" x14ac:dyDescent="0.3">
      <c r="A668" s="2">
        <v>42014</v>
      </c>
      <c r="B668" s="9">
        <f>MONTH(Table1[[#This Row],[Order Date]])</f>
        <v>1</v>
      </c>
      <c r="C668" s="9">
        <f>YEAR(Table1[[#This Row],[Order Date]])</f>
        <v>2015</v>
      </c>
      <c r="D668" t="s">
        <v>1582</v>
      </c>
      <c r="E668" t="s">
        <v>422</v>
      </c>
      <c r="F668" t="s">
        <v>39</v>
      </c>
      <c r="G668" t="s">
        <v>40</v>
      </c>
      <c r="H668" t="s">
        <v>2062</v>
      </c>
      <c r="I668" s="7">
        <v>311.98</v>
      </c>
      <c r="J668" s="8">
        <v>2</v>
      </c>
      <c r="K668" s="7">
        <v>93.59</v>
      </c>
    </row>
    <row r="669" spans="1:11" x14ac:dyDescent="0.3">
      <c r="A669" s="2">
        <v>42014</v>
      </c>
      <c r="B669" s="9">
        <f>MONTH(Table1[[#This Row],[Order Date]])</f>
        <v>1</v>
      </c>
      <c r="C669" s="9">
        <f>YEAR(Table1[[#This Row],[Order Date]])</f>
        <v>2015</v>
      </c>
      <c r="D669" t="s">
        <v>2230</v>
      </c>
      <c r="E669" t="s">
        <v>15</v>
      </c>
      <c r="F669" t="s">
        <v>11</v>
      </c>
      <c r="G669" t="s">
        <v>20</v>
      </c>
      <c r="H669" t="s">
        <v>1458</v>
      </c>
      <c r="I669" s="7">
        <v>2.99</v>
      </c>
      <c r="J669" s="8">
        <v>4</v>
      </c>
      <c r="K669" s="7">
        <v>-4.49</v>
      </c>
    </row>
    <row r="670" spans="1:11" x14ac:dyDescent="0.3">
      <c r="A670" s="2">
        <v>42014</v>
      </c>
      <c r="B670" s="9">
        <f>MONTH(Table1[[#This Row],[Order Date]])</f>
        <v>1</v>
      </c>
      <c r="C670" s="9">
        <f>YEAR(Table1[[#This Row],[Order Date]])</f>
        <v>2015</v>
      </c>
      <c r="D670" t="s">
        <v>2230</v>
      </c>
      <c r="E670" t="s">
        <v>15</v>
      </c>
      <c r="F670" t="s">
        <v>39</v>
      </c>
      <c r="G670" t="s">
        <v>52</v>
      </c>
      <c r="H670" t="s">
        <v>2066</v>
      </c>
      <c r="I670" s="7">
        <v>108.77</v>
      </c>
      <c r="J670" s="8">
        <v>4</v>
      </c>
      <c r="K670" s="7">
        <v>2.72</v>
      </c>
    </row>
    <row r="671" spans="1:11" x14ac:dyDescent="0.3">
      <c r="A671" s="2">
        <v>42015</v>
      </c>
      <c r="B671" s="9">
        <f>MONTH(Table1[[#This Row],[Order Date]])</f>
        <v>1</v>
      </c>
      <c r="C671" s="9">
        <f>YEAR(Table1[[#This Row],[Order Date]])</f>
        <v>2015</v>
      </c>
      <c r="D671" t="s">
        <v>478</v>
      </c>
      <c r="E671" t="s">
        <v>23</v>
      </c>
      <c r="F671" t="s">
        <v>39</v>
      </c>
      <c r="G671" t="s">
        <v>52</v>
      </c>
      <c r="H671" t="s">
        <v>379</v>
      </c>
      <c r="I671" s="7">
        <v>35.36</v>
      </c>
      <c r="J671" s="8">
        <v>2</v>
      </c>
      <c r="K671" s="7">
        <v>-3.09</v>
      </c>
    </row>
    <row r="672" spans="1:11" x14ac:dyDescent="0.3">
      <c r="A672" s="2">
        <v>42015</v>
      </c>
      <c r="B672" s="9">
        <f>MONTH(Table1[[#This Row],[Order Date]])</f>
        <v>1</v>
      </c>
      <c r="C672" s="9">
        <f>YEAR(Table1[[#This Row],[Order Date]])</f>
        <v>2015</v>
      </c>
      <c r="D672" t="s">
        <v>478</v>
      </c>
      <c r="E672" t="s">
        <v>23</v>
      </c>
      <c r="F672" t="s">
        <v>11</v>
      </c>
      <c r="G672" t="s">
        <v>43</v>
      </c>
      <c r="H672" t="s">
        <v>2263</v>
      </c>
      <c r="I672" s="7">
        <v>3.17</v>
      </c>
      <c r="J672" s="8">
        <v>2</v>
      </c>
      <c r="K672" s="7">
        <v>-0.71</v>
      </c>
    </row>
    <row r="673" spans="1:11" x14ac:dyDescent="0.3">
      <c r="A673" s="2">
        <v>42015</v>
      </c>
      <c r="B673" s="9">
        <f>MONTH(Table1[[#This Row],[Order Date]])</f>
        <v>1</v>
      </c>
      <c r="C673" s="9">
        <f>YEAR(Table1[[#This Row],[Order Date]])</f>
        <v>2015</v>
      </c>
      <c r="D673" t="s">
        <v>327</v>
      </c>
      <c r="E673" t="s">
        <v>144</v>
      </c>
      <c r="F673" t="s">
        <v>39</v>
      </c>
      <c r="G673" t="s">
        <v>40</v>
      </c>
      <c r="H673" t="s">
        <v>1953</v>
      </c>
      <c r="I673" s="7">
        <v>4.95</v>
      </c>
      <c r="J673" s="8">
        <v>1</v>
      </c>
      <c r="K673" s="7">
        <v>1.34</v>
      </c>
    </row>
    <row r="674" spans="1:11" x14ac:dyDescent="0.3">
      <c r="A674" s="2">
        <v>42015</v>
      </c>
      <c r="B674" s="9">
        <f>MONTH(Table1[[#This Row],[Order Date]])</f>
        <v>1</v>
      </c>
      <c r="C674" s="9">
        <f>YEAR(Table1[[#This Row],[Order Date]])</f>
        <v>2015</v>
      </c>
      <c r="D674" t="s">
        <v>1031</v>
      </c>
      <c r="E674" t="s">
        <v>144</v>
      </c>
      <c r="F674" t="s">
        <v>11</v>
      </c>
      <c r="G674" t="s">
        <v>12</v>
      </c>
      <c r="H674" t="s">
        <v>1151</v>
      </c>
      <c r="I674" s="7">
        <v>13.52</v>
      </c>
      <c r="J674" s="8">
        <v>4</v>
      </c>
      <c r="K674" s="7">
        <v>6.22</v>
      </c>
    </row>
    <row r="675" spans="1:11" x14ac:dyDescent="0.3">
      <c r="A675" s="2">
        <v>42015</v>
      </c>
      <c r="B675" s="9">
        <f>MONTH(Table1[[#This Row],[Order Date]])</f>
        <v>1</v>
      </c>
      <c r="C675" s="9">
        <f>YEAR(Table1[[#This Row],[Order Date]])</f>
        <v>2015</v>
      </c>
      <c r="D675" t="s">
        <v>1031</v>
      </c>
      <c r="E675" t="s">
        <v>144</v>
      </c>
      <c r="F675" t="s">
        <v>39</v>
      </c>
      <c r="G675" t="s">
        <v>40</v>
      </c>
      <c r="H675" t="s">
        <v>1907</v>
      </c>
      <c r="I675" s="7">
        <v>42.95</v>
      </c>
      <c r="J675" s="8">
        <v>1</v>
      </c>
      <c r="K675" s="7">
        <v>1.29</v>
      </c>
    </row>
    <row r="676" spans="1:11" x14ac:dyDescent="0.3">
      <c r="A676" s="2">
        <v>42015</v>
      </c>
      <c r="B676" s="9">
        <f>MONTH(Table1[[#This Row],[Order Date]])</f>
        <v>1</v>
      </c>
      <c r="C676" s="9">
        <f>YEAR(Table1[[#This Row],[Order Date]])</f>
        <v>2015</v>
      </c>
      <c r="D676" t="s">
        <v>1031</v>
      </c>
      <c r="E676" t="s">
        <v>144</v>
      </c>
      <c r="F676" t="s">
        <v>39</v>
      </c>
      <c r="G676" t="s">
        <v>52</v>
      </c>
      <c r="H676" t="s">
        <v>2080</v>
      </c>
      <c r="I676" s="7">
        <v>1399.93</v>
      </c>
      <c r="J676" s="8">
        <v>7</v>
      </c>
      <c r="K676" s="7">
        <v>601.97</v>
      </c>
    </row>
    <row r="677" spans="1:11" x14ac:dyDescent="0.3">
      <c r="A677" s="2">
        <v>42015</v>
      </c>
      <c r="B677" s="9">
        <f>MONTH(Table1[[#This Row],[Order Date]])</f>
        <v>1</v>
      </c>
      <c r="C677" s="9">
        <f>YEAR(Table1[[#This Row],[Order Date]])</f>
        <v>2015</v>
      </c>
      <c r="D677" t="s">
        <v>178</v>
      </c>
      <c r="E677" t="s">
        <v>91</v>
      </c>
      <c r="F677" t="s">
        <v>11</v>
      </c>
      <c r="G677" t="s">
        <v>24</v>
      </c>
      <c r="H677" t="s">
        <v>1495</v>
      </c>
      <c r="I677" s="7">
        <v>7.88</v>
      </c>
      <c r="J677" s="8">
        <v>1</v>
      </c>
      <c r="K677" s="7">
        <v>1.77</v>
      </c>
    </row>
    <row r="678" spans="1:11" x14ac:dyDescent="0.3">
      <c r="A678" s="2">
        <v>42015</v>
      </c>
      <c r="B678" s="9">
        <f>MONTH(Table1[[#This Row],[Order Date]])</f>
        <v>1</v>
      </c>
      <c r="C678" s="9">
        <f>YEAR(Table1[[#This Row],[Order Date]])</f>
        <v>2015</v>
      </c>
      <c r="D678" t="s">
        <v>1526</v>
      </c>
      <c r="E678" t="s">
        <v>100</v>
      </c>
      <c r="F678" t="s">
        <v>34</v>
      </c>
      <c r="G678" t="s">
        <v>140</v>
      </c>
      <c r="H678" t="s">
        <v>1972</v>
      </c>
      <c r="I678" s="7">
        <v>301.95999999999998</v>
      </c>
      <c r="J678" s="8">
        <v>2</v>
      </c>
      <c r="K678" s="7">
        <v>45.29</v>
      </c>
    </row>
    <row r="679" spans="1:11" x14ac:dyDescent="0.3">
      <c r="A679" s="2">
        <v>42015</v>
      </c>
      <c r="B679" s="9">
        <f>MONTH(Table1[[#This Row],[Order Date]])</f>
        <v>1</v>
      </c>
      <c r="C679" s="9">
        <f>YEAR(Table1[[#This Row],[Order Date]])</f>
        <v>2015</v>
      </c>
      <c r="D679" t="s">
        <v>2034</v>
      </c>
      <c r="E679" t="s">
        <v>144</v>
      </c>
      <c r="F679" t="s">
        <v>34</v>
      </c>
      <c r="G679" t="s">
        <v>35</v>
      </c>
      <c r="H679" t="s">
        <v>71</v>
      </c>
      <c r="I679" s="7">
        <v>327.56</v>
      </c>
      <c r="J679" s="8">
        <v>4</v>
      </c>
      <c r="K679" s="7">
        <v>21.84</v>
      </c>
    </row>
    <row r="680" spans="1:11" x14ac:dyDescent="0.3">
      <c r="A680" s="2">
        <v>42015</v>
      </c>
      <c r="B680" s="9">
        <f>MONTH(Table1[[#This Row],[Order Date]])</f>
        <v>1</v>
      </c>
      <c r="C680" s="9">
        <f>YEAR(Table1[[#This Row],[Order Date]])</f>
        <v>2015</v>
      </c>
      <c r="D680" t="s">
        <v>1455</v>
      </c>
      <c r="E680" t="s">
        <v>144</v>
      </c>
      <c r="F680" t="s">
        <v>34</v>
      </c>
      <c r="G680" t="s">
        <v>35</v>
      </c>
      <c r="H680" t="s">
        <v>2220</v>
      </c>
      <c r="I680" s="7">
        <v>205.16</v>
      </c>
      <c r="J680" s="8">
        <v>2</v>
      </c>
      <c r="K680" s="7">
        <v>13.68</v>
      </c>
    </row>
    <row r="681" spans="1:11" x14ac:dyDescent="0.3">
      <c r="A681" s="2">
        <v>42016</v>
      </c>
      <c r="B681" s="9">
        <f>MONTH(Table1[[#This Row],[Order Date]])</f>
        <v>1</v>
      </c>
      <c r="C681" s="9">
        <f>YEAR(Table1[[#This Row],[Order Date]])</f>
        <v>2015</v>
      </c>
      <c r="D681" t="s">
        <v>1361</v>
      </c>
      <c r="E681" t="s">
        <v>55</v>
      </c>
      <c r="F681" t="s">
        <v>11</v>
      </c>
      <c r="G681" t="s">
        <v>20</v>
      </c>
      <c r="H681" t="s">
        <v>725</v>
      </c>
      <c r="I681" s="7">
        <v>63.96</v>
      </c>
      <c r="J681" s="8">
        <v>4</v>
      </c>
      <c r="K681" s="7">
        <v>30.7</v>
      </c>
    </row>
    <row r="682" spans="1:11" x14ac:dyDescent="0.3">
      <c r="A682" s="2">
        <v>42016</v>
      </c>
      <c r="B682" s="9">
        <f>MONTH(Table1[[#This Row],[Order Date]])</f>
        <v>1</v>
      </c>
      <c r="C682" s="9">
        <f>YEAR(Table1[[#This Row],[Order Date]])</f>
        <v>2015</v>
      </c>
      <c r="D682" t="s">
        <v>1782</v>
      </c>
      <c r="E682" t="s">
        <v>158</v>
      </c>
      <c r="F682" t="s">
        <v>34</v>
      </c>
      <c r="G682" t="s">
        <v>35</v>
      </c>
      <c r="H682" t="s">
        <v>968</v>
      </c>
      <c r="I682" s="7">
        <v>2003.92</v>
      </c>
      <c r="J682" s="8">
        <v>5</v>
      </c>
      <c r="K682" s="7">
        <v>125.25</v>
      </c>
    </row>
    <row r="683" spans="1:11" x14ac:dyDescent="0.3">
      <c r="A683" s="2">
        <v>42016</v>
      </c>
      <c r="B683" s="9">
        <f>MONTH(Table1[[#This Row],[Order Date]])</f>
        <v>1</v>
      </c>
      <c r="C683" s="9">
        <f>YEAR(Table1[[#This Row],[Order Date]])</f>
        <v>2015</v>
      </c>
      <c r="D683" t="s">
        <v>1782</v>
      </c>
      <c r="E683" t="s">
        <v>158</v>
      </c>
      <c r="F683" t="s">
        <v>11</v>
      </c>
      <c r="G683" t="s">
        <v>12</v>
      </c>
      <c r="H683" t="s">
        <v>2040</v>
      </c>
      <c r="I683" s="7">
        <v>32.4</v>
      </c>
      <c r="J683" s="8">
        <v>5</v>
      </c>
      <c r="K683" s="7">
        <v>15.55</v>
      </c>
    </row>
    <row r="684" spans="1:11" x14ac:dyDescent="0.3">
      <c r="A684" s="2">
        <v>42016</v>
      </c>
      <c r="B684" s="9">
        <f>MONTH(Table1[[#This Row],[Order Date]])</f>
        <v>1</v>
      </c>
      <c r="C684" s="9">
        <f>YEAR(Table1[[#This Row],[Order Date]])</f>
        <v>2015</v>
      </c>
      <c r="D684" t="s">
        <v>1782</v>
      </c>
      <c r="E684" t="s">
        <v>158</v>
      </c>
      <c r="F684" t="s">
        <v>34</v>
      </c>
      <c r="G684" t="s">
        <v>140</v>
      </c>
      <c r="H684" t="s">
        <v>537</v>
      </c>
      <c r="I684" s="7">
        <v>1913.4</v>
      </c>
      <c r="J684" s="8">
        <v>9</v>
      </c>
      <c r="K684" s="7">
        <v>401.81</v>
      </c>
    </row>
    <row r="685" spans="1:11" x14ac:dyDescent="0.3">
      <c r="A685" s="2">
        <v>42016</v>
      </c>
      <c r="B685" s="9">
        <f>MONTH(Table1[[#This Row],[Order Date]])</f>
        <v>1</v>
      </c>
      <c r="C685" s="9">
        <f>YEAR(Table1[[#This Row],[Order Date]])</f>
        <v>2015</v>
      </c>
      <c r="D685" t="s">
        <v>1782</v>
      </c>
      <c r="E685" t="s">
        <v>158</v>
      </c>
      <c r="F685" t="s">
        <v>11</v>
      </c>
      <c r="G685" t="s">
        <v>18</v>
      </c>
      <c r="H685" t="s">
        <v>1826</v>
      </c>
      <c r="I685" s="7">
        <v>146.72999999999999</v>
      </c>
      <c r="J685" s="8">
        <v>3</v>
      </c>
      <c r="K685" s="7">
        <v>2.93</v>
      </c>
    </row>
    <row r="686" spans="1:11" x14ac:dyDescent="0.3">
      <c r="A686" s="2">
        <v>42016</v>
      </c>
      <c r="B686" s="9">
        <f>MONTH(Table1[[#This Row],[Order Date]])</f>
        <v>1</v>
      </c>
      <c r="C686" s="9">
        <f>YEAR(Table1[[#This Row],[Order Date]])</f>
        <v>2015</v>
      </c>
      <c r="D686" t="s">
        <v>1064</v>
      </c>
      <c r="E686" t="s">
        <v>108</v>
      </c>
      <c r="F686" t="s">
        <v>11</v>
      </c>
      <c r="G686" t="s">
        <v>12</v>
      </c>
      <c r="H686" t="s">
        <v>2333</v>
      </c>
      <c r="I686" s="7">
        <v>19.440000000000001</v>
      </c>
      <c r="J686" s="8">
        <v>3</v>
      </c>
      <c r="K686" s="7">
        <v>9.33</v>
      </c>
    </row>
    <row r="687" spans="1:11" x14ac:dyDescent="0.3">
      <c r="A687" s="2">
        <v>42016</v>
      </c>
      <c r="B687" s="9">
        <f>MONTH(Table1[[#This Row],[Order Date]])</f>
        <v>1</v>
      </c>
      <c r="C687" s="9">
        <f>YEAR(Table1[[#This Row],[Order Date]])</f>
        <v>2015</v>
      </c>
      <c r="D687" t="s">
        <v>1064</v>
      </c>
      <c r="E687" t="s">
        <v>108</v>
      </c>
      <c r="F687" t="s">
        <v>11</v>
      </c>
      <c r="G687" t="s">
        <v>24</v>
      </c>
      <c r="H687" t="s">
        <v>2334</v>
      </c>
      <c r="I687" s="7">
        <v>3.64</v>
      </c>
      <c r="J687" s="8">
        <v>2</v>
      </c>
      <c r="K687" s="7">
        <v>1.02</v>
      </c>
    </row>
    <row r="688" spans="1:11" x14ac:dyDescent="0.3">
      <c r="A688" s="2">
        <v>42036</v>
      </c>
      <c r="B688" s="9">
        <f>MONTH(Table1[[#This Row],[Order Date]])</f>
        <v>2</v>
      </c>
      <c r="C688" s="9">
        <f>YEAR(Table1[[#This Row],[Order Date]])</f>
        <v>2015</v>
      </c>
      <c r="D688" t="s">
        <v>646</v>
      </c>
      <c r="E688" t="s">
        <v>78</v>
      </c>
      <c r="F688" t="s">
        <v>11</v>
      </c>
      <c r="G688" t="s">
        <v>16</v>
      </c>
      <c r="H688" t="s">
        <v>358</v>
      </c>
      <c r="I688" s="7">
        <v>23.68</v>
      </c>
      <c r="J688" s="8">
        <v>2</v>
      </c>
      <c r="K688" s="7">
        <v>8.8800000000000008</v>
      </c>
    </row>
    <row r="689" spans="1:11" x14ac:dyDescent="0.3">
      <c r="A689" s="2">
        <v>42036</v>
      </c>
      <c r="B689" s="9">
        <f>MONTH(Table1[[#This Row],[Order Date]])</f>
        <v>2</v>
      </c>
      <c r="C689" s="9">
        <f>YEAR(Table1[[#This Row],[Order Date]])</f>
        <v>2015</v>
      </c>
      <c r="D689" t="s">
        <v>646</v>
      </c>
      <c r="E689" t="s">
        <v>78</v>
      </c>
      <c r="F689" t="s">
        <v>34</v>
      </c>
      <c r="G689" t="s">
        <v>74</v>
      </c>
      <c r="H689" t="s">
        <v>1835</v>
      </c>
      <c r="I689" s="7">
        <v>452.45</v>
      </c>
      <c r="J689" s="8">
        <v>5</v>
      </c>
      <c r="K689" s="7">
        <v>-244.32</v>
      </c>
    </row>
    <row r="690" spans="1:11" x14ac:dyDescent="0.3">
      <c r="A690" s="2">
        <v>42036</v>
      </c>
      <c r="B690" s="9">
        <f>MONTH(Table1[[#This Row],[Order Date]])</f>
        <v>2</v>
      </c>
      <c r="C690" s="9">
        <f>YEAR(Table1[[#This Row],[Order Date]])</f>
        <v>2015</v>
      </c>
      <c r="D690" t="s">
        <v>646</v>
      </c>
      <c r="E690" t="s">
        <v>78</v>
      </c>
      <c r="F690" t="s">
        <v>39</v>
      </c>
      <c r="G690" t="s">
        <v>40</v>
      </c>
      <c r="H690" t="s">
        <v>1836</v>
      </c>
      <c r="I690" s="7">
        <v>62.98</v>
      </c>
      <c r="J690" s="8">
        <v>3</v>
      </c>
      <c r="K690" s="7">
        <v>-14.7</v>
      </c>
    </row>
    <row r="691" spans="1:11" x14ac:dyDescent="0.3">
      <c r="A691" s="2">
        <v>42036</v>
      </c>
      <c r="B691" s="9">
        <f>MONTH(Table1[[#This Row],[Order Date]])</f>
        <v>2</v>
      </c>
      <c r="C691" s="9">
        <f>YEAR(Table1[[#This Row],[Order Date]])</f>
        <v>2015</v>
      </c>
      <c r="D691" t="s">
        <v>646</v>
      </c>
      <c r="E691" t="s">
        <v>78</v>
      </c>
      <c r="F691" t="s">
        <v>39</v>
      </c>
      <c r="G691" t="s">
        <v>293</v>
      </c>
      <c r="H691" t="s">
        <v>1837</v>
      </c>
      <c r="I691" s="7">
        <v>1188</v>
      </c>
      <c r="J691" s="8">
        <v>9</v>
      </c>
      <c r="K691" s="7">
        <v>-950.4</v>
      </c>
    </row>
    <row r="692" spans="1:11" x14ac:dyDescent="0.3">
      <c r="A692" s="2">
        <v>42036</v>
      </c>
      <c r="B692" s="9">
        <f>MONTH(Table1[[#This Row],[Order Date]])</f>
        <v>2</v>
      </c>
      <c r="C692" s="9">
        <f>YEAR(Table1[[#This Row],[Order Date]])</f>
        <v>2015</v>
      </c>
      <c r="D692" t="s">
        <v>1838</v>
      </c>
      <c r="E692" t="s">
        <v>59</v>
      </c>
      <c r="F692" t="s">
        <v>11</v>
      </c>
      <c r="G692" t="s">
        <v>18</v>
      </c>
      <c r="H692" t="s">
        <v>708</v>
      </c>
      <c r="I692" s="7">
        <v>85.52</v>
      </c>
      <c r="J692" s="8">
        <v>2</v>
      </c>
      <c r="K692" s="7">
        <v>22.24</v>
      </c>
    </row>
    <row r="693" spans="1:11" x14ac:dyDescent="0.3">
      <c r="A693" s="2">
        <v>42036</v>
      </c>
      <c r="B693" s="9">
        <f>MONTH(Table1[[#This Row],[Order Date]])</f>
        <v>2</v>
      </c>
      <c r="C693" s="9">
        <f>YEAR(Table1[[#This Row],[Order Date]])</f>
        <v>2015</v>
      </c>
      <c r="D693" t="s">
        <v>1838</v>
      </c>
      <c r="E693" t="s">
        <v>59</v>
      </c>
      <c r="F693" t="s">
        <v>11</v>
      </c>
      <c r="G693" t="s">
        <v>24</v>
      </c>
      <c r="H693" t="s">
        <v>1294</v>
      </c>
      <c r="I693" s="7">
        <v>9.84</v>
      </c>
      <c r="J693" s="8">
        <v>3</v>
      </c>
      <c r="K693" s="7">
        <v>2.66</v>
      </c>
    </row>
    <row r="694" spans="1:11" x14ac:dyDescent="0.3">
      <c r="A694" s="2">
        <v>42036</v>
      </c>
      <c r="B694" s="9">
        <f>MONTH(Table1[[#This Row],[Order Date]])</f>
        <v>2</v>
      </c>
      <c r="C694" s="9">
        <f>YEAR(Table1[[#This Row],[Order Date]])</f>
        <v>2015</v>
      </c>
      <c r="D694" t="s">
        <v>1838</v>
      </c>
      <c r="E694" t="s">
        <v>59</v>
      </c>
      <c r="F694" t="s">
        <v>11</v>
      </c>
      <c r="G694" t="s">
        <v>12</v>
      </c>
      <c r="H694" t="s">
        <v>1839</v>
      </c>
      <c r="I694" s="7">
        <v>20.04</v>
      </c>
      <c r="J694" s="8">
        <v>3</v>
      </c>
      <c r="K694" s="7">
        <v>9.6199999999999992</v>
      </c>
    </row>
    <row r="695" spans="1:11" x14ac:dyDescent="0.3">
      <c r="A695" s="2">
        <v>42038</v>
      </c>
      <c r="B695" s="9">
        <f>MONTH(Table1[[#This Row],[Order Date]])</f>
        <v>2</v>
      </c>
      <c r="C695" s="9">
        <f>YEAR(Table1[[#This Row],[Order Date]])</f>
        <v>2015</v>
      </c>
      <c r="D695" t="s">
        <v>661</v>
      </c>
      <c r="E695" t="s">
        <v>126</v>
      </c>
      <c r="F695" t="s">
        <v>11</v>
      </c>
      <c r="G695" t="s">
        <v>63</v>
      </c>
      <c r="H695" t="s">
        <v>65</v>
      </c>
      <c r="I695" s="7">
        <v>101.88</v>
      </c>
      <c r="J695" s="8">
        <v>6</v>
      </c>
      <c r="K695" s="7">
        <v>50.94</v>
      </c>
    </row>
    <row r="696" spans="1:11" x14ac:dyDescent="0.3">
      <c r="A696" s="2">
        <v>42039</v>
      </c>
      <c r="B696" s="9">
        <f>MONTH(Table1[[#This Row],[Order Date]])</f>
        <v>2</v>
      </c>
      <c r="C696" s="9">
        <f>YEAR(Table1[[#This Row],[Order Date]])</f>
        <v>2015</v>
      </c>
      <c r="D696" t="s">
        <v>1945</v>
      </c>
      <c r="E696" t="s">
        <v>10</v>
      </c>
      <c r="F696" t="s">
        <v>11</v>
      </c>
      <c r="G696" t="s">
        <v>92</v>
      </c>
      <c r="H696" t="s">
        <v>1600</v>
      </c>
      <c r="I696" s="7">
        <v>32.19</v>
      </c>
      <c r="J696" s="8">
        <v>2</v>
      </c>
      <c r="K696" s="7">
        <v>-80.48</v>
      </c>
    </row>
    <row r="697" spans="1:11" x14ac:dyDescent="0.3">
      <c r="A697" s="2">
        <v>42039</v>
      </c>
      <c r="B697" s="9">
        <f>MONTH(Table1[[#This Row],[Order Date]])</f>
        <v>2</v>
      </c>
      <c r="C697" s="9">
        <f>YEAR(Table1[[#This Row],[Order Date]])</f>
        <v>2015</v>
      </c>
      <c r="D697" t="s">
        <v>1945</v>
      </c>
      <c r="E697" t="s">
        <v>10</v>
      </c>
      <c r="F697" t="s">
        <v>39</v>
      </c>
      <c r="G697" t="s">
        <v>52</v>
      </c>
      <c r="H697" t="s">
        <v>1946</v>
      </c>
      <c r="I697" s="7">
        <v>47.98</v>
      </c>
      <c r="J697" s="8">
        <v>3</v>
      </c>
      <c r="K697" s="7">
        <v>1.8</v>
      </c>
    </row>
    <row r="698" spans="1:11" x14ac:dyDescent="0.3">
      <c r="A698" s="2">
        <v>42039</v>
      </c>
      <c r="B698" s="9">
        <f>MONTH(Table1[[#This Row],[Order Date]])</f>
        <v>2</v>
      </c>
      <c r="C698" s="9">
        <f>YEAR(Table1[[#This Row],[Order Date]])</f>
        <v>2015</v>
      </c>
      <c r="D698" t="s">
        <v>1744</v>
      </c>
      <c r="E698" t="s">
        <v>10</v>
      </c>
      <c r="F698" t="s">
        <v>11</v>
      </c>
      <c r="G698" t="s">
        <v>20</v>
      </c>
      <c r="H698" t="s">
        <v>1947</v>
      </c>
      <c r="I698" s="7">
        <v>9.16</v>
      </c>
      <c r="J698" s="8">
        <v>3</v>
      </c>
      <c r="K698" s="7">
        <v>-13.73</v>
      </c>
    </row>
    <row r="699" spans="1:11" x14ac:dyDescent="0.3">
      <c r="A699" s="2">
        <v>42039</v>
      </c>
      <c r="B699" s="9">
        <f>MONTH(Table1[[#This Row],[Order Date]])</f>
        <v>2</v>
      </c>
      <c r="C699" s="9">
        <f>YEAR(Table1[[#This Row],[Order Date]])</f>
        <v>2015</v>
      </c>
      <c r="D699" t="s">
        <v>1948</v>
      </c>
      <c r="E699" t="s">
        <v>27</v>
      </c>
      <c r="F699" t="s">
        <v>39</v>
      </c>
      <c r="G699" t="s">
        <v>293</v>
      </c>
      <c r="H699" t="s">
        <v>1949</v>
      </c>
      <c r="I699" s="7">
        <v>71.98</v>
      </c>
      <c r="J699" s="8">
        <v>3</v>
      </c>
      <c r="K699" s="7">
        <v>24.29</v>
      </c>
    </row>
    <row r="700" spans="1:11" x14ac:dyDescent="0.3">
      <c r="A700" s="2">
        <v>42042</v>
      </c>
      <c r="B700" s="9">
        <f>MONTH(Table1[[#This Row],[Order Date]])</f>
        <v>2</v>
      </c>
      <c r="C700" s="9">
        <f>YEAR(Table1[[#This Row],[Order Date]])</f>
        <v>2015</v>
      </c>
      <c r="D700" t="s">
        <v>2093</v>
      </c>
      <c r="E700" t="s">
        <v>15</v>
      </c>
      <c r="F700" t="s">
        <v>34</v>
      </c>
      <c r="G700" t="s">
        <v>35</v>
      </c>
      <c r="H700" t="s">
        <v>1936</v>
      </c>
      <c r="I700" s="7">
        <v>408.42</v>
      </c>
      <c r="J700" s="8">
        <v>2</v>
      </c>
      <c r="K700" s="7">
        <v>-5.83</v>
      </c>
    </row>
    <row r="701" spans="1:11" x14ac:dyDescent="0.3">
      <c r="A701" s="2">
        <v>42042</v>
      </c>
      <c r="B701" s="9">
        <f>MONTH(Table1[[#This Row],[Order Date]])</f>
        <v>2</v>
      </c>
      <c r="C701" s="9">
        <f>YEAR(Table1[[#This Row],[Order Date]])</f>
        <v>2015</v>
      </c>
      <c r="D701" t="s">
        <v>2093</v>
      </c>
      <c r="E701" t="s">
        <v>15</v>
      </c>
      <c r="F701" t="s">
        <v>34</v>
      </c>
      <c r="G701" t="s">
        <v>35</v>
      </c>
      <c r="H701" t="s">
        <v>1448</v>
      </c>
      <c r="I701" s="7">
        <v>382.12</v>
      </c>
      <c r="J701" s="8">
        <v>6</v>
      </c>
      <c r="K701" s="7">
        <v>-92.8</v>
      </c>
    </row>
    <row r="702" spans="1:11" x14ac:dyDescent="0.3">
      <c r="A702" s="2">
        <v>42042</v>
      </c>
      <c r="B702" s="9">
        <f>MONTH(Table1[[#This Row],[Order Date]])</f>
        <v>2</v>
      </c>
      <c r="C702" s="9">
        <f>YEAR(Table1[[#This Row],[Order Date]])</f>
        <v>2015</v>
      </c>
      <c r="D702" t="s">
        <v>2093</v>
      </c>
      <c r="E702" t="s">
        <v>15</v>
      </c>
      <c r="F702" t="s">
        <v>11</v>
      </c>
      <c r="G702" t="s">
        <v>18</v>
      </c>
      <c r="H702" t="s">
        <v>1804</v>
      </c>
      <c r="I702" s="7">
        <v>68.599999999999994</v>
      </c>
      <c r="J702" s="8">
        <v>5</v>
      </c>
      <c r="K702" s="7">
        <v>6</v>
      </c>
    </row>
    <row r="703" spans="1:11" x14ac:dyDescent="0.3">
      <c r="A703" s="2">
        <v>42042</v>
      </c>
      <c r="B703" s="9">
        <f>MONTH(Table1[[#This Row],[Order Date]])</f>
        <v>2</v>
      </c>
      <c r="C703" s="9">
        <f>YEAR(Table1[[#This Row],[Order Date]])</f>
        <v>2015</v>
      </c>
      <c r="D703" t="s">
        <v>1301</v>
      </c>
      <c r="E703" t="s">
        <v>237</v>
      </c>
      <c r="F703" t="s">
        <v>34</v>
      </c>
      <c r="G703" t="s">
        <v>47</v>
      </c>
      <c r="H703" t="s">
        <v>676</v>
      </c>
      <c r="I703" s="7">
        <v>159.84</v>
      </c>
      <c r="J703" s="8">
        <v>10</v>
      </c>
      <c r="K703" s="7">
        <v>45.95</v>
      </c>
    </row>
    <row r="704" spans="1:11" x14ac:dyDescent="0.3">
      <c r="A704" s="2">
        <v>42042</v>
      </c>
      <c r="B704" s="9">
        <f>MONTH(Table1[[#This Row],[Order Date]])</f>
        <v>2</v>
      </c>
      <c r="C704" s="9">
        <f>YEAR(Table1[[#This Row],[Order Date]])</f>
        <v>2015</v>
      </c>
      <c r="D704" t="s">
        <v>1301</v>
      </c>
      <c r="E704" t="s">
        <v>237</v>
      </c>
      <c r="F704" t="s">
        <v>11</v>
      </c>
      <c r="G704" t="s">
        <v>12</v>
      </c>
      <c r="H704" t="s">
        <v>2030</v>
      </c>
      <c r="I704" s="7">
        <v>9.39</v>
      </c>
      <c r="J704" s="8">
        <v>2</v>
      </c>
      <c r="K704" s="7">
        <v>3.29</v>
      </c>
    </row>
    <row r="705" spans="1:11" x14ac:dyDescent="0.3">
      <c r="A705" s="2">
        <v>42043</v>
      </c>
      <c r="B705" s="9">
        <f>MONTH(Table1[[#This Row],[Order Date]])</f>
        <v>2</v>
      </c>
      <c r="C705" s="9">
        <f>YEAR(Table1[[#This Row],[Order Date]])</f>
        <v>2015</v>
      </c>
      <c r="D705" t="s">
        <v>818</v>
      </c>
      <c r="E705" t="s">
        <v>158</v>
      </c>
      <c r="F705" t="s">
        <v>11</v>
      </c>
      <c r="G705" t="s">
        <v>20</v>
      </c>
      <c r="H705" t="s">
        <v>2129</v>
      </c>
      <c r="I705" s="7">
        <v>6.37</v>
      </c>
      <c r="J705" s="8">
        <v>2</v>
      </c>
      <c r="K705" s="7">
        <v>2.15</v>
      </c>
    </row>
    <row r="706" spans="1:11" x14ac:dyDescent="0.3">
      <c r="A706" s="2">
        <v>42043</v>
      </c>
      <c r="B706" s="9">
        <f>MONTH(Table1[[#This Row],[Order Date]])</f>
        <v>2</v>
      </c>
      <c r="C706" s="9">
        <f>YEAR(Table1[[#This Row],[Order Date]])</f>
        <v>2015</v>
      </c>
      <c r="D706" t="s">
        <v>818</v>
      </c>
      <c r="E706" t="s">
        <v>158</v>
      </c>
      <c r="F706" t="s">
        <v>39</v>
      </c>
      <c r="G706" t="s">
        <v>293</v>
      </c>
      <c r="H706" t="s">
        <v>816</v>
      </c>
      <c r="I706" s="7">
        <v>558.4</v>
      </c>
      <c r="J706" s="8">
        <v>2</v>
      </c>
      <c r="K706" s="7">
        <v>41.88</v>
      </c>
    </row>
    <row r="707" spans="1:11" x14ac:dyDescent="0.3">
      <c r="A707" s="2">
        <v>42043</v>
      </c>
      <c r="B707" s="9">
        <f>MONTH(Table1[[#This Row],[Order Date]])</f>
        <v>2</v>
      </c>
      <c r="C707" s="9">
        <f>YEAR(Table1[[#This Row],[Order Date]])</f>
        <v>2015</v>
      </c>
      <c r="D707" t="s">
        <v>2130</v>
      </c>
      <c r="E707" t="s">
        <v>1494</v>
      </c>
      <c r="F707" t="s">
        <v>11</v>
      </c>
      <c r="G707" t="s">
        <v>12</v>
      </c>
      <c r="H707" t="s">
        <v>2097</v>
      </c>
      <c r="I707" s="7">
        <v>8.4</v>
      </c>
      <c r="J707" s="8">
        <v>2</v>
      </c>
      <c r="K707" s="7">
        <v>4.12</v>
      </c>
    </row>
    <row r="708" spans="1:11" x14ac:dyDescent="0.3">
      <c r="A708" s="2">
        <v>42043</v>
      </c>
      <c r="B708" s="9">
        <f>MONTH(Table1[[#This Row],[Order Date]])</f>
        <v>2</v>
      </c>
      <c r="C708" s="9">
        <f>YEAR(Table1[[#This Row],[Order Date]])</f>
        <v>2015</v>
      </c>
      <c r="D708" t="s">
        <v>2130</v>
      </c>
      <c r="E708" t="s">
        <v>1494</v>
      </c>
      <c r="F708" t="s">
        <v>34</v>
      </c>
      <c r="G708" t="s">
        <v>35</v>
      </c>
      <c r="H708" t="s">
        <v>1641</v>
      </c>
      <c r="I708" s="7">
        <v>110.98</v>
      </c>
      <c r="J708" s="8">
        <v>1</v>
      </c>
      <c r="K708" s="7">
        <v>15.54</v>
      </c>
    </row>
    <row r="709" spans="1:11" x14ac:dyDescent="0.3">
      <c r="A709" s="2">
        <v>42045</v>
      </c>
      <c r="B709" s="9">
        <f>MONTH(Table1[[#This Row],[Order Date]])</f>
        <v>2</v>
      </c>
      <c r="C709" s="9">
        <f>YEAR(Table1[[#This Row],[Order Date]])</f>
        <v>2015</v>
      </c>
      <c r="D709" t="s">
        <v>1134</v>
      </c>
      <c r="E709" t="s">
        <v>171</v>
      </c>
      <c r="F709" t="s">
        <v>11</v>
      </c>
      <c r="G709" t="s">
        <v>12</v>
      </c>
      <c r="H709" t="s">
        <v>1788</v>
      </c>
      <c r="I709" s="7">
        <v>94.85</v>
      </c>
      <c r="J709" s="8">
        <v>5</v>
      </c>
      <c r="K709" s="7">
        <v>45.53</v>
      </c>
    </row>
    <row r="710" spans="1:11" x14ac:dyDescent="0.3">
      <c r="A710" s="2">
        <v>42045</v>
      </c>
      <c r="B710" s="9">
        <f>MONTH(Table1[[#This Row],[Order Date]])</f>
        <v>2</v>
      </c>
      <c r="C710" s="9">
        <f>YEAR(Table1[[#This Row],[Order Date]])</f>
        <v>2015</v>
      </c>
      <c r="D710" t="s">
        <v>1350</v>
      </c>
      <c r="E710" t="s">
        <v>27</v>
      </c>
      <c r="F710" t="s">
        <v>11</v>
      </c>
      <c r="G710" t="s">
        <v>18</v>
      </c>
      <c r="H710" t="s">
        <v>1290</v>
      </c>
      <c r="I710" s="7">
        <v>270.33999999999997</v>
      </c>
      <c r="J710" s="8">
        <v>14</v>
      </c>
      <c r="K710" s="7">
        <v>75.7</v>
      </c>
    </row>
    <row r="711" spans="1:11" x14ac:dyDescent="0.3">
      <c r="A711" s="2">
        <v>42045</v>
      </c>
      <c r="B711" s="9">
        <f>MONTH(Table1[[#This Row],[Order Date]])</f>
        <v>2</v>
      </c>
      <c r="C711" s="9">
        <f>YEAR(Table1[[#This Row],[Order Date]])</f>
        <v>2015</v>
      </c>
      <c r="D711" t="s">
        <v>260</v>
      </c>
      <c r="E711" t="s">
        <v>237</v>
      </c>
      <c r="F711" t="s">
        <v>11</v>
      </c>
      <c r="G711" t="s">
        <v>20</v>
      </c>
      <c r="H711" t="s">
        <v>1610</v>
      </c>
      <c r="I711" s="7">
        <v>7.38</v>
      </c>
      <c r="J711" s="8">
        <v>5</v>
      </c>
      <c r="K711" s="7">
        <v>-5.41</v>
      </c>
    </row>
    <row r="712" spans="1:11" x14ac:dyDescent="0.3">
      <c r="A712" s="2">
        <v>42045</v>
      </c>
      <c r="B712" s="9">
        <f>MONTH(Table1[[#This Row],[Order Date]])</f>
        <v>2</v>
      </c>
      <c r="C712" s="9">
        <f>YEAR(Table1[[#This Row],[Order Date]])</f>
        <v>2015</v>
      </c>
      <c r="D712" t="s">
        <v>2231</v>
      </c>
      <c r="E712" t="s">
        <v>27</v>
      </c>
      <c r="F712" t="s">
        <v>39</v>
      </c>
      <c r="G712" t="s">
        <v>40</v>
      </c>
      <c r="H712" t="s">
        <v>812</v>
      </c>
      <c r="I712" s="7">
        <v>503.96</v>
      </c>
      <c r="J712" s="8">
        <v>5</v>
      </c>
      <c r="K712" s="7">
        <v>50.4</v>
      </c>
    </row>
    <row r="713" spans="1:11" x14ac:dyDescent="0.3">
      <c r="A713" s="2">
        <v>42045</v>
      </c>
      <c r="B713" s="9">
        <f>MONTH(Table1[[#This Row],[Order Date]])</f>
        <v>2</v>
      </c>
      <c r="C713" s="9">
        <f>YEAR(Table1[[#This Row],[Order Date]])</f>
        <v>2015</v>
      </c>
      <c r="D713" t="s">
        <v>999</v>
      </c>
      <c r="E713" t="s">
        <v>517</v>
      </c>
      <c r="F713" t="s">
        <v>11</v>
      </c>
      <c r="G713" t="s">
        <v>12</v>
      </c>
      <c r="H713" t="s">
        <v>2067</v>
      </c>
      <c r="I713" s="7">
        <v>19.440000000000001</v>
      </c>
      <c r="J713" s="8">
        <v>3</v>
      </c>
      <c r="K713" s="7">
        <v>9.33</v>
      </c>
    </row>
    <row r="714" spans="1:11" x14ac:dyDescent="0.3">
      <c r="A714" s="2">
        <v>42045</v>
      </c>
      <c r="B714" s="9">
        <f>MONTH(Table1[[#This Row],[Order Date]])</f>
        <v>2</v>
      </c>
      <c r="C714" s="9">
        <f>YEAR(Table1[[#This Row],[Order Date]])</f>
        <v>2015</v>
      </c>
      <c r="D714" t="s">
        <v>999</v>
      </c>
      <c r="E714" t="s">
        <v>517</v>
      </c>
      <c r="F714" t="s">
        <v>11</v>
      </c>
      <c r="G714" t="s">
        <v>20</v>
      </c>
      <c r="H714" t="s">
        <v>216</v>
      </c>
      <c r="I714" s="7">
        <v>7.38</v>
      </c>
      <c r="J714" s="8">
        <v>1</v>
      </c>
      <c r="K714" s="7">
        <v>3.62</v>
      </c>
    </row>
    <row r="715" spans="1:11" x14ac:dyDescent="0.3">
      <c r="A715" s="2">
        <v>42046</v>
      </c>
      <c r="B715" s="9">
        <f>MONTH(Table1[[#This Row],[Order Date]])</f>
        <v>2</v>
      </c>
      <c r="C715" s="9">
        <f>YEAR(Table1[[#This Row],[Order Date]])</f>
        <v>2015</v>
      </c>
      <c r="D715" t="s">
        <v>411</v>
      </c>
      <c r="E715" t="s">
        <v>27</v>
      </c>
      <c r="F715" t="s">
        <v>34</v>
      </c>
      <c r="G715" t="s">
        <v>140</v>
      </c>
      <c r="H715" t="s">
        <v>1427</v>
      </c>
      <c r="I715" s="7">
        <v>1038.8399999999999</v>
      </c>
      <c r="J715" s="8">
        <v>5</v>
      </c>
      <c r="K715" s="7">
        <v>51.94</v>
      </c>
    </row>
    <row r="716" spans="1:11" x14ac:dyDescent="0.3">
      <c r="A716" s="2">
        <v>42046</v>
      </c>
      <c r="B716" s="9">
        <f>MONTH(Table1[[#This Row],[Order Date]])</f>
        <v>2</v>
      </c>
      <c r="C716" s="9">
        <f>YEAR(Table1[[#This Row],[Order Date]])</f>
        <v>2015</v>
      </c>
      <c r="D716" t="s">
        <v>2264</v>
      </c>
      <c r="E716" t="s">
        <v>158</v>
      </c>
      <c r="F716" t="s">
        <v>39</v>
      </c>
      <c r="G716" t="s">
        <v>52</v>
      </c>
      <c r="H716" t="s">
        <v>2265</v>
      </c>
      <c r="I716" s="7">
        <v>447.93</v>
      </c>
      <c r="J716" s="8">
        <v>9</v>
      </c>
      <c r="K716" s="7">
        <v>49.27</v>
      </c>
    </row>
    <row r="717" spans="1:11" x14ac:dyDescent="0.3">
      <c r="A717" s="2">
        <v>42046</v>
      </c>
      <c r="B717" s="9">
        <f>MONTH(Table1[[#This Row],[Order Date]])</f>
        <v>2</v>
      </c>
      <c r="C717" s="9">
        <f>YEAR(Table1[[#This Row],[Order Date]])</f>
        <v>2015</v>
      </c>
      <c r="D717" t="s">
        <v>954</v>
      </c>
      <c r="E717" t="s">
        <v>144</v>
      </c>
      <c r="F717" t="s">
        <v>34</v>
      </c>
      <c r="G717" t="s">
        <v>35</v>
      </c>
      <c r="H717" t="s">
        <v>1995</v>
      </c>
      <c r="I717" s="7">
        <v>109.76</v>
      </c>
      <c r="J717" s="8">
        <v>2</v>
      </c>
      <c r="K717" s="7">
        <v>8.5399999999999991</v>
      </c>
    </row>
    <row r="718" spans="1:11" x14ac:dyDescent="0.3">
      <c r="A718" s="2">
        <v>42046</v>
      </c>
      <c r="B718" s="9">
        <f>MONTH(Table1[[#This Row],[Order Date]])</f>
        <v>2</v>
      </c>
      <c r="C718" s="9">
        <f>YEAR(Table1[[#This Row],[Order Date]])</f>
        <v>2015</v>
      </c>
      <c r="D718" t="s">
        <v>741</v>
      </c>
      <c r="E718" t="s">
        <v>27</v>
      </c>
      <c r="F718" t="s">
        <v>34</v>
      </c>
      <c r="G718" t="s">
        <v>47</v>
      </c>
      <c r="H718" t="s">
        <v>2266</v>
      </c>
      <c r="I718" s="7">
        <v>96.96</v>
      </c>
      <c r="J718" s="8">
        <v>6</v>
      </c>
      <c r="K718" s="7">
        <v>33.94</v>
      </c>
    </row>
    <row r="719" spans="1:11" x14ac:dyDescent="0.3">
      <c r="A719" s="2">
        <v>42046</v>
      </c>
      <c r="B719" s="9">
        <f>MONTH(Table1[[#This Row],[Order Date]])</f>
        <v>2</v>
      </c>
      <c r="C719" s="9">
        <f>YEAR(Table1[[#This Row],[Order Date]])</f>
        <v>2015</v>
      </c>
      <c r="D719" t="s">
        <v>741</v>
      </c>
      <c r="E719" t="s">
        <v>27</v>
      </c>
      <c r="F719" t="s">
        <v>11</v>
      </c>
      <c r="G719" t="s">
        <v>20</v>
      </c>
      <c r="H719" t="s">
        <v>1005</v>
      </c>
      <c r="I719" s="7">
        <v>117.49</v>
      </c>
      <c r="J719" s="8">
        <v>7</v>
      </c>
      <c r="K719" s="7">
        <v>41.12</v>
      </c>
    </row>
    <row r="720" spans="1:11" x14ac:dyDescent="0.3">
      <c r="A720" s="2">
        <v>42046</v>
      </c>
      <c r="B720" s="9">
        <f>MONTH(Table1[[#This Row],[Order Date]])</f>
        <v>2</v>
      </c>
      <c r="C720" s="9">
        <f>YEAR(Table1[[#This Row],[Order Date]])</f>
        <v>2015</v>
      </c>
      <c r="D720" t="s">
        <v>741</v>
      </c>
      <c r="E720" t="s">
        <v>27</v>
      </c>
      <c r="F720" t="s">
        <v>34</v>
      </c>
      <c r="G720" t="s">
        <v>74</v>
      </c>
      <c r="H720" t="s">
        <v>2048</v>
      </c>
      <c r="I720" s="7">
        <v>512.5</v>
      </c>
      <c r="J720" s="8">
        <v>3</v>
      </c>
      <c r="K720" s="7">
        <v>-30.15</v>
      </c>
    </row>
    <row r="721" spans="1:11" x14ac:dyDescent="0.3">
      <c r="A721" s="2">
        <v>42046</v>
      </c>
      <c r="B721" s="9">
        <f>MONTH(Table1[[#This Row],[Order Date]])</f>
        <v>2</v>
      </c>
      <c r="C721" s="9">
        <f>YEAR(Table1[[#This Row],[Order Date]])</f>
        <v>2015</v>
      </c>
      <c r="D721" t="s">
        <v>1073</v>
      </c>
      <c r="E721" t="s">
        <v>144</v>
      </c>
      <c r="F721" t="s">
        <v>34</v>
      </c>
      <c r="G721" t="s">
        <v>35</v>
      </c>
      <c r="H721" t="s">
        <v>2267</v>
      </c>
      <c r="I721" s="7">
        <v>2621.3200000000002</v>
      </c>
      <c r="J721" s="8">
        <v>11</v>
      </c>
      <c r="K721" s="7">
        <v>553.39</v>
      </c>
    </row>
    <row r="722" spans="1:11" x14ac:dyDescent="0.3">
      <c r="A722" s="2">
        <v>42046</v>
      </c>
      <c r="B722" s="9">
        <f>MONTH(Table1[[#This Row],[Order Date]])</f>
        <v>2</v>
      </c>
      <c r="C722" s="9">
        <f>YEAR(Table1[[#This Row],[Order Date]])</f>
        <v>2015</v>
      </c>
      <c r="D722" t="s">
        <v>1011</v>
      </c>
      <c r="E722" t="s">
        <v>10</v>
      </c>
      <c r="F722" t="s">
        <v>39</v>
      </c>
      <c r="G722" t="s">
        <v>40</v>
      </c>
      <c r="H722" t="s">
        <v>2268</v>
      </c>
      <c r="I722" s="7">
        <v>344.7</v>
      </c>
      <c r="J722" s="8">
        <v>2</v>
      </c>
      <c r="K722" s="7">
        <v>38.78</v>
      </c>
    </row>
    <row r="723" spans="1:11" x14ac:dyDescent="0.3">
      <c r="A723" s="2">
        <v>42046</v>
      </c>
      <c r="B723" s="9">
        <f>MONTH(Table1[[#This Row],[Order Date]])</f>
        <v>2</v>
      </c>
      <c r="C723" s="9">
        <f>YEAR(Table1[[#This Row],[Order Date]])</f>
        <v>2015</v>
      </c>
      <c r="D723" t="s">
        <v>2269</v>
      </c>
      <c r="E723" t="s">
        <v>55</v>
      </c>
      <c r="F723" t="s">
        <v>11</v>
      </c>
      <c r="G723" t="s">
        <v>92</v>
      </c>
      <c r="H723" t="s">
        <v>2270</v>
      </c>
      <c r="I723" s="7">
        <v>197.72</v>
      </c>
      <c r="J723" s="8">
        <v>4</v>
      </c>
      <c r="K723" s="7">
        <v>55.36</v>
      </c>
    </row>
    <row r="724" spans="1:11" x14ac:dyDescent="0.3">
      <c r="A724" s="2">
        <v>42064</v>
      </c>
      <c r="B724" s="9">
        <f>MONTH(Table1[[#This Row],[Order Date]])</f>
        <v>3</v>
      </c>
      <c r="C724" s="9">
        <f>YEAR(Table1[[#This Row],[Order Date]])</f>
        <v>2015</v>
      </c>
      <c r="D724" t="s">
        <v>1840</v>
      </c>
      <c r="E724" t="s">
        <v>10</v>
      </c>
      <c r="F724" t="s">
        <v>39</v>
      </c>
      <c r="G724" t="s">
        <v>52</v>
      </c>
      <c r="H724" t="s">
        <v>1806</v>
      </c>
      <c r="I724" s="7">
        <v>398.4</v>
      </c>
      <c r="J724" s="8">
        <v>5</v>
      </c>
      <c r="K724" s="7">
        <v>84.66</v>
      </c>
    </row>
    <row r="725" spans="1:11" x14ac:dyDescent="0.3">
      <c r="A725" s="2">
        <v>42064</v>
      </c>
      <c r="B725" s="9">
        <f>MONTH(Table1[[#This Row],[Order Date]])</f>
        <v>3</v>
      </c>
      <c r="C725" s="9">
        <f>YEAR(Table1[[#This Row],[Order Date]])</f>
        <v>2015</v>
      </c>
      <c r="D725" t="s">
        <v>1840</v>
      </c>
      <c r="E725" t="s">
        <v>10</v>
      </c>
      <c r="F725" t="s">
        <v>11</v>
      </c>
      <c r="G725" t="s">
        <v>24</v>
      </c>
      <c r="H725" t="s">
        <v>691</v>
      </c>
      <c r="I725" s="7">
        <v>7.06</v>
      </c>
      <c r="J725" s="8">
        <v>3</v>
      </c>
      <c r="K725" s="7">
        <v>0.79</v>
      </c>
    </row>
    <row r="726" spans="1:11" x14ac:dyDescent="0.3">
      <c r="A726" s="2">
        <v>42065</v>
      </c>
      <c r="B726" s="9">
        <f>MONTH(Table1[[#This Row],[Order Date]])</f>
        <v>3</v>
      </c>
      <c r="C726" s="9">
        <f>YEAR(Table1[[#This Row],[Order Date]])</f>
        <v>2015</v>
      </c>
      <c r="D726" t="s">
        <v>541</v>
      </c>
      <c r="E726" t="s">
        <v>973</v>
      </c>
      <c r="F726" t="s">
        <v>34</v>
      </c>
      <c r="G726" t="s">
        <v>47</v>
      </c>
      <c r="H726" t="s">
        <v>1861</v>
      </c>
      <c r="I726" s="7">
        <v>28.4</v>
      </c>
      <c r="J726" s="8">
        <v>2</v>
      </c>
      <c r="K726" s="7">
        <v>11.08</v>
      </c>
    </row>
    <row r="727" spans="1:11" x14ac:dyDescent="0.3">
      <c r="A727" s="2">
        <v>42065</v>
      </c>
      <c r="B727" s="9">
        <f>MONTH(Table1[[#This Row],[Order Date]])</f>
        <v>3</v>
      </c>
      <c r="C727" s="9">
        <f>YEAR(Table1[[#This Row],[Order Date]])</f>
        <v>2015</v>
      </c>
      <c r="D727" t="s">
        <v>541</v>
      </c>
      <c r="E727" t="s">
        <v>973</v>
      </c>
      <c r="F727" t="s">
        <v>39</v>
      </c>
      <c r="G727" t="s">
        <v>52</v>
      </c>
      <c r="H727" t="s">
        <v>414</v>
      </c>
      <c r="I727" s="7">
        <v>149.97</v>
      </c>
      <c r="J727" s="8">
        <v>3</v>
      </c>
      <c r="K727" s="7">
        <v>50.99</v>
      </c>
    </row>
    <row r="728" spans="1:11" x14ac:dyDescent="0.3">
      <c r="A728" s="2">
        <v>42065</v>
      </c>
      <c r="B728" s="9">
        <f>MONTH(Table1[[#This Row],[Order Date]])</f>
        <v>3</v>
      </c>
      <c r="C728" s="9">
        <f>YEAR(Table1[[#This Row],[Order Date]])</f>
        <v>2015</v>
      </c>
      <c r="D728" t="s">
        <v>1862</v>
      </c>
      <c r="E728" t="s">
        <v>27</v>
      </c>
      <c r="F728" t="s">
        <v>34</v>
      </c>
      <c r="G728" t="s">
        <v>47</v>
      </c>
      <c r="H728" t="s">
        <v>1863</v>
      </c>
      <c r="I728" s="7">
        <v>136.91999999999999</v>
      </c>
      <c r="J728" s="8">
        <v>4</v>
      </c>
      <c r="K728" s="7">
        <v>41.08</v>
      </c>
    </row>
    <row r="729" spans="1:11" x14ac:dyDescent="0.3">
      <c r="A729" s="2">
        <v>42065</v>
      </c>
      <c r="B729" s="9">
        <f>MONTH(Table1[[#This Row],[Order Date]])</f>
        <v>3</v>
      </c>
      <c r="C729" s="9">
        <f>YEAR(Table1[[#This Row],[Order Date]])</f>
        <v>2015</v>
      </c>
      <c r="D729" t="s">
        <v>1502</v>
      </c>
      <c r="E729" t="s">
        <v>287</v>
      </c>
      <c r="F729" t="s">
        <v>11</v>
      </c>
      <c r="G729" t="s">
        <v>20</v>
      </c>
      <c r="H729" t="s">
        <v>1169</v>
      </c>
      <c r="I729" s="7">
        <v>12.14</v>
      </c>
      <c r="J729" s="8">
        <v>3</v>
      </c>
      <c r="K729" s="7">
        <v>4.0999999999999996</v>
      </c>
    </row>
    <row r="730" spans="1:11" x14ac:dyDescent="0.3">
      <c r="A730" s="2">
        <v>42065</v>
      </c>
      <c r="B730" s="9">
        <f>MONTH(Table1[[#This Row],[Order Date]])</f>
        <v>3</v>
      </c>
      <c r="C730" s="9">
        <f>YEAR(Table1[[#This Row],[Order Date]])</f>
        <v>2015</v>
      </c>
      <c r="D730" t="s">
        <v>658</v>
      </c>
      <c r="E730" t="s">
        <v>144</v>
      </c>
      <c r="F730" t="s">
        <v>34</v>
      </c>
      <c r="G730" t="s">
        <v>35</v>
      </c>
      <c r="H730" t="s">
        <v>1831</v>
      </c>
      <c r="I730" s="7">
        <v>90.88</v>
      </c>
      <c r="J730" s="8">
        <v>1</v>
      </c>
      <c r="K730" s="7">
        <v>15.15</v>
      </c>
    </row>
    <row r="731" spans="1:11" x14ac:dyDescent="0.3">
      <c r="A731" s="2">
        <v>42068</v>
      </c>
      <c r="B731" s="9">
        <f>MONTH(Table1[[#This Row],[Order Date]])</f>
        <v>3</v>
      </c>
      <c r="C731" s="9">
        <f>YEAR(Table1[[#This Row],[Order Date]])</f>
        <v>2015</v>
      </c>
      <c r="D731" t="s">
        <v>508</v>
      </c>
      <c r="E731" t="s">
        <v>23</v>
      </c>
      <c r="F731" t="s">
        <v>11</v>
      </c>
      <c r="G731" t="s">
        <v>24</v>
      </c>
      <c r="H731" t="s">
        <v>2012</v>
      </c>
      <c r="I731" s="7">
        <v>59.9</v>
      </c>
      <c r="J731" s="8">
        <v>2</v>
      </c>
      <c r="K731" s="7">
        <v>14.23</v>
      </c>
    </row>
    <row r="732" spans="1:11" x14ac:dyDescent="0.3">
      <c r="A732" s="2">
        <v>42068</v>
      </c>
      <c r="B732" s="9">
        <f>MONTH(Table1[[#This Row],[Order Date]])</f>
        <v>3</v>
      </c>
      <c r="C732" s="9">
        <f>YEAR(Table1[[#This Row],[Order Date]])</f>
        <v>2015</v>
      </c>
      <c r="D732" t="s">
        <v>508</v>
      </c>
      <c r="E732" t="s">
        <v>23</v>
      </c>
      <c r="F732" t="s">
        <v>11</v>
      </c>
      <c r="G732" t="s">
        <v>92</v>
      </c>
      <c r="H732" t="s">
        <v>2013</v>
      </c>
      <c r="I732" s="7">
        <v>23.7</v>
      </c>
      <c r="J732" s="8">
        <v>2</v>
      </c>
      <c r="K732" s="7">
        <v>6.52</v>
      </c>
    </row>
    <row r="733" spans="1:11" x14ac:dyDescent="0.3">
      <c r="A733" s="2">
        <v>42068</v>
      </c>
      <c r="B733" s="9">
        <f>MONTH(Table1[[#This Row],[Order Date]])</f>
        <v>3</v>
      </c>
      <c r="C733" s="9">
        <f>YEAR(Table1[[#This Row],[Order Date]])</f>
        <v>2015</v>
      </c>
      <c r="D733" t="s">
        <v>508</v>
      </c>
      <c r="E733" t="s">
        <v>23</v>
      </c>
      <c r="F733" t="s">
        <v>11</v>
      </c>
      <c r="G733" t="s">
        <v>12</v>
      </c>
      <c r="H733" t="s">
        <v>958</v>
      </c>
      <c r="I733" s="7">
        <v>7.97</v>
      </c>
      <c r="J733" s="8">
        <v>2</v>
      </c>
      <c r="K733" s="7">
        <v>2.89</v>
      </c>
    </row>
    <row r="734" spans="1:11" x14ac:dyDescent="0.3">
      <c r="A734" s="2">
        <v>42068</v>
      </c>
      <c r="B734" s="9">
        <f>MONTH(Table1[[#This Row],[Order Date]])</f>
        <v>3</v>
      </c>
      <c r="C734" s="9">
        <f>YEAR(Table1[[#This Row],[Order Date]])</f>
        <v>2015</v>
      </c>
      <c r="D734" t="s">
        <v>508</v>
      </c>
      <c r="E734" t="s">
        <v>23</v>
      </c>
      <c r="F734" t="s">
        <v>34</v>
      </c>
      <c r="G734" t="s">
        <v>35</v>
      </c>
      <c r="H734" t="s">
        <v>418</v>
      </c>
      <c r="I734" s="7">
        <v>844.12</v>
      </c>
      <c r="J734" s="8">
        <v>6</v>
      </c>
      <c r="K734" s="7">
        <v>-36.18</v>
      </c>
    </row>
    <row r="735" spans="1:11" x14ac:dyDescent="0.3">
      <c r="A735" s="2">
        <v>42068</v>
      </c>
      <c r="B735" s="9">
        <f>MONTH(Table1[[#This Row],[Order Date]])</f>
        <v>3</v>
      </c>
      <c r="C735" s="9">
        <f>YEAR(Table1[[#This Row],[Order Date]])</f>
        <v>2015</v>
      </c>
      <c r="D735" t="s">
        <v>2014</v>
      </c>
      <c r="E735" t="s">
        <v>27</v>
      </c>
      <c r="F735" t="s">
        <v>11</v>
      </c>
      <c r="G735" t="s">
        <v>20</v>
      </c>
      <c r="H735" t="s">
        <v>2015</v>
      </c>
      <c r="I735" s="7">
        <v>62.5</v>
      </c>
      <c r="J735" s="8">
        <v>2</v>
      </c>
      <c r="K735" s="7">
        <v>21.87</v>
      </c>
    </row>
    <row r="736" spans="1:11" x14ac:dyDescent="0.3">
      <c r="A736" s="2">
        <v>42068</v>
      </c>
      <c r="B736" s="9">
        <f>MONTH(Table1[[#This Row],[Order Date]])</f>
        <v>3</v>
      </c>
      <c r="C736" s="9">
        <f>YEAR(Table1[[#This Row],[Order Date]])</f>
        <v>2015</v>
      </c>
      <c r="D736" t="s">
        <v>2014</v>
      </c>
      <c r="E736" t="s">
        <v>27</v>
      </c>
      <c r="F736" t="s">
        <v>11</v>
      </c>
      <c r="G736" t="s">
        <v>20</v>
      </c>
      <c r="H736" t="s">
        <v>88</v>
      </c>
      <c r="I736" s="7">
        <v>49.57</v>
      </c>
      <c r="J736" s="8">
        <v>2</v>
      </c>
      <c r="K736" s="7">
        <v>17.350000000000001</v>
      </c>
    </row>
    <row r="737" spans="1:11" x14ac:dyDescent="0.3">
      <c r="A737" s="2">
        <v>42068</v>
      </c>
      <c r="B737" s="9">
        <f>MONTH(Table1[[#This Row],[Order Date]])</f>
        <v>3</v>
      </c>
      <c r="C737" s="9">
        <f>YEAR(Table1[[#This Row],[Order Date]])</f>
        <v>2015</v>
      </c>
      <c r="D737" t="s">
        <v>532</v>
      </c>
      <c r="E737" t="s">
        <v>27</v>
      </c>
      <c r="F737" t="s">
        <v>11</v>
      </c>
      <c r="G737" t="s">
        <v>20</v>
      </c>
      <c r="H737" t="s">
        <v>1339</v>
      </c>
      <c r="I737" s="7">
        <v>13.85</v>
      </c>
      <c r="J737" s="8">
        <v>3</v>
      </c>
      <c r="K737" s="7">
        <v>5.19</v>
      </c>
    </row>
    <row r="738" spans="1:11" x14ac:dyDescent="0.3">
      <c r="A738" s="2">
        <v>42070</v>
      </c>
      <c r="B738" s="9">
        <f>MONTH(Table1[[#This Row],[Order Date]])</f>
        <v>3</v>
      </c>
      <c r="C738" s="9">
        <f>YEAR(Table1[[#This Row],[Order Date]])</f>
        <v>2015</v>
      </c>
      <c r="D738" t="s">
        <v>2094</v>
      </c>
      <c r="E738" t="s">
        <v>33</v>
      </c>
      <c r="F738" t="s">
        <v>34</v>
      </c>
      <c r="G738" t="s">
        <v>35</v>
      </c>
      <c r="H738" t="s">
        <v>2095</v>
      </c>
      <c r="I738" s="7">
        <v>70.98</v>
      </c>
      <c r="J738" s="8">
        <v>1</v>
      </c>
      <c r="K738" s="7">
        <v>4.97</v>
      </c>
    </row>
    <row r="739" spans="1:11" x14ac:dyDescent="0.3">
      <c r="A739" s="2">
        <v>42070</v>
      </c>
      <c r="B739" s="9">
        <f>MONTH(Table1[[#This Row],[Order Date]])</f>
        <v>3</v>
      </c>
      <c r="C739" s="9">
        <f>YEAR(Table1[[#This Row],[Order Date]])</f>
        <v>2015</v>
      </c>
      <c r="D739" t="s">
        <v>1508</v>
      </c>
      <c r="E739" t="s">
        <v>23</v>
      </c>
      <c r="F739" t="s">
        <v>34</v>
      </c>
      <c r="G739" t="s">
        <v>47</v>
      </c>
      <c r="H739" t="s">
        <v>2096</v>
      </c>
      <c r="I739" s="7">
        <v>168.46</v>
      </c>
      <c r="J739" s="8">
        <v>2</v>
      </c>
      <c r="K739" s="7">
        <v>-29.48</v>
      </c>
    </row>
    <row r="740" spans="1:11" x14ac:dyDescent="0.3">
      <c r="A740" s="2">
        <v>42070</v>
      </c>
      <c r="B740" s="9">
        <f>MONTH(Table1[[#This Row],[Order Date]])</f>
        <v>3</v>
      </c>
      <c r="C740" s="9">
        <f>YEAR(Table1[[#This Row],[Order Date]])</f>
        <v>2015</v>
      </c>
      <c r="D740" t="s">
        <v>1508</v>
      </c>
      <c r="E740" t="s">
        <v>23</v>
      </c>
      <c r="F740" t="s">
        <v>34</v>
      </c>
      <c r="G740" t="s">
        <v>47</v>
      </c>
      <c r="H740" t="s">
        <v>2098</v>
      </c>
      <c r="I740" s="7">
        <v>282.89</v>
      </c>
      <c r="J740" s="8">
        <v>9</v>
      </c>
      <c r="K740" s="7">
        <v>56.58</v>
      </c>
    </row>
    <row r="741" spans="1:11" x14ac:dyDescent="0.3">
      <c r="A741" s="2">
        <v>42072</v>
      </c>
      <c r="B741" s="9">
        <f>MONTH(Table1[[#This Row],[Order Date]])</f>
        <v>3</v>
      </c>
      <c r="C741" s="9">
        <f>YEAR(Table1[[#This Row],[Order Date]])</f>
        <v>2015</v>
      </c>
      <c r="D741" t="s">
        <v>1615</v>
      </c>
      <c r="E741" t="s">
        <v>237</v>
      </c>
      <c r="F741" t="s">
        <v>11</v>
      </c>
      <c r="G741" t="s">
        <v>63</v>
      </c>
      <c r="H741" t="s">
        <v>2026</v>
      </c>
      <c r="I741" s="7">
        <v>200.98</v>
      </c>
      <c r="J741" s="8">
        <v>7</v>
      </c>
      <c r="K741" s="7">
        <v>62.81</v>
      </c>
    </row>
    <row r="742" spans="1:11" x14ac:dyDescent="0.3">
      <c r="A742" s="2">
        <v>42072</v>
      </c>
      <c r="B742" s="9">
        <f>MONTH(Table1[[#This Row],[Order Date]])</f>
        <v>3</v>
      </c>
      <c r="C742" s="9">
        <f>YEAR(Table1[[#This Row],[Order Date]])</f>
        <v>2015</v>
      </c>
      <c r="D742" t="s">
        <v>393</v>
      </c>
      <c r="E742" t="s">
        <v>23</v>
      </c>
      <c r="F742" t="s">
        <v>11</v>
      </c>
      <c r="G742" t="s">
        <v>18</v>
      </c>
      <c r="H742" t="s">
        <v>1289</v>
      </c>
      <c r="I742" s="7">
        <v>36.340000000000003</v>
      </c>
      <c r="J742" s="8">
        <v>3</v>
      </c>
      <c r="K742" s="7">
        <v>-7.27</v>
      </c>
    </row>
    <row r="743" spans="1:11" x14ac:dyDescent="0.3">
      <c r="A743" s="2">
        <v>42072</v>
      </c>
      <c r="B743" s="9">
        <f>MONTH(Table1[[#This Row],[Order Date]])</f>
        <v>3</v>
      </c>
      <c r="C743" s="9">
        <f>YEAR(Table1[[#This Row],[Order Date]])</f>
        <v>2015</v>
      </c>
      <c r="D743" t="s">
        <v>393</v>
      </c>
      <c r="E743" t="s">
        <v>23</v>
      </c>
      <c r="F743" t="s">
        <v>11</v>
      </c>
      <c r="G743" t="s">
        <v>63</v>
      </c>
      <c r="H743" t="s">
        <v>1449</v>
      </c>
      <c r="I743" s="7">
        <v>52.51</v>
      </c>
      <c r="J743" s="8">
        <v>6</v>
      </c>
      <c r="K743" s="7">
        <v>19.690000000000001</v>
      </c>
    </row>
    <row r="744" spans="1:11" x14ac:dyDescent="0.3">
      <c r="A744" s="2">
        <v>42072</v>
      </c>
      <c r="B744" s="9">
        <f>MONTH(Table1[[#This Row],[Order Date]])</f>
        <v>3</v>
      </c>
      <c r="C744" s="9">
        <f>YEAR(Table1[[#This Row],[Order Date]])</f>
        <v>2015</v>
      </c>
      <c r="D744" t="s">
        <v>2007</v>
      </c>
      <c r="E744" t="s">
        <v>27</v>
      </c>
      <c r="F744" t="s">
        <v>11</v>
      </c>
      <c r="G744" t="s">
        <v>18</v>
      </c>
      <c r="H744" t="s">
        <v>2173</v>
      </c>
      <c r="I744" s="7">
        <v>31.44</v>
      </c>
      <c r="J744" s="8">
        <v>3</v>
      </c>
      <c r="K744" s="7">
        <v>8.49</v>
      </c>
    </row>
    <row r="745" spans="1:11" x14ac:dyDescent="0.3">
      <c r="A745" s="2">
        <v>42072</v>
      </c>
      <c r="B745" s="9">
        <f>MONTH(Table1[[#This Row],[Order Date]])</f>
        <v>3</v>
      </c>
      <c r="C745" s="9">
        <f>YEAR(Table1[[#This Row],[Order Date]])</f>
        <v>2015</v>
      </c>
      <c r="D745" t="s">
        <v>2007</v>
      </c>
      <c r="E745" t="s">
        <v>27</v>
      </c>
      <c r="F745" t="s">
        <v>39</v>
      </c>
      <c r="G745" t="s">
        <v>52</v>
      </c>
      <c r="H745" t="s">
        <v>1989</v>
      </c>
      <c r="I745" s="7">
        <v>129.44999999999999</v>
      </c>
      <c r="J745" s="8">
        <v>5</v>
      </c>
      <c r="K745" s="7">
        <v>46.6</v>
      </c>
    </row>
    <row r="746" spans="1:11" x14ac:dyDescent="0.3">
      <c r="A746" s="2">
        <v>42072</v>
      </c>
      <c r="B746" s="9">
        <f>MONTH(Table1[[#This Row],[Order Date]])</f>
        <v>3</v>
      </c>
      <c r="C746" s="9">
        <f>YEAR(Table1[[#This Row],[Order Date]])</f>
        <v>2015</v>
      </c>
      <c r="D746" t="s">
        <v>1269</v>
      </c>
      <c r="E746" t="s">
        <v>600</v>
      </c>
      <c r="F746" t="s">
        <v>11</v>
      </c>
      <c r="G746" t="s">
        <v>92</v>
      </c>
      <c r="H746" t="s">
        <v>112</v>
      </c>
      <c r="I746" s="7">
        <v>137.62</v>
      </c>
      <c r="J746" s="8">
        <v>2</v>
      </c>
      <c r="K746" s="7">
        <v>60.55</v>
      </c>
    </row>
    <row r="747" spans="1:11" x14ac:dyDescent="0.3">
      <c r="A747" s="2">
        <v>42072</v>
      </c>
      <c r="B747" s="9">
        <f>MONTH(Table1[[#This Row],[Order Date]])</f>
        <v>3</v>
      </c>
      <c r="C747" s="9">
        <f>YEAR(Table1[[#This Row],[Order Date]])</f>
        <v>2015</v>
      </c>
      <c r="D747" t="s">
        <v>1269</v>
      </c>
      <c r="E747" t="s">
        <v>144</v>
      </c>
      <c r="F747" t="s">
        <v>11</v>
      </c>
      <c r="G747" t="s">
        <v>18</v>
      </c>
      <c r="H747" t="s">
        <v>2104</v>
      </c>
      <c r="I747" s="7">
        <v>120.33</v>
      </c>
      <c r="J747" s="8">
        <v>1</v>
      </c>
      <c r="K747" s="7">
        <v>31.29</v>
      </c>
    </row>
    <row r="748" spans="1:11" x14ac:dyDescent="0.3">
      <c r="A748" s="2">
        <v>42072</v>
      </c>
      <c r="B748" s="9">
        <f>MONTH(Table1[[#This Row],[Order Date]])</f>
        <v>3</v>
      </c>
      <c r="C748" s="9">
        <f>YEAR(Table1[[#This Row],[Order Date]])</f>
        <v>2015</v>
      </c>
      <c r="D748" t="s">
        <v>1020</v>
      </c>
      <c r="E748" t="s">
        <v>27</v>
      </c>
      <c r="F748" t="s">
        <v>34</v>
      </c>
      <c r="G748" t="s">
        <v>35</v>
      </c>
      <c r="H748" t="s">
        <v>941</v>
      </c>
      <c r="I748" s="7">
        <v>129.57</v>
      </c>
      <c r="J748" s="8">
        <v>2</v>
      </c>
      <c r="K748" s="7">
        <v>-12.96</v>
      </c>
    </row>
    <row r="749" spans="1:11" x14ac:dyDescent="0.3">
      <c r="A749" s="2">
        <v>42072</v>
      </c>
      <c r="B749" s="9">
        <f>MONTH(Table1[[#This Row],[Order Date]])</f>
        <v>3</v>
      </c>
      <c r="C749" s="9">
        <f>YEAR(Table1[[#This Row],[Order Date]])</f>
        <v>2015</v>
      </c>
      <c r="D749" t="s">
        <v>1020</v>
      </c>
      <c r="E749" t="s">
        <v>27</v>
      </c>
      <c r="F749" t="s">
        <v>11</v>
      </c>
      <c r="G749" t="s">
        <v>20</v>
      </c>
      <c r="H749" t="s">
        <v>1353</v>
      </c>
      <c r="I749" s="7">
        <v>6.37</v>
      </c>
      <c r="J749" s="8">
        <v>2</v>
      </c>
      <c r="K749" s="7">
        <v>2.15</v>
      </c>
    </row>
    <row r="750" spans="1:11" x14ac:dyDescent="0.3">
      <c r="A750" s="2">
        <v>42072</v>
      </c>
      <c r="B750" s="9">
        <f>MONTH(Table1[[#This Row],[Order Date]])</f>
        <v>3</v>
      </c>
      <c r="C750" s="9">
        <f>YEAR(Table1[[#This Row],[Order Date]])</f>
        <v>2015</v>
      </c>
      <c r="D750" t="s">
        <v>1698</v>
      </c>
      <c r="E750" t="s">
        <v>95</v>
      </c>
      <c r="F750" t="s">
        <v>34</v>
      </c>
      <c r="G750" t="s">
        <v>47</v>
      </c>
      <c r="H750" t="s">
        <v>1991</v>
      </c>
      <c r="I750" s="7">
        <v>238.15</v>
      </c>
      <c r="J750" s="8">
        <v>3</v>
      </c>
      <c r="K750" s="7">
        <v>89.31</v>
      </c>
    </row>
    <row r="751" spans="1:11" x14ac:dyDescent="0.3">
      <c r="A751" s="2">
        <v>42072</v>
      </c>
      <c r="B751" s="9">
        <f>MONTH(Table1[[#This Row],[Order Date]])</f>
        <v>3</v>
      </c>
      <c r="C751" s="9">
        <f>YEAR(Table1[[#This Row],[Order Date]])</f>
        <v>2015</v>
      </c>
      <c r="D751" t="s">
        <v>668</v>
      </c>
      <c r="E751" t="s">
        <v>108</v>
      </c>
      <c r="F751" t="s">
        <v>11</v>
      </c>
      <c r="G751" t="s">
        <v>16</v>
      </c>
      <c r="H751" t="s">
        <v>384</v>
      </c>
      <c r="I751" s="7">
        <v>7.5</v>
      </c>
      <c r="J751" s="8">
        <v>2</v>
      </c>
      <c r="K751" s="7">
        <v>3.6</v>
      </c>
    </row>
    <row r="752" spans="1:11" x14ac:dyDescent="0.3">
      <c r="A752" s="2">
        <v>42073</v>
      </c>
      <c r="B752" s="9">
        <f>MONTH(Table1[[#This Row],[Order Date]])</f>
        <v>3</v>
      </c>
      <c r="C752" s="9">
        <f>YEAR(Table1[[#This Row],[Order Date]])</f>
        <v>2015</v>
      </c>
      <c r="D752" t="s">
        <v>759</v>
      </c>
      <c r="E752" t="s">
        <v>78</v>
      </c>
      <c r="F752" t="s">
        <v>39</v>
      </c>
      <c r="G752" t="s">
        <v>52</v>
      </c>
      <c r="H752" t="s">
        <v>987</v>
      </c>
      <c r="I752" s="7">
        <v>24</v>
      </c>
      <c r="J752" s="8">
        <v>2</v>
      </c>
      <c r="K752" s="7">
        <v>-2.7</v>
      </c>
    </row>
    <row r="753" spans="1:11" x14ac:dyDescent="0.3">
      <c r="A753" s="2">
        <v>42073</v>
      </c>
      <c r="B753" s="9">
        <f>MONTH(Table1[[#This Row],[Order Date]])</f>
        <v>3</v>
      </c>
      <c r="C753" s="9">
        <f>YEAR(Table1[[#This Row],[Order Date]])</f>
        <v>2015</v>
      </c>
      <c r="D753" t="s">
        <v>759</v>
      </c>
      <c r="E753" t="s">
        <v>78</v>
      </c>
      <c r="F753" t="s">
        <v>34</v>
      </c>
      <c r="G753" t="s">
        <v>74</v>
      </c>
      <c r="H753" t="s">
        <v>137</v>
      </c>
      <c r="I753" s="7">
        <v>35.49</v>
      </c>
      <c r="J753" s="8">
        <v>1</v>
      </c>
      <c r="K753" s="7">
        <v>-15.62</v>
      </c>
    </row>
    <row r="754" spans="1:11" x14ac:dyDescent="0.3">
      <c r="A754" s="2">
        <v>42073</v>
      </c>
      <c r="B754" s="9">
        <f>MONTH(Table1[[#This Row],[Order Date]])</f>
        <v>3</v>
      </c>
      <c r="C754" s="9">
        <f>YEAR(Table1[[#This Row],[Order Date]])</f>
        <v>2015</v>
      </c>
      <c r="D754" t="s">
        <v>759</v>
      </c>
      <c r="E754" t="s">
        <v>78</v>
      </c>
      <c r="F754" t="s">
        <v>39</v>
      </c>
      <c r="G754" t="s">
        <v>52</v>
      </c>
      <c r="H754" t="s">
        <v>2232</v>
      </c>
      <c r="I754" s="7">
        <v>47.98</v>
      </c>
      <c r="J754" s="8">
        <v>2</v>
      </c>
      <c r="K754" s="7">
        <v>0.6</v>
      </c>
    </row>
    <row r="755" spans="1:11" x14ac:dyDescent="0.3">
      <c r="A755" s="2">
        <v>42074</v>
      </c>
      <c r="B755" s="9">
        <f>MONTH(Table1[[#This Row],[Order Date]])</f>
        <v>3</v>
      </c>
      <c r="C755" s="9">
        <f>YEAR(Table1[[#This Row],[Order Date]])</f>
        <v>2015</v>
      </c>
      <c r="D755" t="s">
        <v>1917</v>
      </c>
      <c r="E755" t="s">
        <v>27</v>
      </c>
      <c r="F755" t="s">
        <v>39</v>
      </c>
      <c r="G755" t="s">
        <v>40</v>
      </c>
      <c r="H755" t="s">
        <v>2149</v>
      </c>
      <c r="I755" s="7">
        <v>1212.8499999999999</v>
      </c>
      <c r="J755" s="8">
        <v>7</v>
      </c>
      <c r="K755" s="7">
        <v>106.12</v>
      </c>
    </row>
    <row r="756" spans="1:11" x14ac:dyDescent="0.3">
      <c r="A756" s="2">
        <v>42074</v>
      </c>
      <c r="B756" s="9">
        <f>MONTH(Table1[[#This Row],[Order Date]])</f>
        <v>3</v>
      </c>
      <c r="C756" s="9">
        <f>YEAR(Table1[[#This Row],[Order Date]])</f>
        <v>2015</v>
      </c>
      <c r="D756" t="s">
        <v>1917</v>
      </c>
      <c r="E756" t="s">
        <v>27</v>
      </c>
      <c r="F756" t="s">
        <v>39</v>
      </c>
      <c r="G756" t="s">
        <v>52</v>
      </c>
      <c r="H756" t="s">
        <v>1287</v>
      </c>
      <c r="I756" s="7">
        <v>89.97</v>
      </c>
      <c r="J756" s="8">
        <v>3</v>
      </c>
      <c r="K756" s="7">
        <v>37.79</v>
      </c>
    </row>
    <row r="757" spans="1:11" x14ac:dyDescent="0.3">
      <c r="A757" s="2">
        <v>42074</v>
      </c>
      <c r="B757" s="9">
        <f>MONTH(Table1[[#This Row],[Order Date]])</f>
        <v>3</v>
      </c>
      <c r="C757" s="9">
        <f>YEAR(Table1[[#This Row],[Order Date]])</f>
        <v>2015</v>
      </c>
      <c r="D757" t="s">
        <v>61</v>
      </c>
      <c r="E757" t="s">
        <v>10</v>
      </c>
      <c r="F757" t="s">
        <v>11</v>
      </c>
      <c r="G757" t="s">
        <v>63</v>
      </c>
      <c r="H757" t="s">
        <v>2271</v>
      </c>
      <c r="I757" s="7">
        <v>6.61</v>
      </c>
      <c r="J757" s="8">
        <v>2</v>
      </c>
      <c r="K757" s="7">
        <v>2.15</v>
      </c>
    </row>
    <row r="758" spans="1:11" x14ac:dyDescent="0.3">
      <c r="A758" s="2">
        <v>42074</v>
      </c>
      <c r="B758" s="9">
        <f>MONTH(Table1[[#This Row],[Order Date]])</f>
        <v>3</v>
      </c>
      <c r="C758" s="9">
        <f>YEAR(Table1[[#This Row],[Order Date]])</f>
        <v>2015</v>
      </c>
      <c r="D758" t="s">
        <v>1464</v>
      </c>
      <c r="E758" t="s">
        <v>144</v>
      </c>
      <c r="F758" t="s">
        <v>34</v>
      </c>
      <c r="G758" t="s">
        <v>35</v>
      </c>
      <c r="H758" t="s">
        <v>1333</v>
      </c>
      <c r="I758" s="7">
        <v>1448.82</v>
      </c>
      <c r="J758" s="8">
        <v>10</v>
      </c>
      <c r="K758" s="7">
        <v>209.27</v>
      </c>
    </row>
    <row r="759" spans="1:11" x14ac:dyDescent="0.3">
      <c r="A759" s="2">
        <v>42075</v>
      </c>
      <c r="B759" s="9">
        <f>MONTH(Table1[[#This Row],[Order Date]])</f>
        <v>3</v>
      </c>
      <c r="C759" s="9">
        <f>YEAR(Table1[[#This Row],[Order Date]])</f>
        <v>2015</v>
      </c>
      <c r="D759" t="s">
        <v>282</v>
      </c>
      <c r="E759" t="s">
        <v>23</v>
      </c>
      <c r="F759" t="s">
        <v>39</v>
      </c>
      <c r="G759" t="s">
        <v>293</v>
      </c>
      <c r="H759" t="s">
        <v>2335</v>
      </c>
      <c r="I759" s="7">
        <v>482.34</v>
      </c>
      <c r="J759" s="8">
        <v>4</v>
      </c>
      <c r="K759" s="7">
        <v>-337.64</v>
      </c>
    </row>
    <row r="760" spans="1:11" x14ac:dyDescent="0.3">
      <c r="A760" s="2">
        <v>42075</v>
      </c>
      <c r="B760" s="9">
        <f>MONTH(Table1[[#This Row],[Order Date]])</f>
        <v>3</v>
      </c>
      <c r="C760" s="9">
        <f>YEAR(Table1[[#This Row],[Order Date]])</f>
        <v>2015</v>
      </c>
      <c r="D760" t="s">
        <v>402</v>
      </c>
      <c r="E760" t="s">
        <v>144</v>
      </c>
      <c r="F760" t="s">
        <v>11</v>
      </c>
      <c r="G760" t="s">
        <v>20</v>
      </c>
      <c r="H760" t="s">
        <v>872</v>
      </c>
      <c r="I760" s="7">
        <v>10.75</v>
      </c>
      <c r="J760" s="8">
        <v>4</v>
      </c>
      <c r="K760" s="7">
        <v>3.36</v>
      </c>
    </row>
    <row r="761" spans="1:11" x14ac:dyDescent="0.3">
      <c r="A761" s="2">
        <v>42075</v>
      </c>
      <c r="B761" s="9">
        <f>MONTH(Table1[[#This Row],[Order Date]])</f>
        <v>3</v>
      </c>
      <c r="C761" s="9">
        <f>YEAR(Table1[[#This Row],[Order Date]])</f>
        <v>2015</v>
      </c>
      <c r="D761" t="s">
        <v>979</v>
      </c>
      <c r="E761" t="s">
        <v>23</v>
      </c>
      <c r="F761" t="s">
        <v>39</v>
      </c>
      <c r="G761" t="s">
        <v>52</v>
      </c>
      <c r="H761" t="s">
        <v>1925</v>
      </c>
      <c r="I761" s="7">
        <v>36.78</v>
      </c>
      <c r="J761" s="8">
        <v>2</v>
      </c>
      <c r="K761" s="7">
        <v>10.58</v>
      </c>
    </row>
    <row r="762" spans="1:11" x14ac:dyDescent="0.3">
      <c r="A762" s="2">
        <v>42075</v>
      </c>
      <c r="B762" s="9">
        <f>MONTH(Table1[[#This Row],[Order Date]])</f>
        <v>3</v>
      </c>
      <c r="C762" s="9">
        <f>YEAR(Table1[[#This Row],[Order Date]])</f>
        <v>2015</v>
      </c>
      <c r="D762" t="s">
        <v>1675</v>
      </c>
      <c r="E762" t="s">
        <v>144</v>
      </c>
      <c r="F762" t="s">
        <v>11</v>
      </c>
      <c r="G762" t="s">
        <v>20</v>
      </c>
      <c r="H762" t="s">
        <v>2336</v>
      </c>
      <c r="I762" s="7">
        <v>590.35</v>
      </c>
      <c r="J762" s="8">
        <v>6</v>
      </c>
      <c r="K762" s="7">
        <v>206.62</v>
      </c>
    </row>
    <row r="763" spans="1:11" x14ac:dyDescent="0.3">
      <c r="A763" s="2">
        <v>42075</v>
      </c>
      <c r="B763" s="9">
        <f>MONTH(Table1[[#This Row],[Order Date]])</f>
        <v>3</v>
      </c>
      <c r="C763" s="9">
        <f>YEAR(Table1[[#This Row],[Order Date]])</f>
        <v>2015</v>
      </c>
      <c r="D763" t="s">
        <v>1603</v>
      </c>
      <c r="E763" t="s">
        <v>27</v>
      </c>
      <c r="F763" t="s">
        <v>34</v>
      </c>
      <c r="G763" t="s">
        <v>74</v>
      </c>
      <c r="H763" t="s">
        <v>2126</v>
      </c>
      <c r="I763" s="7">
        <v>359.5</v>
      </c>
      <c r="J763" s="8">
        <v>3</v>
      </c>
      <c r="K763" s="7">
        <v>-29.61</v>
      </c>
    </row>
    <row r="764" spans="1:11" x14ac:dyDescent="0.3">
      <c r="A764" s="2">
        <v>42075</v>
      </c>
      <c r="B764" s="9">
        <f>MONTH(Table1[[#This Row],[Order Date]])</f>
        <v>3</v>
      </c>
      <c r="C764" s="9">
        <f>YEAR(Table1[[#This Row],[Order Date]])</f>
        <v>2015</v>
      </c>
      <c r="D764" t="s">
        <v>1317</v>
      </c>
      <c r="E764" t="s">
        <v>237</v>
      </c>
      <c r="F764" t="s">
        <v>11</v>
      </c>
      <c r="G764" t="s">
        <v>20</v>
      </c>
      <c r="H764" t="s">
        <v>1110</v>
      </c>
      <c r="I764" s="7">
        <v>95.97</v>
      </c>
      <c r="J764" s="8">
        <v>5</v>
      </c>
      <c r="K764" s="7">
        <v>-73.58</v>
      </c>
    </row>
    <row r="765" spans="1:11" x14ac:dyDescent="0.3">
      <c r="A765" s="2">
        <v>42075</v>
      </c>
      <c r="B765" s="9">
        <f>MONTH(Table1[[#This Row],[Order Date]])</f>
        <v>3</v>
      </c>
      <c r="C765" s="9">
        <f>YEAR(Table1[[#This Row],[Order Date]])</f>
        <v>2015</v>
      </c>
      <c r="D765" t="s">
        <v>1317</v>
      </c>
      <c r="E765" t="s">
        <v>237</v>
      </c>
      <c r="F765" t="s">
        <v>39</v>
      </c>
      <c r="G765" t="s">
        <v>40</v>
      </c>
      <c r="H765" t="s">
        <v>2255</v>
      </c>
      <c r="I765" s="7">
        <v>105.58</v>
      </c>
      <c r="J765" s="8">
        <v>2</v>
      </c>
      <c r="K765" s="7">
        <v>9.24</v>
      </c>
    </row>
    <row r="766" spans="1:11" x14ac:dyDescent="0.3">
      <c r="A766" s="2">
        <v>42075</v>
      </c>
      <c r="B766" s="9">
        <f>MONTH(Table1[[#This Row],[Order Date]])</f>
        <v>3</v>
      </c>
      <c r="C766" s="9">
        <f>YEAR(Table1[[#This Row],[Order Date]])</f>
        <v>2015</v>
      </c>
      <c r="D766" t="s">
        <v>613</v>
      </c>
      <c r="E766" t="s">
        <v>673</v>
      </c>
      <c r="F766" t="s">
        <v>11</v>
      </c>
      <c r="G766" t="s">
        <v>12</v>
      </c>
      <c r="H766" t="s">
        <v>2337</v>
      </c>
      <c r="I766" s="7">
        <v>184.66</v>
      </c>
      <c r="J766" s="8">
        <v>7</v>
      </c>
      <c r="K766" s="7">
        <v>84.94</v>
      </c>
    </row>
    <row r="767" spans="1:11" x14ac:dyDescent="0.3">
      <c r="A767" s="2">
        <v>42098</v>
      </c>
      <c r="B767" s="9">
        <f>MONTH(Table1[[#This Row],[Order Date]])</f>
        <v>4</v>
      </c>
      <c r="C767" s="9">
        <f>YEAR(Table1[[#This Row],[Order Date]])</f>
        <v>2015</v>
      </c>
      <c r="D767" t="s">
        <v>532</v>
      </c>
      <c r="E767" t="s">
        <v>144</v>
      </c>
      <c r="F767" t="s">
        <v>34</v>
      </c>
      <c r="G767" t="s">
        <v>47</v>
      </c>
      <c r="H767" t="s">
        <v>1950</v>
      </c>
      <c r="I767" s="7">
        <v>108.4</v>
      </c>
      <c r="J767" s="8">
        <v>2</v>
      </c>
      <c r="K767" s="7">
        <v>22.76</v>
      </c>
    </row>
    <row r="768" spans="1:11" x14ac:dyDescent="0.3">
      <c r="A768" s="2">
        <v>42098</v>
      </c>
      <c r="B768" s="9">
        <f>MONTH(Table1[[#This Row],[Order Date]])</f>
        <v>4</v>
      </c>
      <c r="C768" s="9">
        <f>YEAR(Table1[[#This Row],[Order Date]])</f>
        <v>2015</v>
      </c>
      <c r="D768" t="s">
        <v>532</v>
      </c>
      <c r="E768" t="s">
        <v>144</v>
      </c>
      <c r="F768" t="s">
        <v>11</v>
      </c>
      <c r="G768" t="s">
        <v>20</v>
      </c>
      <c r="H768" t="s">
        <v>362</v>
      </c>
      <c r="I768" s="7">
        <v>82.34</v>
      </c>
      <c r="J768" s="8">
        <v>3</v>
      </c>
      <c r="K768" s="7">
        <v>27.79</v>
      </c>
    </row>
    <row r="769" spans="1:11" x14ac:dyDescent="0.3">
      <c r="A769" s="2">
        <v>42098</v>
      </c>
      <c r="B769" s="9">
        <f>MONTH(Table1[[#This Row],[Order Date]])</f>
        <v>4</v>
      </c>
      <c r="C769" s="9">
        <f>YEAR(Table1[[#This Row],[Order Date]])</f>
        <v>2015</v>
      </c>
      <c r="D769" t="s">
        <v>532</v>
      </c>
      <c r="E769" t="s">
        <v>144</v>
      </c>
      <c r="F769" t="s">
        <v>11</v>
      </c>
      <c r="G769" t="s">
        <v>20</v>
      </c>
      <c r="H769" t="s">
        <v>412</v>
      </c>
      <c r="I769" s="7">
        <v>9.09</v>
      </c>
      <c r="J769" s="8">
        <v>4</v>
      </c>
      <c r="K769" s="7">
        <v>3.29</v>
      </c>
    </row>
    <row r="770" spans="1:11" x14ac:dyDescent="0.3">
      <c r="A770" s="2">
        <v>42098</v>
      </c>
      <c r="B770" s="9">
        <f>MONTH(Table1[[#This Row],[Order Date]])</f>
        <v>4</v>
      </c>
      <c r="C770" s="9">
        <f>YEAR(Table1[[#This Row],[Order Date]])</f>
        <v>2015</v>
      </c>
      <c r="D770" t="s">
        <v>406</v>
      </c>
      <c r="E770" t="s">
        <v>108</v>
      </c>
      <c r="F770" t="s">
        <v>11</v>
      </c>
      <c r="G770" t="s">
        <v>92</v>
      </c>
      <c r="H770" t="s">
        <v>1951</v>
      </c>
      <c r="I770" s="7">
        <v>644.08000000000004</v>
      </c>
      <c r="J770" s="8">
        <v>2</v>
      </c>
      <c r="K770" s="7">
        <v>107.35</v>
      </c>
    </row>
    <row r="771" spans="1:11" x14ac:dyDescent="0.3">
      <c r="A771" s="2">
        <v>42098</v>
      </c>
      <c r="B771" s="9">
        <f>MONTH(Table1[[#This Row],[Order Date]])</f>
        <v>4</v>
      </c>
      <c r="C771" s="9">
        <f>YEAR(Table1[[#This Row],[Order Date]])</f>
        <v>2015</v>
      </c>
      <c r="D771" t="s">
        <v>406</v>
      </c>
      <c r="E771" t="s">
        <v>108</v>
      </c>
      <c r="F771" t="s">
        <v>11</v>
      </c>
      <c r="G771" t="s">
        <v>20</v>
      </c>
      <c r="H771" t="s">
        <v>1655</v>
      </c>
      <c r="I771" s="7">
        <v>12.76</v>
      </c>
      <c r="J771" s="8">
        <v>2</v>
      </c>
      <c r="K771" s="7">
        <v>5.87</v>
      </c>
    </row>
    <row r="772" spans="1:11" x14ac:dyDescent="0.3">
      <c r="A772" s="2">
        <v>42099</v>
      </c>
      <c r="B772" s="9">
        <f>MONTH(Table1[[#This Row],[Order Date]])</f>
        <v>4</v>
      </c>
      <c r="C772" s="9">
        <f>YEAR(Table1[[#This Row],[Order Date]])</f>
        <v>2015</v>
      </c>
      <c r="D772" t="s">
        <v>1446</v>
      </c>
      <c r="E772" t="s">
        <v>144</v>
      </c>
      <c r="F772" t="s">
        <v>34</v>
      </c>
      <c r="G772" t="s">
        <v>47</v>
      </c>
      <c r="H772" t="s">
        <v>2016</v>
      </c>
      <c r="I772" s="7">
        <v>26.8</v>
      </c>
      <c r="J772" s="8">
        <v>2</v>
      </c>
      <c r="K772" s="7">
        <v>12.86</v>
      </c>
    </row>
    <row r="773" spans="1:11" x14ac:dyDescent="0.3">
      <c r="A773" s="2">
        <v>42099</v>
      </c>
      <c r="B773" s="9">
        <f>MONTH(Table1[[#This Row],[Order Date]])</f>
        <v>4</v>
      </c>
      <c r="C773" s="9">
        <f>YEAR(Table1[[#This Row],[Order Date]])</f>
        <v>2015</v>
      </c>
      <c r="D773" t="s">
        <v>580</v>
      </c>
      <c r="E773" t="s">
        <v>15</v>
      </c>
      <c r="F773" t="s">
        <v>34</v>
      </c>
      <c r="G773" t="s">
        <v>47</v>
      </c>
      <c r="H773" t="s">
        <v>991</v>
      </c>
      <c r="I773" s="7">
        <v>22.29</v>
      </c>
      <c r="J773" s="8">
        <v>7</v>
      </c>
      <c r="K773" s="7">
        <v>-8.92</v>
      </c>
    </row>
    <row r="774" spans="1:11" x14ac:dyDescent="0.3">
      <c r="A774" s="2">
        <v>42099</v>
      </c>
      <c r="B774" s="9">
        <f>MONTH(Table1[[#This Row],[Order Date]])</f>
        <v>4</v>
      </c>
      <c r="C774" s="9">
        <f>YEAR(Table1[[#This Row],[Order Date]])</f>
        <v>2015</v>
      </c>
      <c r="D774" t="s">
        <v>431</v>
      </c>
      <c r="E774" t="s">
        <v>10</v>
      </c>
      <c r="F774" t="s">
        <v>39</v>
      </c>
      <c r="G774" t="s">
        <v>40</v>
      </c>
      <c r="H774" t="s">
        <v>2017</v>
      </c>
      <c r="I774" s="7">
        <v>946.34</v>
      </c>
      <c r="J774" s="8">
        <v>7</v>
      </c>
      <c r="K774" s="7">
        <v>118.29</v>
      </c>
    </row>
    <row r="775" spans="1:11" x14ac:dyDescent="0.3">
      <c r="A775" s="2">
        <v>42100</v>
      </c>
      <c r="B775" s="9">
        <f>MONTH(Table1[[#This Row],[Order Date]])</f>
        <v>4</v>
      </c>
      <c r="C775" s="9">
        <f>YEAR(Table1[[#This Row],[Order Date]])</f>
        <v>2015</v>
      </c>
      <c r="D775" t="s">
        <v>1521</v>
      </c>
      <c r="E775" t="s">
        <v>144</v>
      </c>
      <c r="F775" t="s">
        <v>11</v>
      </c>
      <c r="G775" t="s">
        <v>12</v>
      </c>
      <c r="H775" t="s">
        <v>962</v>
      </c>
      <c r="I775" s="7">
        <v>30.44</v>
      </c>
      <c r="J775" s="8">
        <v>4</v>
      </c>
      <c r="K775" s="7">
        <v>14.31</v>
      </c>
    </row>
    <row r="776" spans="1:11" x14ac:dyDescent="0.3">
      <c r="A776" s="2">
        <v>42100</v>
      </c>
      <c r="B776" s="9">
        <f>MONTH(Table1[[#This Row],[Order Date]])</f>
        <v>4</v>
      </c>
      <c r="C776" s="9">
        <f>YEAR(Table1[[#This Row],[Order Date]])</f>
        <v>2015</v>
      </c>
      <c r="D776" t="s">
        <v>1521</v>
      </c>
      <c r="E776" t="s">
        <v>144</v>
      </c>
      <c r="F776" t="s">
        <v>34</v>
      </c>
      <c r="G776" t="s">
        <v>47</v>
      </c>
      <c r="H776" t="s">
        <v>1818</v>
      </c>
      <c r="I776" s="7">
        <v>35.28</v>
      </c>
      <c r="J776" s="8">
        <v>3</v>
      </c>
      <c r="K776" s="7">
        <v>12</v>
      </c>
    </row>
    <row r="777" spans="1:11" x14ac:dyDescent="0.3">
      <c r="A777" s="2">
        <v>42100</v>
      </c>
      <c r="B777" s="9">
        <f>MONTH(Table1[[#This Row],[Order Date]])</f>
        <v>4</v>
      </c>
      <c r="C777" s="9">
        <f>YEAR(Table1[[#This Row],[Order Date]])</f>
        <v>2015</v>
      </c>
      <c r="D777" t="s">
        <v>2054</v>
      </c>
      <c r="E777" t="s">
        <v>27</v>
      </c>
      <c r="F777" t="s">
        <v>39</v>
      </c>
      <c r="G777" t="s">
        <v>52</v>
      </c>
      <c r="H777" t="s">
        <v>2055</v>
      </c>
      <c r="I777" s="7">
        <v>989.97</v>
      </c>
      <c r="J777" s="8">
        <v>3</v>
      </c>
      <c r="K777" s="7">
        <v>395.99</v>
      </c>
    </row>
    <row r="778" spans="1:11" x14ac:dyDescent="0.3">
      <c r="A778" s="2">
        <v>42101</v>
      </c>
      <c r="B778" s="9">
        <f>MONTH(Table1[[#This Row],[Order Date]])</f>
        <v>4</v>
      </c>
      <c r="C778" s="9">
        <f>YEAR(Table1[[#This Row],[Order Date]])</f>
        <v>2015</v>
      </c>
      <c r="D778" t="s">
        <v>1759</v>
      </c>
      <c r="E778" t="s">
        <v>152</v>
      </c>
      <c r="F778" t="s">
        <v>39</v>
      </c>
      <c r="G778" t="s">
        <v>40</v>
      </c>
      <c r="H778" t="s">
        <v>2099</v>
      </c>
      <c r="I778" s="7">
        <v>1099.96</v>
      </c>
      <c r="J778" s="8">
        <v>4</v>
      </c>
      <c r="K778" s="7">
        <v>285.99</v>
      </c>
    </row>
    <row r="779" spans="1:11" x14ac:dyDescent="0.3">
      <c r="A779" s="2">
        <v>42101</v>
      </c>
      <c r="B779" s="9">
        <f>MONTH(Table1[[#This Row],[Order Date]])</f>
        <v>4</v>
      </c>
      <c r="C779" s="9">
        <f>YEAR(Table1[[#This Row],[Order Date]])</f>
        <v>2015</v>
      </c>
      <c r="D779" t="s">
        <v>1622</v>
      </c>
      <c r="E779" t="s">
        <v>144</v>
      </c>
      <c r="F779" t="s">
        <v>11</v>
      </c>
      <c r="G779" t="s">
        <v>24</v>
      </c>
      <c r="H779" t="s">
        <v>2100</v>
      </c>
      <c r="I779" s="7">
        <v>15.48</v>
      </c>
      <c r="J779" s="8">
        <v>3</v>
      </c>
      <c r="K779" s="7">
        <v>4.49</v>
      </c>
    </row>
    <row r="780" spans="1:11" x14ac:dyDescent="0.3">
      <c r="A780" s="2">
        <v>42101</v>
      </c>
      <c r="B780" s="9">
        <f>MONTH(Table1[[#This Row],[Order Date]])</f>
        <v>4</v>
      </c>
      <c r="C780" s="9">
        <f>YEAR(Table1[[#This Row],[Order Date]])</f>
        <v>2015</v>
      </c>
      <c r="D780" t="s">
        <v>1338</v>
      </c>
      <c r="E780" t="s">
        <v>27</v>
      </c>
      <c r="F780" t="s">
        <v>11</v>
      </c>
      <c r="G780" t="s">
        <v>20</v>
      </c>
      <c r="H780" t="s">
        <v>800</v>
      </c>
      <c r="I780" s="7">
        <v>22.85</v>
      </c>
      <c r="J780" s="8">
        <v>2</v>
      </c>
      <c r="K780" s="7">
        <v>7.43</v>
      </c>
    </row>
    <row r="781" spans="1:11" x14ac:dyDescent="0.3">
      <c r="A781" s="2">
        <v>42103</v>
      </c>
      <c r="B781" s="9">
        <f>MONTH(Table1[[#This Row],[Order Date]])</f>
        <v>4</v>
      </c>
      <c r="C781" s="9">
        <f>YEAR(Table1[[#This Row],[Order Date]])</f>
        <v>2015</v>
      </c>
      <c r="D781" t="s">
        <v>1098</v>
      </c>
      <c r="E781" t="s">
        <v>30</v>
      </c>
      <c r="F781" t="s">
        <v>11</v>
      </c>
      <c r="G781" t="s">
        <v>12</v>
      </c>
      <c r="H781" t="s">
        <v>2174</v>
      </c>
      <c r="I781" s="7">
        <v>279.89999999999998</v>
      </c>
      <c r="J781" s="8">
        <v>5</v>
      </c>
      <c r="K781" s="7">
        <v>137.15</v>
      </c>
    </row>
    <row r="782" spans="1:11" x14ac:dyDescent="0.3">
      <c r="A782" s="2">
        <v>42103</v>
      </c>
      <c r="B782" s="9">
        <f>MONTH(Table1[[#This Row],[Order Date]])</f>
        <v>4</v>
      </c>
      <c r="C782" s="9">
        <f>YEAR(Table1[[#This Row],[Order Date]])</f>
        <v>2015</v>
      </c>
      <c r="D782" t="s">
        <v>1098</v>
      </c>
      <c r="E782" t="s">
        <v>30</v>
      </c>
      <c r="F782" t="s">
        <v>39</v>
      </c>
      <c r="G782" t="s">
        <v>52</v>
      </c>
      <c r="H782" t="s">
        <v>2175</v>
      </c>
      <c r="I782" s="7">
        <v>619.95000000000005</v>
      </c>
      <c r="J782" s="8">
        <v>5</v>
      </c>
      <c r="K782" s="7">
        <v>111.59</v>
      </c>
    </row>
    <row r="783" spans="1:11" x14ac:dyDescent="0.3">
      <c r="A783" s="2">
        <v>42104</v>
      </c>
      <c r="B783" s="9">
        <f>MONTH(Table1[[#This Row],[Order Date]])</f>
        <v>4</v>
      </c>
      <c r="C783" s="9">
        <f>YEAR(Table1[[#This Row],[Order Date]])</f>
        <v>2015</v>
      </c>
      <c r="D783" t="s">
        <v>1720</v>
      </c>
      <c r="E783" t="s">
        <v>30</v>
      </c>
      <c r="F783" t="s">
        <v>34</v>
      </c>
      <c r="G783" t="s">
        <v>35</v>
      </c>
      <c r="H783" t="s">
        <v>364</v>
      </c>
      <c r="I783" s="7">
        <v>392.94</v>
      </c>
      <c r="J783" s="8">
        <v>3</v>
      </c>
      <c r="K783" s="7">
        <v>43.22</v>
      </c>
    </row>
    <row r="784" spans="1:11" x14ac:dyDescent="0.3">
      <c r="A784" s="2">
        <v>42104</v>
      </c>
      <c r="B784" s="9">
        <f>MONTH(Table1[[#This Row],[Order Date]])</f>
        <v>4</v>
      </c>
      <c r="C784" s="9">
        <f>YEAR(Table1[[#This Row],[Order Date]])</f>
        <v>2015</v>
      </c>
      <c r="D784" t="s">
        <v>408</v>
      </c>
      <c r="E784" t="s">
        <v>27</v>
      </c>
      <c r="F784" t="s">
        <v>11</v>
      </c>
      <c r="G784" t="s">
        <v>18</v>
      </c>
      <c r="H784" t="s">
        <v>2047</v>
      </c>
      <c r="I784" s="7">
        <v>26.96</v>
      </c>
      <c r="J784" s="8">
        <v>2</v>
      </c>
      <c r="K784" s="7">
        <v>7.01</v>
      </c>
    </row>
    <row r="785" spans="1:11" x14ac:dyDescent="0.3">
      <c r="A785" s="2">
        <v>42104</v>
      </c>
      <c r="B785" s="9">
        <f>MONTH(Table1[[#This Row],[Order Date]])</f>
        <v>4</v>
      </c>
      <c r="C785" s="9">
        <f>YEAR(Table1[[#This Row],[Order Date]])</f>
        <v>2015</v>
      </c>
      <c r="D785" t="s">
        <v>1511</v>
      </c>
      <c r="E785" t="s">
        <v>23</v>
      </c>
      <c r="F785" t="s">
        <v>34</v>
      </c>
      <c r="G785" t="s">
        <v>47</v>
      </c>
      <c r="H785" t="s">
        <v>1013</v>
      </c>
      <c r="I785" s="7">
        <v>64.94</v>
      </c>
      <c r="J785" s="8">
        <v>3</v>
      </c>
      <c r="K785" s="7">
        <v>6.49</v>
      </c>
    </row>
    <row r="786" spans="1:11" x14ac:dyDescent="0.3">
      <c r="A786" s="2">
        <v>42104</v>
      </c>
      <c r="B786" s="9">
        <f>MONTH(Table1[[#This Row],[Order Date]])</f>
        <v>4</v>
      </c>
      <c r="C786" s="9">
        <f>YEAR(Table1[[#This Row],[Order Date]])</f>
        <v>2015</v>
      </c>
      <c r="D786" t="s">
        <v>1511</v>
      </c>
      <c r="E786" t="s">
        <v>23</v>
      </c>
      <c r="F786" t="s">
        <v>11</v>
      </c>
      <c r="G786" t="s">
        <v>12</v>
      </c>
      <c r="H786" t="s">
        <v>2233</v>
      </c>
      <c r="I786" s="7">
        <v>20.74</v>
      </c>
      <c r="J786" s="8">
        <v>4</v>
      </c>
      <c r="K786" s="7">
        <v>7.26</v>
      </c>
    </row>
    <row r="787" spans="1:11" x14ac:dyDescent="0.3">
      <c r="A787" s="2">
        <v>42106</v>
      </c>
      <c r="B787" s="9">
        <f>MONTH(Table1[[#This Row],[Order Date]])</f>
        <v>4</v>
      </c>
      <c r="C787" s="9">
        <f>YEAR(Table1[[#This Row],[Order Date]])</f>
        <v>2015</v>
      </c>
      <c r="D787" t="s">
        <v>2338</v>
      </c>
      <c r="E787" t="s">
        <v>120</v>
      </c>
      <c r="F787" t="s">
        <v>11</v>
      </c>
      <c r="G787" t="s">
        <v>20</v>
      </c>
      <c r="H787" t="s">
        <v>845</v>
      </c>
      <c r="I787" s="7">
        <v>8.23</v>
      </c>
      <c r="J787" s="8">
        <v>3</v>
      </c>
      <c r="K787" s="7">
        <v>-6.03</v>
      </c>
    </row>
    <row r="788" spans="1:11" x14ac:dyDescent="0.3">
      <c r="A788" s="2">
        <v>42106</v>
      </c>
      <c r="B788" s="9">
        <f>MONTH(Table1[[#This Row],[Order Date]])</f>
        <v>4</v>
      </c>
      <c r="C788" s="9">
        <f>YEAR(Table1[[#This Row],[Order Date]])</f>
        <v>2015</v>
      </c>
      <c r="D788" t="s">
        <v>2238</v>
      </c>
      <c r="E788" t="s">
        <v>144</v>
      </c>
      <c r="F788" t="s">
        <v>34</v>
      </c>
      <c r="G788" t="s">
        <v>47</v>
      </c>
      <c r="H788" t="s">
        <v>2003</v>
      </c>
      <c r="I788" s="7">
        <v>28.44</v>
      </c>
      <c r="J788" s="8">
        <v>3</v>
      </c>
      <c r="K788" s="7">
        <v>11.38</v>
      </c>
    </row>
    <row r="789" spans="1:11" x14ac:dyDescent="0.3">
      <c r="A789" s="2">
        <v>42106</v>
      </c>
      <c r="B789" s="9">
        <f>MONTH(Table1[[#This Row],[Order Date]])</f>
        <v>4</v>
      </c>
      <c r="C789" s="9">
        <f>YEAR(Table1[[#This Row],[Order Date]])</f>
        <v>2015</v>
      </c>
      <c r="D789" t="s">
        <v>1230</v>
      </c>
      <c r="E789" t="s">
        <v>144</v>
      </c>
      <c r="F789" t="s">
        <v>11</v>
      </c>
      <c r="G789" t="s">
        <v>63</v>
      </c>
      <c r="H789" t="s">
        <v>2028</v>
      </c>
      <c r="I789" s="7">
        <v>17.940000000000001</v>
      </c>
      <c r="J789" s="8">
        <v>3</v>
      </c>
      <c r="K789" s="7">
        <v>8.7899999999999991</v>
      </c>
    </row>
    <row r="790" spans="1:11" x14ac:dyDescent="0.3">
      <c r="A790" s="2">
        <v>42106</v>
      </c>
      <c r="B790" s="9">
        <f>MONTH(Table1[[#This Row],[Order Date]])</f>
        <v>4</v>
      </c>
      <c r="C790" s="9">
        <f>YEAR(Table1[[#This Row],[Order Date]])</f>
        <v>2015</v>
      </c>
      <c r="D790" t="s">
        <v>2024</v>
      </c>
      <c r="E790" t="s">
        <v>117</v>
      </c>
      <c r="F790" t="s">
        <v>11</v>
      </c>
      <c r="G790" t="s">
        <v>20</v>
      </c>
      <c r="H790" t="s">
        <v>2082</v>
      </c>
      <c r="I790" s="7">
        <v>1598.06</v>
      </c>
      <c r="J790" s="8">
        <v>7</v>
      </c>
      <c r="K790" s="7">
        <v>-1065.3699999999999</v>
      </c>
    </row>
    <row r="791" spans="1:11" x14ac:dyDescent="0.3">
      <c r="A791" s="2">
        <v>42106</v>
      </c>
      <c r="B791" s="9">
        <f>MONTH(Table1[[#This Row],[Order Date]])</f>
        <v>4</v>
      </c>
      <c r="C791" s="9">
        <f>YEAR(Table1[[#This Row],[Order Date]])</f>
        <v>2015</v>
      </c>
      <c r="D791" t="s">
        <v>969</v>
      </c>
      <c r="E791" t="s">
        <v>27</v>
      </c>
      <c r="F791" t="s">
        <v>11</v>
      </c>
      <c r="G791" t="s">
        <v>63</v>
      </c>
      <c r="H791" t="s">
        <v>1993</v>
      </c>
      <c r="I791" s="7">
        <v>271.44</v>
      </c>
      <c r="J791" s="8">
        <v>3</v>
      </c>
      <c r="K791" s="7">
        <v>122.15</v>
      </c>
    </row>
    <row r="792" spans="1:11" x14ac:dyDescent="0.3">
      <c r="A792" s="2">
        <v>42106</v>
      </c>
      <c r="B792" s="9">
        <f>MONTH(Table1[[#This Row],[Order Date]])</f>
        <v>4</v>
      </c>
      <c r="C792" s="9">
        <f>YEAR(Table1[[#This Row],[Order Date]])</f>
        <v>2015</v>
      </c>
      <c r="D792" t="s">
        <v>969</v>
      </c>
      <c r="E792" t="s">
        <v>27</v>
      </c>
      <c r="F792" t="s">
        <v>39</v>
      </c>
      <c r="G792" t="s">
        <v>40</v>
      </c>
      <c r="H792" t="s">
        <v>2339</v>
      </c>
      <c r="I792" s="7">
        <v>110.35</v>
      </c>
      <c r="J792" s="8">
        <v>3</v>
      </c>
      <c r="K792" s="7">
        <v>8.2799999999999994</v>
      </c>
    </row>
    <row r="793" spans="1:11" x14ac:dyDescent="0.3">
      <c r="A793" s="2">
        <v>42106</v>
      </c>
      <c r="B793" s="9">
        <f>MONTH(Table1[[#This Row],[Order Date]])</f>
        <v>4</v>
      </c>
      <c r="C793" s="9">
        <f>YEAR(Table1[[#This Row],[Order Date]])</f>
        <v>2015</v>
      </c>
      <c r="D793" t="s">
        <v>1559</v>
      </c>
      <c r="E793" t="s">
        <v>27</v>
      </c>
      <c r="F793" t="s">
        <v>11</v>
      </c>
      <c r="G793" t="s">
        <v>24</v>
      </c>
      <c r="H793" t="s">
        <v>283</v>
      </c>
      <c r="I793" s="7">
        <v>16.899999999999999</v>
      </c>
      <c r="J793" s="8">
        <v>5</v>
      </c>
      <c r="K793" s="7">
        <v>6.25</v>
      </c>
    </row>
    <row r="794" spans="1:11" x14ac:dyDescent="0.3">
      <c r="A794" s="2">
        <v>42125</v>
      </c>
      <c r="B794" s="9">
        <f>MONTH(Table1[[#This Row],[Order Date]])</f>
        <v>5</v>
      </c>
      <c r="C794" s="9">
        <f>YEAR(Table1[[#This Row],[Order Date]])</f>
        <v>2015</v>
      </c>
      <c r="D794" t="s">
        <v>644</v>
      </c>
      <c r="E794" t="s">
        <v>144</v>
      </c>
      <c r="F794" t="s">
        <v>11</v>
      </c>
      <c r="G794" t="s">
        <v>24</v>
      </c>
      <c r="H794" t="s">
        <v>1322</v>
      </c>
      <c r="I794" s="7">
        <v>59.52</v>
      </c>
      <c r="J794" s="8">
        <v>3</v>
      </c>
      <c r="K794" s="7">
        <v>15.48</v>
      </c>
    </row>
    <row r="795" spans="1:11" x14ac:dyDescent="0.3">
      <c r="A795" s="2">
        <v>42127</v>
      </c>
      <c r="B795" s="9">
        <f>MONTH(Table1[[#This Row],[Order Date]])</f>
        <v>5</v>
      </c>
      <c r="C795" s="9">
        <f>YEAR(Table1[[#This Row],[Order Date]])</f>
        <v>2015</v>
      </c>
      <c r="D795" t="s">
        <v>1003</v>
      </c>
      <c r="E795" t="s">
        <v>144</v>
      </c>
      <c r="F795" t="s">
        <v>11</v>
      </c>
      <c r="G795" t="s">
        <v>18</v>
      </c>
      <c r="H795" t="s">
        <v>1811</v>
      </c>
      <c r="I795" s="7">
        <v>563.4</v>
      </c>
      <c r="J795" s="8">
        <v>4</v>
      </c>
      <c r="K795" s="7">
        <v>67.61</v>
      </c>
    </row>
    <row r="796" spans="1:11" x14ac:dyDescent="0.3">
      <c r="A796" s="2">
        <v>42127</v>
      </c>
      <c r="B796" s="9">
        <f>MONTH(Table1[[#This Row],[Order Date]])</f>
        <v>5</v>
      </c>
      <c r="C796" s="9">
        <f>YEAR(Table1[[#This Row],[Order Date]])</f>
        <v>2015</v>
      </c>
      <c r="D796" t="s">
        <v>1690</v>
      </c>
      <c r="E796" t="s">
        <v>23</v>
      </c>
      <c r="F796" t="s">
        <v>39</v>
      </c>
      <c r="G796" t="s">
        <v>40</v>
      </c>
      <c r="H796" t="s">
        <v>1889</v>
      </c>
      <c r="I796" s="7">
        <v>466.16</v>
      </c>
      <c r="J796" s="8">
        <v>7</v>
      </c>
      <c r="K796" s="7">
        <v>-93.23</v>
      </c>
    </row>
    <row r="797" spans="1:11" x14ac:dyDescent="0.3">
      <c r="A797" s="2">
        <v>42127</v>
      </c>
      <c r="B797" s="9">
        <f>MONTH(Table1[[#This Row],[Order Date]])</f>
        <v>5</v>
      </c>
      <c r="C797" s="9">
        <f>YEAR(Table1[[#This Row],[Order Date]])</f>
        <v>2015</v>
      </c>
      <c r="D797" t="s">
        <v>1890</v>
      </c>
      <c r="E797" t="s">
        <v>23</v>
      </c>
      <c r="F797" t="s">
        <v>34</v>
      </c>
      <c r="G797" t="s">
        <v>47</v>
      </c>
      <c r="H797" t="s">
        <v>1891</v>
      </c>
      <c r="I797" s="7">
        <v>33.57</v>
      </c>
      <c r="J797" s="8">
        <v>2</v>
      </c>
      <c r="K797" s="7">
        <v>-5.45</v>
      </c>
    </row>
    <row r="798" spans="1:11" x14ac:dyDescent="0.3">
      <c r="A798" s="2">
        <v>42127</v>
      </c>
      <c r="B798" s="9">
        <f>MONTH(Table1[[#This Row],[Order Date]])</f>
        <v>5</v>
      </c>
      <c r="C798" s="9">
        <f>YEAR(Table1[[#This Row],[Order Date]])</f>
        <v>2015</v>
      </c>
      <c r="D798" t="s">
        <v>146</v>
      </c>
      <c r="E798" t="s">
        <v>10</v>
      </c>
      <c r="F798" t="s">
        <v>39</v>
      </c>
      <c r="G798" t="s">
        <v>40</v>
      </c>
      <c r="H798" t="s">
        <v>1129</v>
      </c>
      <c r="I798" s="7">
        <v>31.92</v>
      </c>
      <c r="J798" s="8">
        <v>2</v>
      </c>
      <c r="K798" s="7">
        <v>2.39</v>
      </c>
    </row>
    <row r="799" spans="1:11" x14ac:dyDescent="0.3">
      <c r="A799" s="2">
        <v>42127</v>
      </c>
      <c r="B799" s="9">
        <f>MONTH(Table1[[#This Row],[Order Date]])</f>
        <v>5</v>
      </c>
      <c r="C799" s="9">
        <f>YEAR(Table1[[#This Row],[Order Date]])</f>
        <v>2015</v>
      </c>
      <c r="D799" t="s">
        <v>1230</v>
      </c>
      <c r="E799" t="s">
        <v>15</v>
      </c>
      <c r="F799" t="s">
        <v>11</v>
      </c>
      <c r="G799" t="s">
        <v>92</v>
      </c>
      <c r="H799" t="s">
        <v>1791</v>
      </c>
      <c r="I799" s="7">
        <v>180.98</v>
      </c>
      <c r="J799" s="8">
        <v>5</v>
      </c>
      <c r="K799" s="7">
        <v>-470.55</v>
      </c>
    </row>
    <row r="800" spans="1:11" x14ac:dyDescent="0.3">
      <c r="A800" s="2">
        <v>42128</v>
      </c>
      <c r="B800" s="9">
        <f>MONTH(Table1[[#This Row],[Order Date]])</f>
        <v>5</v>
      </c>
      <c r="C800" s="9">
        <f>YEAR(Table1[[#This Row],[Order Date]])</f>
        <v>2015</v>
      </c>
      <c r="D800" t="s">
        <v>767</v>
      </c>
      <c r="E800" t="s">
        <v>23</v>
      </c>
      <c r="F800" t="s">
        <v>11</v>
      </c>
      <c r="G800" t="s">
        <v>20</v>
      </c>
      <c r="H800" t="s">
        <v>1952</v>
      </c>
      <c r="I800" s="7">
        <v>10.43</v>
      </c>
      <c r="J800" s="8">
        <v>4</v>
      </c>
      <c r="K800" s="7">
        <v>-6.95</v>
      </c>
    </row>
    <row r="801" spans="1:11" x14ac:dyDescent="0.3">
      <c r="A801" s="2">
        <v>42128</v>
      </c>
      <c r="B801" s="9">
        <f>MONTH(Table1[[#This Row],[Order Date]])</f>
        <v>5</v>
      </c>
      <c r="C801" s="9">
        <f>YEAR(Table1[[#This Row],[Order Date]])</f>
        <v>2015</v>
      </c>
      <c r="D801" t="s">
        <v>767</v>
      </c>
      <c r="E801" t="s">
        <v>23</v>
      </c>
      <c r="F801" t="s">
        <v>34</v>
      </c>
      <c r="G801" t="s">
        <v>47</v>
      </c>
      <c r="H801" t="s">
        <v>1954</v>
      </c>
      <c r="I801" s="7">
        <v>7.58</v>
      </c>
      <c r="J801" s="8">
        <v>1</v>
      </c>
      <c r="K801" s="7">
        <v>2.37</v>
      </c>
    </row>
    <row r="802" spans="1:11" x14ac:dyDescent="0.3">
      <c r="A802" s="2">
        <v>42128</v>
      </c>
      <c r="B802" s="9">
        <f>MONTH(Table1[[#This Row],[Order Date]])</f>
        <v>5</v>
      </c>
      <c r="C802" s="9">
        <f>YEAR(Table1[[#This Row],[Order Date]])</f>
        <v>2015</v>
      </c>
      <c r="D802" t="s">
        <v>809</v>
      </c>
      <c r="E802" t="s">
        <v>158</v>
      </c>
      <c r="F802" t="s">
        <v>11</v>
      </c>
      <c r="G802" t="s">
        <v>24</v>
      </c>
      <c r="H802" t="s">
        <v>1955</v>
      </c>
      <c r="I802" s="7">
        <v>23.84</v>
      </c>
      <c r="J802" s="8">
        <v>8</v>
      </c>
      <c r="K802" s="7">
        <v>6.44</v>
      </c>
    </row>
    <row r="803" spans="1:11" x14ac:dyDescent="0.3">
      <c r="A803" s="2">
        <v>42130</v>
      </c>
      <c r="B803" s="9">
        <f>MONTH(Table1[[#This Row],[Order Date]])</f>
        <v>5</v>
      </c>
      <c r="C803" s="9">
        <f>YEAR(Table1[[#This Row],[Order Date]])</f>
        <v>2015</v>
      </c>
      <c r="D803" t="s">
        <v>2056</v>
      </c>
      <c r="E803" t="s">
        <v>179</v>
      </c>
      <c r="F803" t="s">
        <v>11</v>
      </c>
      <c r="G803" t="s">
        <v>12</v>
      </c>
      <c r="H803" t="s">
        <v>1814</v>
      </c>
      <c r="I803" s="7">
        <v>10.56</v>
      </c>
      <c r="J803" s="8">
        <v>2</v>
      </c>
      <c r="K803" s="7">
        <v>4.75</v>
      </c>
    </row>
    <row r="804" spans="1:11" x14ac:dyDescent="0.3">
      <c r="A804" s="2">
        <v>42131</v>
      </c>
      <c r="B804" s="9">
        <f>MONTH(Table1[[#This Row],[Order Date]])</f>
        <v>5</v>
      </c>
      <c r="C804" s="9">
        <f>YEAR(Table1[[#This Row],[Order Date]])</f>
        <v>2015</v>
      </c>
      <c r="D804" t="s">
        <v>937</v>
      </c>
      <c r="E804" t="s">
        <v>237</v>
      </c>
      <c r="F804" t="s">
        <v>34</v>
      </c>
      <c r="G804" t="s">
        <v>47</v>
      </c>
      <c r="H804" t="s">
        <v>1746</v>
      </c>
      <c r="I804" s="7">
        <v>4.93</v>
      </c>
      <c r="J804" s="8">
        <v>2</v>
      </c>
      <c r="K804" s="7">
        <v>0.74</v>
      </c>
    </row>
    <row r="805" spans="1:11" x14ac:dyDescent="0.3">
      <c r="A805" s="2">
        <v>42131</v>
      </c>
      <c r="B805" s="9">
        <f>MONTH(Table1[[#This Row],[Order Date]])</f>
        <v>5</v>
      </c>
      <c r="C805" s="9">
        <f>YEAR(Table1[[#This Row],[Order Date]])</f>
        <v>2015</v>
      </c>
      <c r="D805" t="s">
        <v>2101</v>
      </c>
      <c r="E805" t="s">
        <v>108</v>
      </c>
      <c r="F805" t="s">
        <v>11</v>
      </c>
      <c r="G805" t="s">
        <v>20</v>
      </c>
      <c r="H805" t="s">
        <v>2102</v>
      </c>
      <c r="I805" s="7">
        <v>19</v>
      </c>
      <c r="J805" s="8">
        <v>5</v>
      </c>
      <c r="K805" s="7">
        <v>8.93</v>
      </c>
    </row>
    <row r="806" spans="1:11" x14ac:dyDescent="0.3">
      <c r="A806" s="2">
        <v>42131</v>
      </c>
      <c r="B806" s="9">
        <f>MONTH(Table1[[#This Row],[Order Date]])</f>
        <v>5</v>
      </c>
      <c r="C806" s="9">
        <f>YEAR(Table1[[#This Row],[Order Date]])</f>
        <v>2015</v>
      </c>
      <c r="D806" t="s">
        <v>1144</v>
      </c>
      <c r="E806" t="s">
        <v>23</v>
      </c>
      <c r="F806" t="s">
        <v>39</v>
      </c>
      <c r="G806" t="s">
        <v>52</v>
      </c>
      <c r="H806" t="s">
        <v>1620</v>
      </c>
      <c r="I806" s="7">
        <v>34.799999999999997</v>
      </c>
      <c r="J806" s="8">
        <v>3</v>
      </c>
      <c r="K806" s="7">
        <v>2.1800000000000002</v>
      </c>
    </row>
    <row r="807" spans="1:11" x14ac:dyDescent="0.3">
      <c r="A807" s="2">
        <v>42132</v>
      </c>
      <c r="B807" s="9">
        <f>MONTH(Table1[[#This Row],[Order Date]])</f>
        <v>5</v>
      </c>
      <c r="C807" s="9">
        <f>YEAR(Table1[[#This Row],[Order Date]])</f>
        <v>2015</v>
      </c>
      <c r="D807" t="s">
        <v>431</v>
      </c>
      <c r="E807" t="s">
        <v>10</v>
      </c>
      <c r="F807" t="s">
        <v>34</v>
      </c>
      <c r="G807" t="s">
        <v>47</v>
      </c>
      <c r="H807" t="s">
        <v>1497</v>
      </c>
      <c r="I807" s="7">
        <v>14.76</v>
      </c>
      <c r="J807" s="8">
        <v>5</v>
      </c>
      <c r="K807" s="7">
        <v>-11.44</v>
      </c>
    </row>
    <row r="808" spans="1:11" x14ac:dyDescent="0.3">
      <c r="A808" s="2">
        <v>42133</v>
      </c>
      <c r="B808" s="9">
        <f>MONTH(Table1[[#This Row],[Order Date]])</f>
        <v>5</v>
      </c>
      <c r="C808" s="9">
        <f>YEAR(Table1[[#This Row],[Order Date]])</f>
        <v>2015</v>
      </c>
      <c r="D808" t="s">
        <v>981</v>
      </c>
      <c r="E808" t="s">
        <v>27</v>
      </c>
      <c r="F808" t="s">
        <v>34</v>
      </c>
      <c r="G808" t="s">
        <v>74</v>
      </c>
      <c r="H808" t="s">
        <v>1671</v>
      </c>
      <c r="I808" s="7">
        <v>411.33</v>
      </c>
      <c r="J808" s="8">
        <v>4</v>
      </c>
      <c r="K808" s="7">
        <v>-4.84</v>
      </c>
    </row>
    <row r="809" spans="1:11" x14ac:dyDescent="0.3">
      <c r="A809" s="2">
        <v>42133</v>
      </c>
      <c r="B809" s="9">
        <f>MONTH(Table1[[#This Row],[Order Date]])</f>
        <v>5</v>
      </c>
      <c r="C809" s="9">
        <f>YEAR(Table1[[#This Row],[Order Date]])</f>
        <v>2015</v>
      </c>
      <c r="D809" t="s">
        <v>981</v>
      </c>
      <c r="E809" t="s">
        <v>27</v>
      </c>
      <c r="F809" t="s">
        <v>11</v>
      </c>
      <c r="G809" t="s">
        <v>20</v>
      </c>
      <c r="H809" t="s">
        <v>1981</v>
      </c>
      <c r="I809" s="7">
        <v>28.75</v>
      </c>
      <c r="J809" s="8">
        <v>6</v>
      </c>
      <c r="K809" s="7">
        <v>9.6999999999999993</v>
      </c>
    </row>
    <row r="810" spans="1:11" x14ac:dyDescent="0.3">
      <c r="A810" s="2">
        <v>42133</v>
      </c>
      <c r="B810" s="9">
        <f>MONTH(Table1[[#This Row],[Order Date]])</f>
        <v>5</v>
      </c>
      <c r="C810" s="9">
        <f>YEAR(Table1[[#This Row],[Order Date]])</f>
        <v>2015</v>
      </c>
      <c r="D810" t="s">
        <v>981</v>
      </c>
      <c r="E810" t="s">
        <v>27</v>
      </c>
      <c r="F810" t="s">
        <v>34</v>
      </c>
      <c r="G810" t="s">
        <v>74</v>
      </c>
      <c r="H810" t="s">
        <v>1661</v>
      </c>
      <c r="I810" s="7">
        <v>293.2</v>
      </c>
      <c r="J810" s="8">
        <v>3</v>
      </c>
      <c r="K810" s="7">
        <v>-20.7</v>
      </c>
    </row>
    <row r="811" spans="1:11" x14ac:dyDescent="0.3">
      <c r="A811" s="2">
        <v>42133</v>
      </c>
      <c r="B811" s="9">
        <f>MONTH(Table1[[#This Row],[Order Date]])</f>
        <v>5</v>
      </c>
      <c r="C811" s="9">
        <f>YEAR(Table1[[#This Row],[Order Date]])</f>
        <v>2015</v>
      </c>
      <c r="D811" t="s">
        <v>1782</v>
      </c>
      <c r="E811" t="s">
        <v>55</v>
      </c>
      <c r="F811" t="s">
        <v>34</v>
      </c>
      <c r="G811" t="s">
        <v>47</v>
      </c>
      <c r="H811" t="s">
        <v>2177</v>
      </c>
      <c r="I811" s="7">
        <v>67.959999999999994</v>
      </c>
      <c r="J811" s="8">
        <v>4</v>
      </c>
      <c r="K811" s="7">
        <v>12.23</v>
      </c>
    </row>
    <row r="812" spans="1:11" x14ac:dyDescent="0.3">
      <c r="A812" s="2">
        <v>42134</v>
      </c>
      <c r="B812" s="9">
        <f>MONTH(Table1[[#This Row],[Order Date]])</f>
        <v>5</v>
      </c>
      <c r="C812" s="9">
        <f>YEAR(Table1[[#This Row],[Order Date]])</f>
        <v>2015</v>
      </c>
      <c r="D812" t="s">
        <v>1455</v>
      </c>
      <c r="E812" t="s">
        <v>91</v>
      </c>
      <c r="F812" t="s">
        <v>34</v>
      </c>
      <c r="G812" t="s">
        <v>74</v>
      </c>
      <c r="H812" t="s">
        <v>2235</v>
      </c>
      <c r="I812" s="7">
        <v>66.290000000000006</v>
      </c>
      <c r="J812" s="8">
        <v>1</v>
      </c>
      <c r="K812" s="7">
        <v>-103.86</v>
      </c>
    </row>
    <row r="813" spans="1:11" x14ac:dyDescent="0.3">
      <c r="A813" s="2">
        <v>42135</v>
      </c>
      <c r="B813" s="9">
        <f>MONTH(Table1[[#This Row],[Order Date]])</f>
        <v>5</v>
      </c>
      <c r="C813" s="9">
        <f>YEAR(Table1[[#This Row],[Order Date]])</f>
        <v>2015</v>
      </c>
      <c r="D813" t="s">
        <v>1031</v>
      </c>
      <c r="E813" t="s">
        <v>120</v>
      </c>
      <c r="F813" t="s">
        <v>11</v>
      </c>
      <c r="G813" t="s">
        <v>92</v>
      </c>
      <c r="H813" t="s">
        <v>2272</v>
      </c>
      <c r="I813" s="7">
        <v>387.14</v>
      </c>
      <c r="J813" s="8">
        <v>4</v>
      </c>
      <c r="K813" s="7">
        <v>24.2</v>
      </c>
    </row>
    <row r="814" spans="1:11" x14ac:dyDescent="0.3">
      <c r="A814" s="2">
        <v>42135</v>
      </c>
      <c r="B814" s="9">
        <f>MONTH(Table1[[#This Row],[Order Date]])</f>
        <v>5</v>
      </c>
      <c r="C814" s="9">
        <f>YEAR(Table1[[#This Row],[Order Date]])</f>
        <v>2015</v>
      </c>
      <c r="D814" t="s">
        <v>761</v>
      </c>
      <c r="E814" t="s">
        <v>144</v>
      </c>
      <c r="F814" t="s">
        <v>11</v>
      </c>
      <c r="G814" t="s">
        <v>20</v>
      </c>
      <c r="H814" t="s">
        <v>826</v>
      </c>
      <c r="I814" s="7">
        <v>25.34</v>
      </c>
      <c r="J814" s="8">
        <v>6</v>
      </c>
      <c r="K814" s="7">
        <v>8.8699999999999992</v>
      </c>
    </row>
    <row r="815" spans="1:11" x14ac:dyDescent="0.3">
      <c r="A815" s="2">
        <v>42135</v>
      </c>
      <c r="B815" s="9">
        <f>MONTH(Table1[[#This Row],[Order Date]])</f>
        <v>5</v>
      </c>
      <c r="C815" s="9">
        <f>YEAR(Table1[[#This Row],[Order Date]])</f>
        <v>2015</v>
      </c>
      <c r="D815" t="s">
        <v>1643</v>
      </c>
      <c r="E815" t="s">
        <v>15</v>
      </c>
      <c r="F815" t="s">
        <v>11</v>
      </c>
      <c r="G815" t="s">
        <v>16</v>
      </c>
      <c r="H815" t="s">
        <v>368</v>
      </c>
      <c r="I815" s="7">
        <v>19.82</v>
      </c>
      <c r="J815" s="8">
        <v>6</v>
      </c>
      <c r="K815" s="7">
        <v>6.44</v>
      </c>
    </row>
    <row r="816" spans="1:11" x14ac:dyDescent="0.3">
      <c r="A816" s="2">
        <v>42135</v>
      </c>
      <c r="B816" s="9">
        <f>MONTH(Table1[[#This Row],[Order Date]])</f>
        <v>5</v>
      </c>
      <c r="C816" s="9">
        <f>YEAR(Table1[[#This Row],[Order Date]])</f>
        <v>2015</v>
      </c>
      <c r="D816" t="s">
        <v>586</v>
      </c>
      <c r="E816" t="s">
        <v>27</v>
      </c>
      <c r="F816" t="s">
        <v>11</v>
      </c>
      <c r="G816" t="s">
        <v>18</v>
      </c>
      <c r="H816" t="s">
        <v>2273</v>
      </c>
      <c r="I816" s="7">
        <v>62.8</v>
      </c>
      <c r="J816" s="8">
        <v>4</v>
      </c>
      <c r="K816" s="7">
        <v>15.7</v>
      </c>
    </row>
    <row r="817" spans="1:11" x14ac:dyDescent="0.3">
      <c r="A817" s="2">
        <v>42135</v>
      </c>
      <c r="B817" s="9">
        <f>MONTH(Table1[[#This Row],[Order Date]])</f>
        <v>5</v>
      </c>
      <c r="C817" s="9">
        <f>YEAR(Table1[[#This Row],[Order Date]])</f>
        <v>2015</v>
      </c>
      <c r="D817" t="s">
        <v>2274</v>
      </c>
      <c r="E817" t="s">
        <v>78</v>
      </c>
      <c r="F817" t="s">
        <v>11</v>
      </c>
      <c r="G817" t="s">
        <v>20</v>
      </c>
      <c r="H817" t="s">
        <v>302</v>
      </c>
      <c r="I817" s="7">
        <v>7.22</v>
      </c>
      <c r="J817" s="8">
        <v>3</v>
      </c>
      <c r="K817" s="7">
        <v>-5.53</v>
      </c>
    </row>
    <row r="818" spans="1:11" x14ac:dyDescent="0.3">
      <c r="A818" s="2">
        <v>42135</v>
      </c>
      <c r="B818" s="9">
        <f>MONTH(Table1[[#This Row],[Order Date]])</f>
        <v>5</v>
      </c>
      <c r="C818" s="9">
        <f>YEAR(Table1[[#This Row],[Order Date]])</f>
        <v>2015</v>
      </c>
      <c r="D818" t="s">
        <v>2274</v>
      </c>
      <c r="E818" t="s">
        <v>78</v>
      </c>
      <c r="F818" t="s">
        <v>11</v>
      </c>
      <c r="G818" t="s">
        <v>194</v>
      </c>
      <c r="H818" t="s">
        <v>1127</v>
      </c>
      <c r="I818" s="7">
        <v>27.2</v>
      </c>
      <c r="J818" s="8">
        <v>4</v>
      </c>
      <c r="K818" s="7">
        <v>2.04</v>
      </c>
    </row>
    <row r="819" spans="1:11" x14ac:dyDescent="0.3">
      <c r="A819" s="2">
        <v>42136</v>
      </c>
      <c r="B819" s="9">
        <f>MONTH(Table1[[#This Row],[Order Date]])</f>
        <v>5</v>
      </c>
      <c r="C819" s="9">
        <f>YEAR(Table1[[#This Row],[Order Date]])</f>
        <v>2015</v>
      </c>
      <c r="D819" t="s">
        <v>2340</v>
      </c>
      <c r="E819" t="s">
        <v>27</v>
      </c>
      <c r="F819" t="s">
        <v>34</v>
      </c>
      <c r="G819" t="s">
        <v>47</v>
      </c>
      <c r="H819" t="s">
        <v>1750</v>
      </c>
      <c r="I819" s="7">
        <v>44.46</v>
      </c>
      <c r="J819" s="8">
        <v>2</v>
      </c>
      <c r="K819" s="7">
        <v>14.67</v>
      </c>
    </row>
    <row r="820" spans="1:11" x14ac:dyDescent="0.3">
      <c r="A820" s="2">
        <v>42136</v>
      </c>
      <c r="B820" s="9">
        <f>MONTH(Table1[[#This Row],[Order Date]])</f>
        <v>5</v>
      </c>
      <c r="C820" s="9">
        <f>YEAR(Table1[[#This Row],[Order Date]])</f>
        <v>2015</v>
      </c>
      <c r="D820" t="s">
        <v>954</v>
      </c>
      <c r="E820" t="s">
        <v>23</v>
      </c>
      <c r="F820" t="s">
        <v>11</v>
      </c>
      <c r="G820" t="s">
        <v>20</v>
      </c>
      <c r="H820" t="s">
        <v>1609</v>
      </c>
      <c r="I820" s="7">
        <v>26.06</v>
      </c>
      <c r="J820" s="8">
        <v>6</v>
      </c>
      <c r="K820" s="7">
        <v>-19.98</v>
      </c>
    </row>
    <row r="821" spans="1:11" x14ac:dyDescent="0.3">
      <c r="A821" s="2">
        <v>42136</v>
      </c>
      <c r="B821" s="9">
        <f>MONTH(Table1[[#This Row],[Order Date]])</f>
        <v>5</v>
      </c>
      <c r="C821" s="9">
        <f>YEAR(Table1[[#This Row],[Order Date]])</f>
        <v>2015</v>
      </c>
      <c r="D821" t="s">
        <v>1403</v>
      </c>
      <c r="E821" t="s">
        <v>144</v>
      </c>
      <c r="F821" t="s">
        <v>11</v>
      </c>
      <c r="G821" t="s">
        <v>12</v>
      </c>
      <c r="H821" t="s">
        <v>2069</v>
      </c>
      <c r="I821" s="7">
        <v>22.68</v>
      </c>
      <c r="J821" s="8">
        <v>2</v>
      </c>
      <c r="K821" s="7">
        <v>11.11</v>
      </c>
    </row>
    <row r="822" spans="1:11" x14ac:dyDescent="0.3">
      <c r="A822" s="2">
        <v>42136</v>
      </c>
      <c r="B822" s="9">
        <f>MONTH(Table1[[#This Row],[Order Date]])</f>
        <v>5</v>
      </c>
      <c r="C822" s="9">
        <f>YEAR(Table1[[#This Row],[Order Date]])</f>
        <v>2015</v>
      </c>
      <c r="D822" t="s">
        <v>570</v>
      </c>
      <c r="E822" t="s">
        <v>27</v>
      </c>
      <c r="F822" t="s">
        <v>11</v>
      </c>
      <c r="G822" t="s">
        <v>16</v>
      </c>
      <c r="H822" t="s">
        <v>569</v>
      </c>
      <c r="I822" s="7">
        <v>12.6</v>
      </c>
      <c r="J822" s="8">
        <v>4</v>
      </c>
      <c r="K822" s="7">
        <v>6.05</v>
      </c>
    </row>
    <row r="823" spans="1:11" x14ac:dyDescent="0.3">
      <c r="A823" s="2">
        <v>42156</v>
      </c>
      <c r="B823" s="9">
        <f>MONTH(Table1[[#This Row],[Order Date]])</f>
        <v>6</v>
      </c>
      <c r="C823" s="9">
        <f>YEAR(Table1[[#This Row],[Order Date]])</f>
        <v>2015</v>
      </c>
      <c r="D823" t="s">
        <v>1221</v>
      </c>
      <c r="E823" t="s">
        <v>269</v>
      </c>
      <c r="F823" t="s">
        <v>11</v>
      </c>
      <c r="G823" t="s">
        <v>12</v>
      </c>
      <c r="H823" t="s">
        <v>1842</v>
      </c>
      <c r="I823" s="7">
        <v>29.6</v>
      </c>
      <c r="J823" s="8">
        <v>5</v>
      </c>
      <c r="K823" s="7">
        <v>9.25</v>
      </c>
    </row>
    <row r="824" spans="1:11" x14ac:dyDescent="0.3">
      <c r="A824" s="2">
        <v>42157</v>
      </c>
      <c r="B824" s="9">
        <f>MONTH(Table1[[#This Row],[Order Date]])</f>
        <v>6</v>
      </c>
      <c r="C824" s="9">
        <f>YEAR(Table1[[#This Row],[Order Date]])</f>
        <v>2015</v>
      </c>
      <c r="D824" t="s">
        <v>646</v>
      </c>
      <c r="E824" t="s">
        <v>158</v>
      </c>
      <c r="F824" t="s">
        <v>11</v>
      </c>
      <c r="G824" t="s">
        <v>24</v>
      </c>
      <c r="H824" t="s">
        <v>1586</v>
      </c>
      <c r="I824" s="7">
        <v>5.28</v>
      </c>
      <c r="J824" s="8">
        <v>3</v>
      </c>
      <c r="K824" s="7">
        <v>1.53</v>
      </c>
    </row>
    <row r="825" spans="1:11" x14ac:dyDescent="0.3">
      <c r="A825" s="2">
        <v>42157</v>
      </c>
      <c r="B825" s="9">
        <f>MONTH(Table1[[#This Row],[Order Date]])</f>
        <v>6</v>
      </c>
      <c r="C825" s="9">
        <f>YEAR(Table1[[#This Row],[Order Date]])</f>
        <v>2015</v>
      </c>
      <c r="D825" t="s">
        <v>1018</v>
      </c>
      <c r="E825" t="s">
        <v>59</v>
      </c>
      <c r="F825" t="s">
        <v>34</v>
      </c>
      <c r="G825" t="s">
        <v>74</v>
      </c>
      <c r="H825" t="s">
        <v>1864</v>
      </c>
      <c r="I825" s="7">
        <v>283.92</v>
      </c>
      <c r="J825" s="8">
        <v>4</v>
      </c>
      <c r="K825" s="7">
        <v>82.34</v>
      </c>
    </row>
    <row r="826" spans="1:11" x14ac:dyDescent="0.3">
      <c r="A826" s="2">
        <v>42157</v>
      </c>
      <c r="B826" s="9">
        <f>MONTH(Table1[[#This Row],[Order Date]])</f>
        <v>6</v>
      </c>
      <c r="C826" s="9">
        <f>YEAR(Table1[[#This Row],[Order Date]])</f>
        <v>2015</v>
      </c>
      <c r="D826" t="s">
        <v>1018</v>
      </c>
      <c r="E826" t="s">
        <v>59</v>
      </c>
      <c r="F826" t="s">
        <v>11</v>
      </c>
      <c r="G826" t="s">
        <v>24</v>
      </c>
      <c r="H826" t="s">
        <v>1473</v>
      </c>
      <c r="I826" s="7">
        <v>5.68</v>
      </c>
      <c r="J826" s="8">
        <v>2</v>
      </c>
      <c r="K826" s="7">
        <v>1.76</v>
      </c>
    </row>
    <row r="827" spans="1:11" x14ac:dyDescent="0.3">
      <c r="A827" s="2">
        <v>42157</v>
      </c>
      <c r="B827" s="9">
        <f>MONTH(Table1[[#This Row],[Order Date]])</f>
        <v>6</v>
      </c>
      <c r="C827" s="9">
        <f>YEAR(Table1[[#This Row],[Order Date]])</f>
        <v>2015</v>
      </c>
      <c r="D827" t="s">
        <v>1865</v>
      </c>
      <c r="E827" t="s">
        <v>10</v>
      </c>
      <c r="F827" t="s">
        <v>11</v>
      </c>
      <c r="G827" t="s">
        <v>20</v>
      </c>
      <c r="H827" t="s">
        <v>1642</v>
      </c>
      <c r="I827" s="7">
        <v>2.93</v>
      </c>
      <c r="J827" s="8">
        <v>3</v>
      </c>
      <c r="K827" s="7">
        <v>-4.99</v>
      </c>
    </row>
    <row r="828" spans="1:11" x14ac:dyDescent="0.3">
      <c r="A828" s="2">
        <v>42157</v>
      </c>
      <c r="B828" s="9">
        <f>MONTH(Table1[[#This Row],[Order Date]])</f>
        <v>6</v>
      </c>
      <c r="C828" s="9">
        <f>YEAR(Table1[[#This Row],[Order Date]])</f>
        <v>2015</v>
      </c>
      <c r="D828" t="s">
        <v>1865</v>
      </c>
      <c r="E828" t="s">
        <v>10</v>
      </c>
      <c r="F828" t="s">
        <v>39</v>
      </c>
      <c r="G828" t="s">
        <v>52</v>
      </c>
      <c r="H828" t="s">
        <v>1866</v>
      </c>
      <c r="I828" s="7">
        <v>18.53</v>
      </c>
      <c r="J828" s="8">
        <v>2</v>
      </c>
      <c r="K828" s="7">
        <v>4.4000000000000004</v>
      </c>
    </row>
    <row r="829" spans="1:11" x14ac:dyDescent="0.3">
      <c r="A829" s="2">
        <v>42157</v>
      </c>
      <c r="B829" s="9">
        <f>MONTH(Table1[[#This Row],[Order Date]])</f>
        <v>6</v>
      </c>
      <c r="C829" s="9">
        <f>YEAR(Table1[[#This Row],[Order Date]])</f>
        <v>2015</v>
      </c>
      <c r="D829" t="s">
        <v>1867</v>
      </c>
      <c r="E829" t="s">
        <v>55</v>
      </c>
      <c r="F829" t="s">
        <v>11</v>
      </c>
      <c r="G829" t="s">
        <v>12</v>
      </c>
      <c r="H829" t="s">
        <v>1868</v>
      </c>
      <c r="I829" s="7">
        <v>29.9</v>
      </c>
      <c r="J829" s="8">
        <v>5</v>
      </c>
      <c r="K829" s="7">
        <v>13.46</v>
      </c>
    </row>
    <row r="830" spans="1:11" x14ac:dyDescent="0.3">
      <c r="A830" s="2">
        <v>42158</v>
      </c>
      <c r="B830" s="9">
        <f>MONTH(Table1[[#This Row],[Order Date]])</f>
        <v>6</v>
      </c>
      <c r="C830" s="9">
        <f>YEAR(Table1[[#This Row],[Order Date]])</f>
        <v>2015</v>
      </c>
      <c r="D830" t="s">
        <v>980</v>
      </c>
      <c r="E830" t="s">
        <v>27</v>
      </c>
      <c r="F830" t="s">
        <v>39</v>
      </c>
      <c r="G830" t="s">
        <v>590</v>
      </c>
      <c r="H830" t="s">
        <v>1893</v>
      </c>
      <c r="I830" s="7">
        <v>1119.98</v>
      </c>
      <c r="J830" s="8">
        <v>2</v>
      </c>
      <c r="K830" s="7">
        <v>377.99</v>
      </c>
    </row>
    <row r="831" spans="1:11" x14ac:dyDescent="0.3">
      <c r="A831" s="2">
        <v>42162</v>
      </c>
      <c r="B831" s="9">
        <f>MONTH(Table1[[#This Row],[Order Date]])</f>
        <v>6</v>
      </c>
      <c r="C831" s="9">
        <f>YEAR(Table1[[#This Row],[Order Date]])</f>
        <v>2015</v>
      </c>
      <c r="D831" t="s">
        <v>2103</v>
      </c>
      <c r="E831" t="s">
        <v>144</v>
      </c>
      <c r="F831" t="s">
        <v>39</v>
      </c>
      <c r="G831" t="s">
        <v>40</v>
      </c>
      <c r="H831" t="s">
        <v>1595</v>
      </c>
      <c r="I831" s="7">
        <v>124.95</v>
      </c>
      <c r="J831" s="8">
        <v>5</v>
      </c>
      <c r="K831" s="7">
        <v>2.5</v>
      </c>
    </row>
    <row r="832" spans="1:11" x14ac:dyDescent="0.3">
      <c r="A832" s="2">
        <v>42162</v>
      </c>
      <c r="B832" s="9">
        <f>MONTH(Table1[[#This Row],[Order Date]])</f>
        <v>6</v>
      </c>
      <c r="C832" s="9">
        <f>YEAR(Table1[[#This Row],[Order Date]])</f>
        <v>2015</v>
      </c>
      <c r="D832" t="s">
        <v>1152</v>
      </c>
      <c r="E832" t="s">
        <v>422</v>
      </c>
      <c r="F832" t="s">
        <v>34</v>
      </c>
      <c r="G832" t="s">
        <v>74</v>
      </c>
      <c r="H832" t="s">
        <v>2105</v>
      </c>
      <c r="I832" s="7">
        <v>301.95999999999998</v>
      </c>
      <c r="J832" s="8">
        <v>2</v>
      </c>
      <c r="K832" s="7">
        <v>60.39</v>
      </c>
    </row>
    <row r="833" spans="1:11" x14ac:dyDescent="0.3">
      <c r="A833" s="2">
        <v>42162</v>
      </c>
      <c r="B833" s="9">
        <f>MONTH(Table1[[#This Row],[Order Date]])</f>
        <v>6</v>
      </c>
      <c r="C833" s="9">
        <f>YEAR(Table1[[#This Row],[Order Date]])</f>
        <v>2015</v>
      </c>
      <c r="D833" t="s">
        <v>1871</v>
      </c>
      <c r="E833" t="s">
        <v>27</v>
      </c>
      <c r="F833" t="s">
        <v>34</v>
      </c>
      <c r="G833" t="s">
        <v>35</v>
      </c>
      <c r="H833" t="s">
        <v>1979</v>
      </c>
      <c r="I833" s="7">
        <v>170.35</v>
      </c>
      <c r="J833" s="8">
        <v>3</v>
      </c>
      <c r="K833" s="7">
        <v>-17.04</v>
      </c>
    </row>
    <row r="834" spans="1:11" x14ac:dyDescent="0.3">
      <c r="A834" s="2">
        <v>42162</v>
      </c>
      <c r="B834" s="9">
        <f>MONTH(Table1[[#This Row],[Order Date]])</f>
        <v>6</v>
      </c>
      <c r="C834" s="9">
        <f>YEAR(Table1[[#This Row],[Order Date]])</f>
        <v>2015</v>
      </c>
      <c r="D834" t="s">
        <v>937</v>
      </c>
      <c r="E834" t="s">
        <v>171</v>
      </c>
      <c r="F834" t="s">
        <v>11</v>
      </c>
      <c r="G834" t="s">
        <v>24</v>
      </c>
      <c r="H834" t="s">
        <v>319</v>
      </c>
      <c r="I834" s="7">
        <v>11.12</v>
      </c>
      <c r="J834" s="8">
        <v>4</v>
      </c>
      <c r="K834" s="7">
        <v>2.89</v>
      </c>
    </row>
    <row r="835" spans="1:11" x14ac:dyDescent="0.3">
      <c r="A835" s="2">
        <v>42163</v>
      </c>
      <c r="B835" s="9">
        <f>MONTH(Table1[[#This Row],[Order Date]])</f>
        <v>6</v>
      </c>
      <c r="C835" s="9">
        <f>YEAR(Table1[[#This Row],[Order Date]])</f>
        <v>2015</v>
      </c>
      <c r="D835" t="s">
        <v>1457</v>
      </c>
      <c r="E835" t="s">
        <v>10</v>
      </c>
      <c r="F835" t="s">
        <v>11</v>
      </c>
      <c r="G835" t="s">
        <v>12</v>
      </c>
      <c r="H835" t="s">
        <v>1812</v>
      </c>
      <c r="I835" s="7">
        <v>56.7</v>
      </c>
      <c r="J835" s="8">
        <v>2</v>
      </c>
      <c r="K835" s="7">
        <v>19.14</v>
      </c>
    </row>
    <row r="836" spans="1:11" x14ac:dyDescent="0.3">
      <c r="A836" s="2">
        <v>42163</v>
      </c>
      <c r="B836" s="9">
        <f>MONTH(Table1[[#This Row],[Order Date]])</f>
        <v>6</v>
      </c>
      <c r="C836" s="9">
        <f>YEAR(Table1[[#This Row],[Order Date]])</f>
        <v>2015</v>
      </c>
      <c r="D836" t="s">
        <v>1457</v>
      </c>
      <c r="E836" t="s">
        <v>10</v>
      </c>
      <c r="F836" t="s">
        <v>34</v>
      </c>
      <c r="G836" t="s">
        <v>74</v>
      </c>
      <c r="H836" t="s">
        <v>2131</v>
      </c>
      <c r="I836" s="7">
        <v>369.2</v>
      </c>
      <c r="J836" s="8">
        <v>3</v>
      </c>
      <c r="K836" s="7">
        <v>-114.02</v>
      </c>
    </row>
    <row r="837" spans="1:11" x14ac:dyDescent="0.3">
      <c r="A837" s="2">
        <v>42164</v>
      </c>
      <c r="B837" s="9">
        <f>MONTH(Table1[[#This Row],[Order Date]])</f>
        <v>6</v>
      </c>
      <c r="C837" s="9">
        <f>YEAR(Table1[[#This Row],[Order Date]])</f>
        <v>2015</v>
      </c>
      <c r="D837" t="s">
        <v>556</v>
      </c>
      <c r="E837" t="s">
        <v>158</v>
      </c>
      <c r="F837" t="s">
        <v>11</v>
      </c>
      <c r="G837" t="s">
        <v>20</v>
      </c>
      <c r="H837" t="s">
        <v>947</v>
      </c>
      <c r="I837" s="7">
        <v>6.1</v>
      </c>
      <c r="J837" s="8">
        <v>2</v>
      </c>
      <c r="K837" s="7">
        <v>2.13</v>
      </c>
    </row>
    <row r="838" spans="1:11" x14ac:dyDescent="0.3">
      <c r="A838" s="2">
        <v>42164</v>
      </c>
      <c r="B838" s="9">
        <f>MONTH(Table1[[#This Row],[Order Date]])</f>
        <v>6</v>
      </c>
      <c r="C838" s="9">
        <f>YEAR(Table1[[#This Row],[Order Date]])</f>
        <v>2015</v>
      </c>
      <c r="D838" t="s">
        <v>556</v>
      </c>
      <c r="E838" t="s">
        <v>158</v>
      </c>
      <c r="F838" t="s">
        <v>34</v>
      </c>
      <c r="G838" t="s">
        <v>47</v>
      </c>
      <c r="H838" t="s">
        <v>2178</v>
      </c>
      <c r="I838" s="7">
        <v>191.82</v>
      </c>
      <c r="J838" s="8">
        <v>3</v>
      </c>
      <c r="K838" s="7">
        <v>74.81</v>
      </c>
    </row>
    <row r="839" spans="1:11" x14ac:dyDescent="0.3">
      <c r="A839" s="2">
        <v>42164</v>
      </c>
      <c r="B839" s="9">
        <f>MONTH(Table1[[#This Row],[Order Date]])</f>
        <v>6</v>
      </c>
      <c r="C839" s="9">
        <f>YEAR(Table1[[#This Row],[Order Date]])</f>
        <v>2015</v>
      </c>
      <c r="D839" t="s">
        <v>170</v>
      </c>
      <c r="E839" t="s">
        <v>117</v>
      </c>
      <c r="F839" t="s">
        <v>11</v>
      </c>
      <c r="G839" t="s">
        <v>43</v>
      </c>
      <c r="H839" t="s">
        <v>1740</v>
      </c>
      <c r="I839" s="7">
        <v>7.24</v>
      </c>
      <c r="J839" s="8">
        <v>5</v>
      </c>
      <c r="K839" s="7">
        <v>1.18</v>
      </c>
    </row>
    <row r="840" spans="1:11" x14ac:dyDescent="0.3">
      <c r="A840" s="2">
        <v>42164</v>
      </c>
      <c r="B840" s="9">
        <f>MONTH(Table1[[#This Row],[Order Date]])</f>
        <v>6</v>
      </c>
      <c r="C840" s="9">
        <f>YEAR(Table1[[#This Row],[Order Date]])</f>
        <v>2015</v>
      </c>
      <c r="D840" t="s">
        <v>1654</v>
      </c>
      <c r="E840" t="s">
        <v>120</v>
      </c>
      <c r="F840" t="s">
        <v>11</v>
      </c>
      <c r="G840" t="s">
        <v>20</v>
      </c>
      <c r="H840" t="s">
        <v>2180</v>
      </c>
      <c r="I840" s="7">
        <v>3.44</v>
      </c>
      <c r="J840" s="8">
        <v>1</v>
      </c>
      <c r="K840" s="7">
        <v>-2.5299999999999998</v>
      </c>
    </row>
    <row r="841" spans="1:11" x14ac:dyDescent="0.3">
      <c r="A841" s="2">
        <v>42164</v>
      </c>
      <c r="B841" s="9">
        <f>MONTH(Table1[[#This Row],[Order Date]])</f>
        <v>6</v>
      </c>
      <c r="C841" s="9">
        <f>YEAR(Table1[[#This Row],[Order Date]])</f>
        <v>2015</v>
      </c>
      <c r="D841" t="s">
        <v>1071</v>
      </c>
      <c r="E841" t="s">
        <v>55</v>
      </c>
      <c r="F841" t="s">
        <v>11</v>
      </c>
      <c r="G841" t="s">
        <v>20</v>
      </c>
      <c r="H841" t="s">
        <v>1133</v>
      </c>
      <c r="I841" s="7">
        <v>46.62</v>
      </c>
      <c r="J841" s="8">
        <v>9</v>
      </c>
      <c r="K841" s="7">
        <v>21.45</v>
      </c>
    </row>
    <row r="842" spans="1:11" x14ac:dyDescent="0.3">
      <c r="A842" s="2">
        <v>42166</v>
      </c>
      <c r="B842" s="9">
        <f>MONTH(Table1[[#This Row],[Order Date]])</f>
        <v>6</v>
      </c>
      <c r="C842" s="9">
        <f>YEAR(Table1[[#This Row],[Order Date]])</f>
        <v>2015</v>
      </c>
      <c r="D842" t="s">
        <v>2275</v>
      </c>
      <c r="E842" t="s">
        <v>95</v>
      </c>
      <c r="F842" t="s">
        <v>11</v>
      </c>
      <c r="G842" t="s">
        <v>63</v>
      </c>
      <c r="H842" t="s">
        <v>1138</v>
      </c>
      <c r="I842" s="7">
        <v>7.08</v>
      </c>
      <c r="J842" s="8">
        <v>3</v>
      </c>
      <c r="K842" s="7">
        <v>2.48</v>
      </c>
    </row>
    <row r="843" spans="1:11" x14ac:dyDescent="0.3">
      <c r="A843" s="2">
        <v>42167</v>
      </c>
      <c r="B843" s="9">
        <f>MONTH(Table1[[#This Row],[Order Date]])</f>
        <v>6</v>
      </c>
      <c r="C843" s="9">
        <f>YEAR(Table1[[#This Row],[Order Date]])</f>
        <v>2015</v>
      </c>
      <c r="D843" t="s">
        <v>2166</v>
      </c>
      <c r="E843" t="s">
        <v>10</v>
      </c>
      <c r="F843" t="s">
        <v>11</v>
      </c>
      <c r="G843" t="s">
        <v>20</v>
      </c>
      <c r="H843" t="s">
        <v>2242</v>
      </c>
      <c r="I843" s="7">
        <v>2.77</v>
      </c>
      <c r="J843" s="8">
        <v>7</v>
      </c>
      <c r="K843" s="7">
        <v>-4.8499999999999996</v>
      </c>
    </row>
    <row r="844" spans="1:11" x14ac:dyDescent="0.3">
      <c r="A844" s="2">
        <v>42167</v>
      </c>
      <c r="B844" s="9">
        <f>MONTH(Table1[[#This Row],[Order Date]])</f>
        <v>6</v>
      </c>
      <c r="C844" s="9">
        <f>YEAR(Table1[[#This Row],[Order Date]])</f>
        <v>2015</v>
      </c>
      <c r="D844" t="s">
        <v>806</v>
      </c>
      <c r="E844" t="s">
        <v>95</v>
      </c>
      <c r="F844" t="s">
        <v>11</v>
      </c>
      <c r="G844" t="s">
        <v>12</v>
      </c>
      <c r="H844" t="s">
        <v>1665</v>
      </c>
      <c r="I844" s="7">
        <v>19.920000000000002</v>
      </c>
      <c r="J844" s="8">
        <v>5</v>
      </c>
      <c r="K844" s="7">
        <v>6.72</v>
      </c>
    </row>
    <row r="845" spans="1:11" x14ac:dyDescent="0.3">
      <c r="A845" s="2">
        <v>42167</v>
      </c>
      <c r="B845" s="9">
        <f>MONTH(Table1[[#This Row],[Order Date]])</f>
        <v>6</v>
      </c>
      <c r="C845" s="9">
        <f>YEAR(Table1[[#This Row],[Order Date]])</f>
        <v>2015</v>
      </c>
      <c r="D845" t="s">
        <v>806</v>
      </c>
      <c r="E845" t="s">
        <v>95</v>
      </c>
      <c r="F845" t="s">
        <v>11</v>
      </c>
      <c r="G845" t="s">
        <v>12</v>
      </c>
      <c r="H845" t="s">
        <v>1297</v>
      </c>
      <c r="I845" s="7">
        <v>198.27</v>
      </c>
      <c r="J845" s="8">
        <v>8</v>
      </c>
      <c r="K845" s="7">
        <v>61.96</v>
      </c>
    </row>
    <row r="846" spans="1:11" x14ac:dyDescent="0.3">
      <c r="A846" s="2">
        <v>42167</v>
      </c>
      <c r="B846" s="9">
        <f>MONTH(Table1[[#This Row],[Order Date]])</f>
        <v>6</v>
      </c>
      <c r="C846" s="9">
        <f>YEAR(Table1[[#This Row],[Order Date]])</f>
        <v>2015</v>
      </c>
      <c r="D846" t="s">
        <v>806</v>
      </c>
      <c r="E846" t="s">
        <v>95</v>
      </c>
      <c r="F846" t="s">
        <v>11</v>
      </c>
      <c r="G846" t="s">
        <v>18</v>
      </c>
      <c r="H846" t="s">
        <v>993</v>
      </c>
      <c r="I846" s="7">
        <v>247.1</v>
      </c>
      <c r="J846" s="8">
        <v>6</v>
      </c>
      <c r="K846" s="7">
        <v>-58.69</v>
      </c>
    </row>
    <row r="847" spans="1:11" x14ac:dyDescent="0.3">
      <c r="A847" s="2">
        <v>42167</v>
      </c>
      <c r="B847" s="9">
        <f>MONTH(Table1[[#This Row],[Order Date]])</f>
        <v>6</v>
      </c>
      <c r="C847" s="9">
        <f>YEAR(Table1[[#This Row],[Order Date]])</f>
        <v>2015</v>
      </c>
      <c r="D847" t="s">
        <v>1193</v>
      </c>
      <c r="E847" t="s">
        <v>78</v>
      </c>
      <c r="F847" t="s">
        <v>39</v>
      </c>
      <c r="G847" t="s">
        <v>40</v>
      </c>
      <c r="H847" t="s">
        <v>836</v>
      </c>
      <c r="I847" s="7">
        <v>485.94</v>
      </c>
      <c r="J847" s="8">
        <v>2</v>
      </c>
      <c r="K847" s="7">
        <v>-89.09</v>
      </c>
    </row>
    <row r="848" spans="1:11" x14ac:dyDescent="0.3">
      <c r="A848" s="2">
        <v>42167</v>
      </c>
      <c r="B848" s="9">
        <f>MONTH(Table1[[#This Row],[Order Date]])</f>
        <v>6</v>
      </c>
      <c r="C848" s="9">
        <f>YEAR(Table1[[#This Row],[Order Date]])</f>
        <v>2015</v>
      </c>
      <c r="D848" t="s">
        <v>1193</v>
      </c>
      <c r="E848" t="s">
        <v>78</v>
      </c>
      <c r="F848" t="s">
        <v>34</v>
      </c>
      <c r="G848" t="s">
        <v>35</v>
      </c>
      <c r="H848" t="s">
        <v>1775</v>
      </c>
      <c r="I848" s="7">
        <v>70.69</v>
      </c>
      <c r="J848" s="8">
        <v>1</v>
      </c>
      <c r="K848" s="7">
        <v>-24.24</v>
      </c>
    </row>
    <row r="849" spans="1:11" x14ac:dyDescent="0.3">
      <c r="A849" s="2">
        <v>42167</v>
      </c>
      <c r="B849" s="9">
        <f>MONTH(Table1[[#This Row],[Order Date]])</f>
        <v>6</v>
      </c>
      <c r="C849" s="9">
        <f>YEAR(Table1[[#This Row],[Order Date]])</f>
        <v>2015</v>
      </c>
      <c r="D849" t="s">
        <v>950</v>
      </c>
      <c r="E849" t="s">
        <v>27</v>
      </c>
      <c r="F849" t="s">
        <v>11</v>
      </c>
      <c r="G849" t="s">
        <v>12</v>
      </c>
      <c r="H849" t="s">
        <v>834</v>
      </c>
      <c r="I849" s="7">
        <v>32.75</v>
      </c>
      <c r="J849" s="8">
        <v>5</v>
      </c>
      <c r="K849" s="7">
        <v>15.07</v>
      </c>
    </row>
    <row r="850" spans="1:11" x14ac:dyDescent="0.3">
      <c r="A850" s="2">
        <v>42167</v>
      </c>
      <c r="B850" s="9">
        <f>MONTH(Table1[[#This Row],[Order Date]])</f>
        <v>6</v>
      </c>
      <c r="C850" s="9">
        <f>YEAR(Table1[[#This Row],[Order Date]])</f>
        <v>2015</v>
      </c>
      <c r="D850" t="s">
        <v>125</v>
      </c>
      <c r="E850" t="s">
        <v>144</v>
      </c>
      <c r="F850" t="s">
        <v>11</v>
      </c>
      <c r="G850" t="s">
        <v>12</v>
      </c>
      <c r="H850" t="s">
        <v>1437</v>
      </c>
      <c r="I850" s="7">
        <v>41.86</v>
      </c>
      <c r="J850" s="8">
        <v>7</v>
      </c>
      <c r="K850" s="7">
        <v>20.51</v>
      </c>
    </row>
    <row r="851" spans="1:11" x14ac:dyDescent="0.3">
      <c r="A851" s="2">
        <v>42167</v>
      </c>
      <c r="B851" s="9">
        <f>MONTH(Table1[[#This Row],[Order Date]])</f>
        <v>6</v>
      </c>
      <c r="C851" s="9">
        <f>YEAR(Table1[[#This Row],[Order Date]])</f>
        <v>2015</v>
      </c>
      <c r="D851" t="s">
        <v>125</v>
      </c>
      <c r="E851" t="s">
        <v>144</v>
      </c>
      <c r="F851" t="s">
        <v>39</v>
      </c>
      <c r="G851" t="s">
        <v>52</v>
      </c>
      <c r="H851" t="s">
        <v>2286</v>
      </c>
      <c r="I851" s="7">
        <v>1619.91</v>
      </c>
      <c r="J851" s="8">
        <v>9</v>
      </c>
      <c r="K851" s="7">
        <v>97.19</v>
      </c>
    </row>
    <row r="852" spans="1:11" x14ac:dyDescent="0.3">
      <c r="A852" s="2">
        <v>42167</v>
      </c>
      <c r="B852" s="9">
        <f>MONTH(Table1[[#This Row],[Order Date]])</f>
        <v>6</v>
      </c>
      <c r="C852" s="9">
        <f>YEAR(Table1[[#This Row],[Order Date]])</f>
        <v>2015</v>
      </c>
      <c r="D852" t="s">
        <v>260</v>
      </c>
      <c r="E852" t="s">
        <v>126</v>
      </c>
      <c r="F852" t="s">
        <v>39</v>
      </c>
      <c r="G852" t="s">
        <v>590</v>
      </c>
      <c r="H852" t="s">
        <v>1436</v>
      </c>
      <c r="I852" s="7">
        <v>999.98</v>
      </c>
      <c r="J852" s="8">
        <v>2</v>
      </c>
      <c r="K852" s="7">
        <v>449.99</v>
      </c>
    </row>
    <row r="853" spans="1:11" x14ac:dyDescent="0.3">
      <c r="A853" s="2">
        <v>42167</v>
      </c>
      <c r="B853" s="9">
        <f>MONTH(Table1[[#This Row],[Order Date]])</f>
        <v>6</v>
      </c>
      <c r="C853" s="9">
        <f>YEAR(Table1[[#This Row],[Order Date]])</f>
        <v>2015</v>
      </c>
      <c r="D853" t="s">
        <v>1018</v>
      </c>
      <c r="E853" t="s">
        <v>123</v>
      </c>
      <c r="F853" t="s">
        <v>11</v>
      </c>
      <c r="G853" t="s">
        <v>12</v>
      </c>
      <c r="H853" t="s">
        <v>2342</v>
      </c>
      <c r="I853" s="7">
        <v>6.48</v>
      </c>
      <c r="J853" s="8">
        <v>1</v>
      </c>
      <c r="K853" s="7">
        <v>3.11</v>
      </c>
    </row>
    <row r="854" spans="1:11" x14ac:dyDescent="0.3">
      <c r="A854" s="2">
        <v>42167</v>
      </c>
      <c r="B854" s="9">
        <f>MONTH(Table1[[#This Row],[Order Date]])</f>
        <v>6</v>
      </c>
      <c r="C854" s="9">
        <f>YEAR(Table1[[#This Row],[Order Date]])</f>
        <v>2015</v>
      </c>
      <c r="D854" t="s">
        <v>2007</v>
      </c>
      <c r="E854" t="s">
        <v>27</v>
      </c>
      <c r="F854" t="s">
        <v>11</v>
      </c>
      <c r="G854" t="s">
        <v>12</v>
      </c>
      <c r="H854" t="s">
        <v>1456</v>
      </c>
      <c r="I854" s="7">
        <v>8.9600000000000009</v>
      </c>
      <c r="J854" s="8">
        <v>2</v>
      </c>
      <c r="K854" s="7">
        <v>4.3899999999999997</v>
      </c>
    </row>
    <row r="855" spans="1:11" x14ac:dyDescent="0.3">
      <c r="A855" s="2">
        <v>42188</v>
      </c>
      <c r="B855" s="9">
        <f>MONTH(Table1[[#This Row],[Order Date]])</f>
        <v>7</v>
      </c>
      <c r="C855" s="9">
        <f>YEAR(Table1[[#This Row],[Order Date]])</f>
        <v>2015</v>
      </c>
      <c r="D855" t="s">
        <v>948</v>
      </c>
      <c r="E855" t="s">
        <v>59</v>
      </c>
      <c r="F855" t="s">
        <v>39</v>
      </c>
      <c r="G855" t="s">
        <v>52</v>
      </c>
      <c r="H855" t="s">
        <v>1894</v>
      </c>
      <c r="I855" s="7">
        <v>119.85</v>
      </c>
      <c r="J855" s="8">
        <v>3</v>
      </c>
      <c r="K855" s="7">
        <v>52.73</v>
      </c>
    </row>
    <row r="856" spans="1:11" x14ac:dyDescent="0.3">
      <c r="A856" s="2">
        <v>42188</v>
      </c>
      <c r="B856" s="9">
        <f>MONTH(Table1[[#This Row],[Order Date]])</f>
        <v>7</v>
      </c>
      <c r="C856" s="9">
        <f>YEAR(Table1[[#This Row],[Order Date]])</f>
        <v>2015</v>
      </c>
      <c r="D856" t="s">
        <v>948</v>
      </c>
      <c r="E856" t="s">
        <v>59</v>
      </c>
      <c r="F856" t="s">
        <v>39</v>
      </c>
      <c r="G856" t="s">
        <v>40</v>
      </c>
      <c r="H856" t="s">
        <v>1895</v>
      </c>
      <c r="I856" s="7">
        <v>587.97</v>
      </c>
      <c r="J856" s="8">
        <v>3</v>
      </c>
      <c r="K856" s="7">
        <v>170.51</v>
      </c>
    </row>
    <row r="857" spans="1:11" x14ac:dyDescent="0.3">
      <c r="A857" s="2">
        <v>42189</v>
      </c>
      <c r="B857" s="9">
        <f>MONTH(Table1[[#This Row],[Order Date]])</f>
        <v>7</v>
      </c>
      <c r="C857" s="9">
        <f>YEAR(Table1[[#This Row],[Order Date]])</f>
        <v>2015</v>
      </c>
      <c r="D857" t="s">
        <v>605</v>
      </c>
      <c r="E857" t="s">
        <v>10</v>
      </c>
      <c r="F857" t="s">
        <v>11</v>
      </c>
      <c r="G857" t="s">
        <v>92</v>
      </c>
      <c r="H857" t="s">
        <v>1810</v>
      </c>
      <c r="I857" s="7">
        <v>463.25</v>
      </c>
      <c r="J857" s="8">
        <v>8</v>
      </c>
      <c r="K857" s="7">
        <v>-1181.28</v>
      </c>
    </row>
    <row r="858" spans="1:11" x14ac:dyDescent="0.3">
      <c r="A858" s="2">
        <v>42189</v>
      </c>
      <c r="B858" s="9">
        <f>MONTH(Table1[[#This Row],[Order Date]])</f>
        <v>7</v>
      </c>
      <c r="C858" s="9">
        <f>YEAR(Table1[[#This Row],[Order Date]])</f>
        <v>2015</v>
      </c>
      <c r="D858" t="s">
        <v>605</v>
      </c>
      <c r="E858" t="s">
        <v>10</v>
      </c>
      <c r="F858" t="s">
        <v>39</v>
      </c>
      <c r="G858" t="s">
        <v>52</v>
      </c>
      <c r="H858" t="s">
        <v>1956</v>
      </c>
      <c r="I858" s="7">
        <v>383.95</v>
      </c>
      <c r="J858" s="8">
        <v>6</v>
      </c>
      <c r="K858" s="7">
        <v>47.99</v>
      </c>
    </row>
    <row r="859" spans="1:11" x14ac:dyDescent="0.3">
      <c r="A859" s="2">
        <v>42189</v>
      </c>
      <c r="B859" s="9">
        <f>MONTH(Table1[[#This Row],[Order Date]])</f>
        <v>7</v>
      </c>
      <c r="C859" s="9">
        <f>YEAR(Table1[[#This Row],[Order Date]])</f>
        <v>2015</v>
      </c>
      <c r="D859" t="s">
        <v>1149</v>
      </c>
      <c r="E859" t="s">
        <v>23</v>
      </c>
      <c r="F859" t="s">
        <v>11</v>
      </c>
      <c r="G859" t="s">
        <v>24</v>
      </c>
      <c r="H859" t="s">
        <v>1667</v>
      </c>
      <c r="I859" s="7">
        <v>11.74</v>
      </c>
      <c r="J859" s="8">
        <v>3</v>
      </c>
      <c r="K859" s="7">
        <v>1.03</v>
      </c>
    </row>
    <row r="860" spans="1:11" x14ac:dyDescent="0.3">
      <c r="A860" s="2">
        <v>42189</v>
      </c>
      <c r="B860" s="9">
        <f>MONTH(Table1[[#This Row],[Order Date]])</f>
        <v>7</v>
      </c>
      <c r="C860" s="9">
        <f>YEAR(Table1[[#This Row],[Order Date]])</f>
        <v>2015</v>
      </c>
      <c r="D860" t="s">
        <v>697</v>
      </c>
      <c r="E860" t="s">
        <v>144</v>
      </c>
      <c r="F860" t="s">
        <v>11</v>
      </c>
      <c r="G860" t="s">
        <v>12</v>
      </c>
      <c r="H860" t="s">
        <v>1584</v>
      </c>
      <c r="I860" s="7">
        <v>25.92</v>
      </c>
      <c r="J860" s="8">
        <v>4</v>
      </c>
      <c r="K860" s="7">
        <v>12.44</v>
      </c>
    </row>
    <row r="861" spans="1:11" x14ac:dyDescent="0.3">
      <c r="A861" s="2">
        <v>42190</v>
      </c>
      <c r="B861" s="9">
        <f>MONTH(Table1[[#This Row],[Order Date]])</f>
        <v>7</v>
      </c>
      <c r="C861" s="9">
        <f>YEAR(Table1[[#This Row],[Order Date]])</f>
        <v>2015</v>
      </c>
      <c r="D861" t="s">
        <v>2018</v>
      </c>
      <c r="E861" t="s">
        <v>10</v>
      </c>
      <c r="F861" t="s">
        <v>34</v>
      </c>
      <c r="G861" t="s">
        <v>140</v>
      </c>
      <c r="H861" t="s">
        <v>2019</v>
      </c>
      <c r="I861" s="7">
        <v>244.01</v>
      </c>
      <c r="J861" s="8">
        <v>2</v>
      </c>
      <c r="K861" s="7">
        <v>-31.37</v>
      </c>
    </row>
    <row r="862" spans="1:11" x14ac:dyDescent="0.3">
      <c r="A862" s="2">
        <v>42190</v>
      </c>
      <c r="B862" s="9">
        <f>MONTH(Table1[[#This Row],[Order Date]])</f>
        <v>7</v>
      </c>
      <c r="C862" s="9">
        <f>YEAR(Table1[[#This Row],[Order Date]])</f>
        <v>2015</v>
      </c>
      <c r="D862" t="s">
        <v>1243</v>
      </c>
      <c r="E862" t="s">
        <v>33</v>
      </c>
      <c r="F862" t="s">
        <v>11</v>
      </c>
      <c r="G862" t="s">
        <v>12</v>
      </c>
      <c r="H862" t="s">
        <v>802</v>
      </c>
      <c r="I862" s="7">
        <v>45.68</v>
      </c>
      <c r="J862" s="8">
        <v>2</v>
      </c>
      <c r="K862" s="7">
        <v>21.01</v>
      </c>
    </row>
    <row r="863" spans="1:11" x14ac:dyDescent="0.3">
      <c r="A863" s="2">
        <v>42191</v>
      </c>
      <c r="B863" s="9">
        <f>MONTH(Table1[[#This Row],[Order Date]])</f>
        <v>7</v>
      </c>
      <c r="C863" s="9">
        <f>YEAR(Table1[[#This Row],[Order Date]])</f>
        <v>2015</v>
      </c>
      <c r="D863" t="s">
        <v>2057</v>
      </c>
      <c r="E863" t="s">
        <v>27</v>
      </c>
      <c r="F863" t="s">
        <v>11</v>
      </c>
      <c r="G863" t="s">
        <v>20</v>
      </c>
      <c r="H863" t="s">
        <v>67</v>
      </c>
      <c r="I863" s="7">
        <v>7.52</v>
      </c>
      <c r="J863" s="8">
        <v>5</v>
      </c>
      <c r="K863" s="7">
        <v>2.63</v>
      </c>
    </row>
    <row r="864" spans="1:11" x14ac:dyDescent="0.3">
      <c r="A864" s="2">
        <v>42193</v>
      </c>
      <c r="B864" s="9">
        <f>MONTH(Table1[[#This Row],[Order Date]])</f>
        <v>7</v>
      </c>
      <c r="C864" s="9">
        <f>YEAR(Table1[[#This Row],[Order Date]])</f>
        <v>2015</v>
      </c>
      <c r="D864" t="s">
        <v>2132</v>
      </c>
      <c r="E864" t="s">
        <v>27</v>
      </c>
      <c r="F864" t="s">
        <v>11</v>
      </c>
      <c r="G864" t="s">
        <v>20</v>
      </c>
      <c r="H864" t="s">
        <v>2133</v>
      </c>
      <c r="I864" s="7">
        <v>19.149999999999999</v>
      </c>
      <c r="J864" s="8">
        <v>3</v>
      </c>
      <c r="K864" s="7">
        <v>6.46</v>
      </c>
    </row>
    <row r="865" spans="1:11" x14ac:dyDescent="0.3">
      <c r="A865" s="2">
        <v>42193</v>
      </c>
      <c r="B865" s="9">
        <f>MONTH(Table1[[#This Row],[Order Date]])</f>
        <v>7</v>
      </c>
      <c r="C865" s="9">
        <f>YEAR(Table1[[#This Row],[Order Date]])</f>
        <v>2015</v>
      </c>
      <c r="D865" t="s">
        <v>1379</v>
      </c>
      <c r="E865" t="s">
        <v>179</v>
      </c>
      <c r="F865" t="s">
        <v>11</v>
      </c>
      <c r="G865" t="s">
        <v>20</v>
      </c>
      <c r="H865" t="s">
        <v>1157</v>
      </c>
      <c r="I865" s="7">
        <v>28.4</v>
      </c>
      <c r="J865" s="8">
        <v>4</v>
      </c>
      <c r="K865" s="7">
        <v>13.06</v>
      </c>
    </row>
    <row r="866" spans="1:11" x14ac:dyDescent="0.3">
      <c r="A866" s="2">
        <v>42193</v>
      </c>
      <c r="B866" s="9">
        <f>MONTH(Table1[[#This Row],[Order Date]])</f>
        <v>7</v>
      </c>
      <c r="C866" s="9">
        <f>YEAR(Table1[[#This Row],[Order Date]])</f>
        <v>2015</v>
      </c>
      <c r="D866" t="s">
        <v>1379</v>
      </c>
      <c r="E866" t="s">
        <v>179</v>
      </c>
      <c r="F866" t="s">
        <v>34</v>
      </c>
      <c r="G866" t="s">
        <v>47</v>
      </c>
      <c r="H866" t="s">
        <v>2134</v>
      </c>
      <c r="I866" s="7">
        <v>212.94</v>
      </c>
      <c r="J866" s="8">
        <v>3</v>
      </c>
      <c r="K866" s="7">
        <v>34.07</v>
      </c>
    </row>
    <row r="867" spans="1:11" x14ac:dyDescent="0.3">
      <c r="A867" s="2">
        <v>42193</v>
      </c>
      <c r="B867" s="9">
        <f>MONTH(Table1[[#This Row],[Order Date]])</f>
        <v>7</v>
      </c>
      <c r="C867" s="9">
        <f>YEAR(Table1[[#This Row],[Order Date]])</f>
        <v>2015</v>
      </c>
      <c r="D867" t="s">
        <v>852</v>
      </c>
      <c r="E867" t="s">
        <v>517</v>
      </c>
      <c r="F867" t="s">
        <v>11</v>
      </c>
      <c r="G867" t="s">
        <v>92</v>
      </c>
      <c r="H867" t="s">
        <v>1354</v>
      </c>
      <c r="I867" s="7">
        <v>77.58</v>
      </c>
      <c r="J867" s="8">
        <v>9</v>
      </c>
      <c r="K867" s="7">
        <v>20.170000000000002</v>
      </c>
    </row>
    <row r="868" spans="1:11" x14ac:dyDescent="0.3">
      <c r="A868" s="2">
        <v>42193</v>
      </c>
      <c r="B868" s="9">
        <f>MONTH(Table1[[#This Row],[Order Date]])</f>
        <v>7</v>
      </c>
      <c r="C868" s="9">
        <f>YEAR(Table1[[#This Row],[Order Date]])</f>
        <v>2015</v>
      </c>
      <c r="D868" t="s">
        <v>2135</v>
      </c>
      <c r="E868" t="s">
        <v>55</v>
      </c>
      <c r="F868" t="s">
        <v>39</v>
      </c>
      <c r="G868" t="s">
        <v>40</v>
      </c>
      <c r="H868" t="s">
        <v>2136</v>
      </c>
      <c r="I868" s="7">
        <v>494.97</v>
      </c>
      <c r="J868" s="8">
        <v>3</v>
      </c>
      <c r="K868" s="7">
        <v>148.49</v>
      </c>
    </row>
    <row r="869" spans="1:11" x14ac:dyDescent="0.3">
      <c r="A869" s="2">
        <v>42193</v>
      </c>
      <c r="B869" s="9">
        <f>MONTH(Table1[[#This Row],[Order Date]])</f>
        <v>7</v>
      </c>
      <c r="C869" s="9">
        <f>YEAR(Table1[[#This Row],[Order Date]])</f>
        <v>2015</v>
      </c>
      <c r="D869" t="s">
        <v>2135</v>
      </c>
      <c r="E869" t="s">
        <v>55</v>
      </c>
      <c r="F869" t="s">
        <v>11</v>
      </c>
      <c r="G869" t="s">
        <v>16</v>
      </c>
      <c r="H869" t="s">
        <v>2137</v>
      </c>
      <c r="I869" s="7">
        <v>25.06</v>
      </c>
      <c r="J869" s="8">
        <v>2</v>
      </c>
      <c r="K869" s="7">
        <v>11.78</v>
      </c>
    </row>
    <row r="870" spans="1:11" x14ac:dyDescent="0.3">
      <c r="A870" s="2">
        <v>42194</v>
      </c>
      <c r="B870" s="9">
        <f>MONTH(Table1[[#This Row],[Order Date]])</f>
        <v>7</v>
      </c>
      <c r="C870" s="9">
        <f>YEAR(Table1[[#This Row],[Order Date]])</f>
        <v>2015</v>
      </c>
      <c r="D870" t="s">
        <v>1418</v>
      </c>
      <c r="E870" t="s">
        <v>27</v>
      </c>
      <c r="F870" t="s">
        <v>11</v>
      </c>
      <c r="G870" t="s">
        <v>18</v>
      </c>
      <c r="H870" t="s">
        <v>1605</v>
      </c>
      <c r="I870" s="7">
        <v>671.93</v>
      </c>
      <c r="J870" s="8">
        <v>7</v>
      </c>
      <c r="K870" s="7">
        <v>20.16</v>
      </c>
    </row>
    <row r="871" spans="1:11" x14ac:dyDescent="0.3">
      <c r="A871" s="2">
        <v>42194</v>
      </c>
      <c r="B871" s="9">
        <f>MONTH(Table1[[#This Row],[Order Date]])</f>
        <v>7</v>
      </c>
      <c r="C871" s="9">
        <f>YEAR(Table1[[#This Row],[Order Date]])</f>
        <v>2015</v>
      </c>
      <c r="D871" t="s">
        <v>955</v>
      </c>
      <c r="E871" t="s">
        <v>10</v>
      </c>
      <c r="F871" t="s">
        <v>34</v>
      </c>
      <c r="G871" t="s">
        <v>35</v>
      </c>
      <c r="H871" t="s">
        <v>1000</v>
      </c>
      <c r="I871" s="7">
        <v>47.52</v>
      </c>
      <c r="J871" s="8">
        <v>2</v>
      </c>
      <c r="K871" s="7">
        <v>-2.04</v>
      </c>
    </row>
    <row r="872" spans="1:11" x14ac:dyDescent="0.3">
      <c r="A872" s="2">
        <v>42194</v>
      </c>
      <c r="B872" s="9">
        <f>MONTH(Table1[[#This Row],[Order Date]])</f>
        <v>7</v>
      </c>
      <c r="C872" s="9">
        <f>YEAR(Table1[[#This Row],[Order Date]])</f>
        <v>2015</v>
      </c>
      <c r="D872" t="s">
        <v>1223</v>
      </c>
      <c r="E872" t="s">
        <v>144</v>
      </c>
      <c r="F872" t="s">
        <v>34</v>
      </c>
      <c r="G872" t="s">
        <v>140</v>
      </c>
      <c r="H872" t="s">
        <v>2181</v>
      </c>
      <c r="I872" s="7">
        <v>27.41</v>
      </c>
      <c r="J872" s="8">
        <v>3</v>
      </c>
      <c r="K872" s="7">
        <v>-14.16</v>
      </c>
    </row>
    <row r="873" spans="1:11" x14ac:dyDescent="0.3">
      <c r="A873" s="2">
        <v>42194</v>
      </c>
      <c r="B873" s="9">
        <f>MONTH(Table1[[#This Row],[Order Date]])</f>
        <v>7</v>
      </c>
      <c r="C873" s="9">
        <f>YEAR(Table1[[#This Row],[Order Date]])</f>
        <v>2015</v>
      </c>
      <c r="D873" t="s">
        <v>1202</v>
      </c>
      <c r="E873" t="s">
        <v>23</v>
      </c>
      <c r="F873" t="s">
        <v>11</v>
      </c>
      <c r="G873" t="s">
        <v>20</v>
      </c>
      <c r="H873" t="s">
        <v>2182</v>
      </c>
      <c r="I873" s="7">
        <v>9.52</v>
      </c>
      <c r="J873" s="8">
        <v>1</v>
      </c>
      <c r="K873" s="7">
        <v>-6.98</v>
      </c>
    </row>
    <row r="874" spans="1:11" x14ac:dyDescent="0.3">
      <c r="A874" s="2">
        <v>42194</v>
      </c>
      <c r="B874" s="9">
        <f>MONTH(Table1[[#This Row],[Order Date]])</f>
        <v>7</v>
      </c>
      <c r="C874" s="9">
        <f>YEAR(Table1[[#This Row],[Order Date]])</f>
        <v>2015</v>
      </c>
      <c r="D874" t="s">
        <v>1202</v>
      </c>
      <c r="E874" t="s">
        <v>23</v>
      </c>
      <c r="F874" t="s">
        <v>11</v>
      </c>
      <c r="G874" t="s">
        <v>20</v>
      </c>
      <c r="H874" t="s">
        <v>690</v>
      </c>
      <c r="I874" s="7">
        <v>4.92</v>
      </c>
      <c r="J874" s="8">
        <v>3</v>
      </c>
      <c r="K874" s="7">
        <v>-3.94</v>
      </c>
    </row>
    <row r="875" spans="1:11" x14ac:dyDescent="0.3">
      <c r="A875" s="2">
        <v>42194</v>
      </c>
      <c r="B875" s="9">
        <f>MONTH(Table1[[#This Row],[Order Date]])</f>
        <v>7</v>
      </c>
      <c r="C875" s="9">
        <f>YEAR(Table1[[#This Row],[Order Date]])</f>
        <v>2015</v>
      </c>
      <c r="D875" t="s">
        <v>1071</v>
      </c>
      <c r="E875" t="s">
        <v>144</v>
      </c>
      <c r="F875" t="s">
        <v>11</v>
      </c>
      <c r="G875" t="s">
        <v>18</v>
      </c>
      <c r="H875" t="s">
        <v>2146</v>
      </c>
      <c r="I875" s="7">
        <v>70.260000000000005</v>
      </c>
      <c r="J875" s="8">
        <v>3</v>
      </c>
      <c r="K875" s="7">
        <v>18.97</v>
      </c>
    </row>
    <row r="876" spans="1:11" x14ac:dyDescent="0.3">
      <c r="A876" s="2">
        <v>42194</v>
      </c>
      <c r="B876" s="9">
        <f>MONTH(Table1[[#This Row],[Order Date]])</f>
        <v>7</v>
      </c>
      <c r="C876" s="9">
        <f>YEAR(Table1[[#This Row],[Order Date]])</f>
        <v>2015</v>
      </c>
      <c r="D876" t="s">
        <v>1071</v>
      </c>
      <c r="E876" t="s">
        <v>144</v>
      </c>
      <c r="F876" t="s">
        <v>39</v>
      </c>
      <c r="G876" t="s">
        <v>52</v>
      </c>
      <c r="H876" t="s">
        <v>2183</v>
      </c>
      <c r="I876" s="7">
        <v>90</v>
      </c>
      <c r="J876" s="8">
        <v>5</v>
      </c>
      <c r="K876" s="7">
        <v>16.2</v>
      </c>
    </row>
    <row r="877" spans="1:11" x14ac:dyDescent="0.3">
      <c r="A877" s="2">
        <v>42194</v>
      </c>
      <c r="B877" s="9">
        <f>MONTH(Table1[[#This Row],[Order Date]])</f>
        <v>7</v>
      </c>
      <c r="C877" s="9">
        <f>YEAR(Table1[[#This Row],[Order Date]])</f>
        <v>2015</v>
      </c>
      <c r="D877" t="s">
        <v>1071</v>
      </c>
      <c r="E877" t="s">
        <v>144</v>
      </c>
      <c r="F877" t="s">
        <v>11</v>
      </c>
      <c r="G877" t="s">
        <v>20</v>
      </c>
      <c r="H877" t="s">
        <v>111</v>
      </c>
      <c r="I877" s="7">
        <v>6.1</v>
      </c>
      <c r="J877" s="8">
        <v>2</v>
      </c>
      <c r="K877" s="7">
        <v>2.06</v>
      </c>
    </row>
    <row r="878" spans="1:11" x14ac:dyDescent="0.3">
      <c r="A878" s="2">
        <v>42194</v>
      </c>
      <c r="B878" s="9">
        <f>MONTH(Table1[[#This Row],[Order Date]])</f>
        <v>7</v>
      </c>
      <c r="C878" s="9">
        <f>YEAR(Table1[[#This Row],[Order Date]])</f>
        <v>2015</v>
      </c>
      <c r="D878" t="s">
        <v>1071</v>
      </c>
      <c r="E878" t="s">
        <v>144</v>
      </c>
      <c r="F878" t="s">
        <v>34</v>
      </c>
      <c r="G878" t="s">
        <v>140</v>
      </c>
      <c r="H878" t="s">
        <v>1161</v>
      </c>
      <c r="I878" s="7">
        <v>481.18</v>
      </c>
      <c r="J878" s="8">
        <v>2</v>
      </c>
      <c r="K878" s="7">
        <v>-120.29</v>
      </c>
    </row>
    <row r="879" spans="1:11" x14ac:dyDescent="0.3">
      <c r="A879" s="2">
        <v>42196</v>
      </c>
      <c r="B879" s="9">
        <f>MONTH(Table1[[#This Row],[Order Date]])</f>
        <v>7</v>
      </c>
      <c r="C879" s="9">
        <f>YEAR(Table1[[#This Row],[Order Date]])</f>
        <v>2015</v>
      </c>
      <c r="D879" t="s">
        <v>415</v>
      </c>
      <c r="E879" t="s">
        <v>27</v>
      </c>
      <c r="F879" t="s">
        <v>34</v>
      </c>
      <c r="G879" t="s">
        <v>35</v>
      </c>
      <c r="H879" t="s">
        <v>1636</v>
      </c>
      <c r="I879" s="7">
        <v>190.72</v>
      </c>
      <c r="J879" s="8">
        <v>1</v>
      </c>
      <c r="K879" s="7">
        <v>11.92</v>
      </c>
    </row>
    <row r="880" spans="1:11" x14ac:dyDescent="0.3">
      <c r="A880" s="2">
        <v>42196</v>
      </c>
      <c r="B880" s="9">
        <f>MONTH(Table1[[#This Row],[Order Date]])</f>
        <v>7</v>
      </c>
      <c r="C880" s="9">
        <f>YEAR(Table1[[#This Row],[Order Date]])</f>
        <v>2015</v>
      </c>
      <c r="D880" t="s">
        <v>1304</v>
      </c>
      <c r="E880" t="s">
        <v>59</v>
      </c>
      <c r="F880" t="s">
        <v>11</v>
      </c>
      <c r="G880" t="s">
        <v>43</v>
      </c>
      <c r="H880" t="s">
        <v>2276</v>
      </c>
      <c r="I880" s="7">
        <v>26.18</v>
      </c>
      <c r="J880" s="8">
        <v>7</v>
      </c>
      <c r="K880" s="7">
        <v>0.52</v>
      </c>
    </row>
    <row r="881" spans="1:11" x14ac:dyDescent="0.3">
      <c r="A881" s="2">
        <v>42196</v>
      </c>
      <c r="B881" s="9">
        <f>MONTH(Table1[[#This Row],[Order Date]])</f>
        <v>7</v>
      </c>
      <c r="C881" s="9">
        <f>YEAR(Table1[[#This Row],[Order Date]])</f>
        <v>2015</v>
      </c>
      <c r="D881" t="s">
        <v>1304</v>
      </c>
      <c r="E881" t="s">
        <v>59</v>
      </c>
      <c r="F881" t="s">
        <v>11</v>
      </c>
      <c r="G881" t="s">
        <v>12</v>
      </c>
      <c r="H881" t="s">
        <v>2277</v>
      </c>
      <c r="I881" s="7">
        <v>7.3</v>
      </c>
      <c r="J881" s="8">
        <v>2</v>
      </c>
      <c r="K881" s="7">
        <v>3.43</v>
      </c>
    </row>
    <row r="882" spans="1:11" x14ac:dyDescent="0.3">
      <c r="A882" s="2">
        <v>42196</v>
      </c>
      <c r="B882" s="9">
        <f>MONTH(Table1[[#This Row],[Order Date]])</f>
        <v>7</v>
      </c>
      <c r="C882" s="9">
        <f>YEAR(Table1[[#This Row],[Order Date]])</f>
        <v>2015</v>
      </c>
      <c r="D882" t="s">
        <v>415</v>
      </c>
      <c r="E882" t="s">
        <v>23</v>
      </c>
      <c r="F882" t="s">
        <v>11</v>
      </c>
      <c r="G882" t="s">
        <v>63</v>
      </c>
      <c r="H882" t="s">
        <v>2116</v>
      </c>
      <c r="I882" s="7">
        <v>24.4</v>
      </c>
      <c r="J882" s="8">
        <v>2</v>
      </c>
      <c r="K882" s="7">
        <v>7.93</v>
      </c>
    </row>
    <row r="883" spans="1:11" x14ac:dyDescent="0.3">
      <c r="A883" s="2">
        <v>42196</v>
      </c>
      <c r="B883" s="9">
        <f>MONTH(Table1[[#This Row],[Order Date]])</f>
        <v>7</v>
      </c>
      <c r="C883" s="9">
        <f>YEAR(Table1[[#This Row],[Order Date]])</f>
        <v>2015</v>
      </c>
      <c r="D883" t="s">
        <v>312</v>
      </c>
      <c r="E883" t="s">
        <v>120</v>
      </c>
      <c r="F883" t="s">
        <v>11</v>
      </c>
      <c r="G883" t="s">
        <v>20</v>
      </c>
      <c r="H883" t="s">
        <v>1816</v>
      </c>
      <c r="I883" s="7">
        <v>16.149999999999999</v>
      </c>
      <c r="J883" s="8">
        <v>9</v>
      </c>
      <c r="K883" s="7">
        <v>-12.92</v>
      </c>
    </row>
    <row r="884" spans="1:11" x14ac:dyDescent="0.3">
      <c r="A884" s="2">
        <v>42196</v>
      </c>
      <c r="B884" s="9">
        <f>MONTH(Table1[[#This Row],[Order Date]])</f>
        <v>7</v>
      </c>
      <c r="C884" s="9">
        <f>YEAR(Table1[[#This Row],[Order Date]])</f>
        <v>2015</v>
      </c>
      <c r="D884" t="s">
        <v>2279</v>
      </c>
      <c r="E884" t="s">
        <v>10</v>
      </c>
      <c r="F884" t="s">
        <v>11</v>
      </c>
      <c r="G884" t="s">
        <v>12</v>
      </c>
      <c r="H884" t="s">
        <v>2142</v>
      </c>
      <c r="I884" s="7">
        <v>76.64</v>
      </c>
      <c r="J884" s="8">
        <v>2</v>
      </c>
      <c r="K884" s="7">
        <v>26.82</v>
      </c>
    </row>
    <row r="885" spans="1:11" x14ac:dyDescent="0.3">
      <c r="A885" s="2">
        <v>42196</v>
      </c>
      <c r="B885" s="9">
        <f>MONTH(Table1[[#This Row],[Order Date]])</f>
        <v>7</v>
      </c>
      <c r="C885" s="9">
        <f>YEAR(Table1[[#This Row],[Order Date]])</f>
        <v>2015</v>
      </c>
      <c r="D885" t="s">
        <v>1773</v>
      </c>
      <c r="E885" t="s">
        <v>10</v>
      </c>
      <c r="F885" t="s">
        <v>11</v>
      </c>
      <c r="G885" t="s">
        <v>18</v>
      </c>
      <c r="H885" t="s">
        <v>1342</v>
      </c>
      <c r="I885" s="7">
        <v>84.78</v>
      </c>
      <c r="J885" s="8">
        <v>2</v>
      </c>
      <c r="K885" s="7">
        <v>-16.96</v>
      </c>
    </row>
    <row r="886" spans="1:11" x14ac:dyDescent="0.3">
      <c r="A886" s="2">
        <v>42196</v>
      </c>
      <c r="B886" s="9">
        <f>MONTH(Table1[[#This Row],[Order Date]])</f>
        <v>7</v>
      </c>
      <c r="C886" s="9">
        <f>YEAR(Table1[[#This Row],[Order Date]])</f>
        <v>2015</v>
      </c>
      <c r="D886" t="s">
        <v>1773</v>
      </c>
      <c r="E886" t="s">
        <v>10</v>
      </c>
      <c r="F886" t="s">
        <v>34</v>
      </c>
      <c r="G886" t="s">
        <v>47</v>
      </c>
      <c r="H886" t="s">
        <v>1475</v>
      </c>
      <c r="I886" s="7">
        <v>64.959999999999994</v>
      </c>
      <c r="J886" s="8">
        <v>5</v>
      </c>
      <c r="K886" s="7">
        <v>-84.45</v>
      </c>
    </row>
    <row r="887" spans="1:11" x14ac:dyDescent="0.3">
      <c r="A887" s="2">
        <v>42196</v>
      </c>
      <c r="B887" s="9">
        <f>MONTH(Table1[[#This Row],[Order Date]])</f>
        <v>7</v>
      </c>
      <c r="C887" s="9">
        <f>YEAR(Table1[[#This Row],[Order Date]])</f>
        <v>2015</v>
      </c>
      <c r="D887" t="s">
        <v>1773</v>
      </c>
      <c r="E887" t="s">
        <v>10</v>
      </c>
      <c r="F887" t="s">
        <v>11</v>
      </c>
      <c r="G887" t="s">
        <v>18</v>
      </c>
      <c r="H887" t="s">
        <v>2280</v>
      </c>
      <c r="I887" s="7">
        <v>177.65</v>
      </c>
      <c r="J887" s="8">
        <v>2</v>
      </c>
      <c r="K887" s="7">
        <v>-28.87</v>
      </c>
    </row>
    <row r="888" spans="1:11" x14ac:dyDescent="0.3">
      <c r="A888" s="2">
        <v>42196</v>
      </c>
      <c r="B888" s="9">
        <f>MONTH(Table1[[#This Row],[Order Date]])</f>
        <v>7</v>
      </c>
      <c r="C888" s="9">
        <f>YEAR(Table1[[#This Row],[Order Date]])</f>
        <v>2015</v>
      </c>
      <c r="D888" t="s">
        <v>1773</v>
      </c>
      <c r="E888" t="s">
        <v>10</v>
      </c>
      <c r="F888" t="s">
        <v>39</v>
      </c>
      <c r="G888" t="s">
        <v>293</v>
      </c>
      <c r="H888" t="s">
        <v>2281</v>
      </c>
      <c r="I888" s="7">
        <v>287.91000000000003</v>
      </c>
      <c r="J888" s="8">
        <v>3</v>
      </c>
      <c r="K888" s="7">
        <v>33.590000000000003</v>
      </c>
    </row>
    <row r="889" spans="1:11" x14ac:dyDescent="0.3">
      <c r="A889" s="2">
        <v>42197</v>
      </c>
      <c r="B889" s="9">
        <f>MONTH(Table1[[#This Row],[Order Date]])</f>
        <v>7</v>
      </c>
      <c r="C889" s="9">
        <f>YEAR(Table1[[#This Row],[Order Date]])</f>
        <v>2015</v>
      </c>
      <c r="D889" t="s">
        <v>1455</v>
      </c>
      <c r="E889" t="s">
        <v>158</v>
      </c>
      <c r="F889" t="s">
        <v>11</v>
      </c>
      <c r="G889" t="s">
        <v>43</v>
      </c>
      <c r="H889" t="s">
        <v>127</v>
      </c>
      <c r="I889" s="7">
        <v>3.96</v>
      </c>
      <c r="J889" s="8">
        <v>2</v>
      </c>
      <c r="K889" s="7">
        <v>0</v>
      </c>
    </row>
    <row r="890" spans="1:11" x14ac:dyDescent="0.3">
      <c r="A890" s="2">
        <v>42197</v>
      </c>
      <c r="B890" s="9">
        <f>MONTH(Table1[[#This Row],[Order Date]])</f>
        <v>7</v>
      </c>
      <c r="C890" s="9">
        <f>YEAR(Table1[[#This Row],[Order Date]])</f>
        <v>2015</v>
      </c>
      <c r="D890" t="s">
        <v>1676</v>
      </c>
      <c r="E890" t="s">
        <v>144</v>
      </c>
      <c r="F890" t="s">
        <v>11</v>
      </c>
      <c r="G890" t="s">
        <v>20</v>
      </c>
      <c r="H890" t="s">
        <v>197</v>
      </c>
      <c r="I890" s="7">
        <v>21.36</v>
      </c>
      <c r="J890" s="8">
        <v>5</v>
      </c>
      <c r="K890" s="7">
        <v>7.21</v>
      </c>
    </row>
    <row r="891" spans="1:11" x14ac:dyDescent="0.3">
      <c r="A891" s="2">
        <v>42197</v>
      </c>
      <c r="B891" s="9">
        <f>MONTH(Table1[[#This Row],[Order Date]])</f>
        <v>7</v>
      </c>
      <c r="C891" s="9">
        <f>YEAR(Table1[[#This Row],[Order Date]])</f>
        <v>2015</v>
      </c>
      <c r="D891" t="s">
        <v>1676</v>
      </c>
      <c r="E891" t="s">
        <v>144</v>
      </c>
      <c r="F891" t="s">
        <v>11</v>
      </c>
      <c r="G891" t="s">
        <v>20</v>
      </c>
      <c r="H891" t="s">
        <v>1459</v>
      </c>
      <c r="I891" s="7">
        <v>6.69</v>
      </c>
      <c r="J891" s="8">
        <v>2</v>
      </c>
      <c r="K891" s="7">
        <v>2.34</v>
      </c>
    </row>
    <row r="892" spans="1:11" x14ac:dyDescent="0.3">
      <c r="A892" s="2">
        <v>42197</v>
      </c>
      <c r="B892" s="9">
        <f>MONTH(Table1[[#This Row],[Order Date]])</f>
        <v>7</v>
      </c>
      <c r="C892" s="9">
        <f>YEAR(Table1[[#This Row],[Order Date]])</f>
        <v>2015</v>
      </c>
      <c r="D892" t="s">
        <v>1676</v>
      </c>
      <c r="E892" t="s">
        <v>144</v>
      </c>
      <c r="F892" t="s">
        <v>39</v>
      </c>
      <c r="G892" t="s">
        <v>40</v>
      </c>
      <c r="H892" t="s">
        <v>1485</v>
      </c>
      <c r="I892" s="7">
        <v>773.94</v>
      </c>
      <c r="J892" s="8">
        <v>6</v>
      </c>
      <c r="K892" s="7">
        <v>224.44</v>
      </c>
    </row>
    <row r="893" spans="1:11" x14ac:dyDescent="0.3">
      <c r="A893" s="2">
        <v>42197</v>
      </c>
      <c r="B893" s="9">
        <f>MONTH(Table1[[#This Row],[Order Date]])</f>
        <v>7</v>
      </c>
      <c r="C893" s="9">
        <f>YEAR(Table1[[#This Row],[Order Date]])</f>
        <v>2015</v>
      </c>
      <c r="D893" t="s">
        <v>352</v>
      </c>
      <c r="E893" t="s">
        <v>27</v>
      </c>
      <c r="F893" t="s">
        <v>11</v>
      </c>
      <c r="G893" t="s">
        <v>12</v>
      </c>
      <c r="H893" t="s">
        <v>2343</v>
      </c>
      <c r="I893" s="7">
        <v>12.96</v>
      </c>
      <c r="J893" s="8">
        <v>2</v>
      </c>
      <c r="K893" s="7">
        <v>6.22</v>
      </c>
    </row>
    <row r="894" spans="1:11" x14ac:dyDescent="0.3">
      <c r="A894" s="2">
        <v>42218</v>
      </c>
      <c r="B894" s="9">
        <f>MONTH(Table1[[#This Row],[Order Date]])</f>
        <v>8</v>
      </c>
      <c r="C894" s="9">
        <f>YEAR(Table1[[#This Row],[Order Date]])</f>
        <v>2015</v>
      </c>
      <c r="D894" t="s">
        <v>776</v>
      </c>
      <c r="E894" t="s">
        <v>1255</v>
      </c>
      <c r="F894" t="s">
        <v>11</v>
      </c>
      <c r="G894" t="s">
        <v>12</v>
      </c>
      <c r="H894" t="s">
        <v>1869</v>
      </c>
      <c r="I894" s="7">
        <v>9.5399999999999991</v>
      </c>
      <c r="J894" s="8">
        <v>2</v>
      </c>
      <c r="K894" s="7">
        <v>4.29</v>
      </c>
    </row>
    <row r="895" spans="1:11" x14ac:dyDescent="0.3">
      <c r="A895" s="2">
        <v>42218</v>
      </c>
      <c r="B895" s="9">
        <f>MONTH(Table1[[#This Row],[Order Date]])</f>
        <v>8</v>
      </c>
      <c r="C895" s="9">
        <f>YEAR(Table1[[#This Row],[Order Date]])</f>
        <v>2015</v>
      </c>
      <c r="D895" t="s">
        <v>776</v>
      </c>
      <c r="E895" t="s">
        <v>1255</v>
      </c>
      <c r="F895" t="s">
        <v>11</v>
      </c>
      <c r="G895" t="s">
        <v>43</v>
      </c>
      <c r="H895" t="s">
        <v>527</v>
      </c>
      <c r="I895" s="7">
        <v>5.81</v>
      </c>
      <c r="J895" s="8">
        <v>1</v>
      </c>
      <c r="K895" s="7">
        <v>1.8</v>
      </c>
    </row>
    <row r="896" spans="1:11" x14ac:dyDescent="0.3">
      <c r="A896" s="2">
        <v>42218</v>
      </c>
      <c r="B896" s="9">
        <f>MONTH(Table1[[#This Row],[Order Date]])</f>
        <v>8</v>
      </c>
      <c r="C896" s="9">
        <f>YEAR(Table1[[#This Row],[Order Date]])</f>
        <v>2015</v>
      </c>
      <c r="D896" t="s">
        <v>776</v>
      </c>
      <c r="E896" t="s">
        <v>1255</v>
      </c>
      <c r="F896" t="s">
        <v>11</v>
      </c>
      <c r="G896" t="s">
        <v>24</v>
      </c>
      <c r="H896" t="s">
        <v>1870</v>
      </c>
      <c r="I896" s="7">
        <v>5.76</v>
      </c>
      <c r="J896" s="8">
        <v>2</v>
      </c>
      <c r="K896" s="7">
        <v>1.73</v>
      </c>
    </row>
    <row r="897" spans="1:11" x14ac:dyDescent="0.3">
      <c r="A897" s="2">
        <v>42219</v>
      </c>
      <c r="B897" s="9">
        <f>MONTH(Table1[[#This Row],[Order Date]])</f>
        <v>8</v>
      </c>
      <c r="C897" s="9">
        <f>YEAR(Table1[[#This Row],[Order Date]])</f>
        <v>2015</v>
      </c>
      <c r="D897" t="s">
        <v>1896</v>
      </c>
      <c r="E897" t="s">
        <v>152</v>
      </c>
      <c r="F897" t="s">
        <v>34</v>
      </c>
      <c r="G897" t="s">
        <v>74</v>
      </c>
      <c r="H897" t="s">
        <v>1015</v>
      </c>
      <c r="I897" s="7">
        <v>512.94000000000005</v>
      </c>
      <c r="J897" s="8">
        <v>3</v>
      </c>
      <c r="K897" s="7">
        <v>97.46</v>
      </c>
    </row>
    <row r="898" spans="1:11" x14ac:dyDescent="0.3">
      <c r="A898" s="2">
        <v>42219</v>
      </c>
      <c r="B898" s="9">
        <f>MONTH(Table1[[#This Row],[Order Date]])</f>
        <v>8</v>
      </c>
      <c r="C898" s="9">
        <f>YEAR(Table1[[#This Row],[Order Date]])</f>
        <v>2015</v>
      </c>
      <c r="D898" t="s">
        <v>1896</v>
      </c>
      <c r="E898" t="s">
        <v>152</v>
      </c>
      <c r="F898" t="s">
        <v>34</v>
      </c>
      <c r="G898" t="s">
        <v>35</v>
      </c>
      <c r="H898" t="s">
        <v>1897</v>
      </c>
      <c r="I898" s="7">
        <v>860.93</v>
      </c>
      <c r="J898" s="8">
        <v>7</v>
      </c>
      <c r="K898" s="7">
        <v>189.4</v>
      </c>
    </row>
    <row r="899" spans="1:11" x14ac:dyDescent="0.3">
      <c r="A899" s="2">
        <v>42219</v>
      </c>
      <c r="B899" s="9">
        <f>MONTH(Table1[[#This Row],[Order Date]])</f>
        <v>8</v>
      </c>
      <c r="C899" s="9">
        <f>YEAR(Table1[[#This Row],[Order Date]])</f>
        <v>2015</v>
      </c>
      <c r="D899" t="s">
        <v>1896</v>
      </c>
      <c r="E899" t="s">
        <v>152</v>
      </c>
      <c r="F899" t="s">
        <v>39</v>
      </c>
      <c r="G899" t="s">
        <v>40</v>
      </c>
      <c r="H899" t="s">
        <v>1318</v>
      </c>
      <c r="I899" s="7">
        <v>769.95</v>
      </c>
      <c r="J899" s="8">
        <v>5</v>
      </c>
      <c r="K899" s="7">
        <v>223.29</v>
      </c>
    </row>
    <row r="900" spans="1:11" x14ac:dyDescent="0.3">
      <c r="A900" s="2">
        <v>42219</v>
      </c>
      <c r="B900" s="9">
        <f>MONTH(Table1[[#This Row],[Order Date]])</f>
        <v>8</v>
      </c>
      <c r="C900" s="9">
        <f>YEAR(Table1[[#This Row],[Order Date]])</f>
        <v>2015</v>
      </c>
      <c r="D900" t="s">
        <v>1896</v>
      </c>
      <c r="E900" t="s">
        <v>152</v>
      </c>
      <c r="F900" t="s">
        <v>11</v>
      </c>
      <c r="G900" t="s">
        <v>24</v>
      </c>
      <c r="H900" t="s">
        <v>1898</v>
      </c>
      <c r="I900" s="7">
        <v>14.98</v>
      </c>
      <c r="J900" s="8">
        <v>1</v>
      </c>
      <c r="K900" s="7">
        <v>4.49</v>
      </c>
    </row>
    <row r="901" spans="1:11" x14ac:dyDescent="0.3">
      <c r="A901" s="2">
        <v>42219</v>
      </c>
      <c r="B901" s="9">
        <f>MONTH(Table1[[#This Row],[Order Date]])</f>
        <v>8</v>
      </c>
      <c r="C901" s="9">
        <f>YEAR(Table1[[#This Row],[Order Date]])</f>
        <v>2015</v>
      </c>
      <c r="D901" t="s">
        <v>870</v>
      </c>
      <c r="E901" t="s">
        <v>144</v>
      </c>
      <c r="F901" t="s">
        <v>11</v>
      </c>
      <c r="G901" t="s">
        <v>12</v>
      </c>
      <c r="H901" t="s">
        <v>1899</v>
      </c>
      <c r="I901" s="7">
        <v>19.440000000000001</v>
      </c>
      <c r="J901" s="8">
        <v>3</v>
      </c>
      <c r="K901" s="7">
        <v>9.33</v>
      </c>
    </row>
    <row r="902" spans="1:11" x14ac:dyDescent="0.3">
      <c r="A902" s="2">
        <v>42221</v>
      </c>
      <c r="B902" s="9">
        <f>MONTH(Table1[[#This Row],[Order Date]])</f>
        <v>8</v>
      </c>
      <c r="C902" s="9">
        <f>YEAR(Table1[[#This Row],[Order Date]])</f>
        <v>2015</v>
      </c>
      <c r="D902" t="s">
        <v>1239</v>
      </c>
      <c r="E902" t="s">
        <v>308</v>
      </c>
      <c r="F902" t="s">
        <v>39</v>
      </c>
      <c r="G902" t="s">
        <v>40</v>
      </c>
      <c r="H902" t="s">
        <v>704</v>
      </c>
      <c r="I902" s="7">
        <v>377.97</v>
      </c>
      <c r="J902" s="8">
        <v>3</v>
      </c>
      <c r="K902" s="7">
        <v>105.83</v>
      </c>
    </row>
    <row r="903" spans="1:11" x14ac:dyDescent="0.3">
      <c r="A903" s="2">
        <v>42221</v>
      </c>
      <c r="B903" s="9">
        <f>MONTH(Table1[[#This Row],[Order Date]])</f>
        <v>8</v>
      </c>
      <c r="C903" s="9">
        <f>YEAR(Table1[[#This Row],[Order Date]])</f>
        <v>2015</v>
      </c>
      <c r="D903" t="s">
        <v>828</v>
      </c>
      <c r="E903" t="s">
        <v>144</v>
      </c>
      <c r="F903" t="s">
        <v>11</v>
      </c>
      <c r="G903" t="s">
        <v>12</v>
      </c>
      <c r="H903" t="s">
        <v>210</v>
      </c>
      <c r="I903" s="7">
        <v>19.440000000000001</v>
      </c>
      <c r="J903" s="8">
        <v>3</v>
      </c>
      <c r="K903" s="7">
        <v>9.33</v>
      </c>
    </row>
    <row r="904" spans="1:11" x14ac:dyDescent="0.3">
      <c r="A904" s="2">
        <v>42222</v>
      </c>
      <c r="B904" s="9">
        <f>MONTH(Table1[[#This Row],[Order Date]])</f>
        <v>8</v>
      </c>
      <c r="C904" s="9">
        <f>YEAR(Table1[[#This Row],[Order Date]])</f>
        <v>2015</v>
      </c>
      <c r="D904" t="s">
        <v>1798</v>
      </c>
      <c r="E904" t="s">
        <v>15</v>
      </c>
      <c r="F904" t="s">
        <v>39</v>
      </c>
      <c r="G904" t="s">
        <v>52</v>
      </c>
      <c r="H904" t="s">
        <v>1486</v>
      </c>
      <c r="I904" s="7">
        <v>2.38</v>
      </c>
      <c r="J904" s="8">
        <v>3</v>
      </c>
      <c r="K904" s="7">
        <v>0.74</v>
      </c>
    </row>
    <row r="905" spans="1:11" x14ac:dyDescent="0.3">
      <c r="A905" s="2">
        <v>42222</v>
      </c>
      <c r="B905" s="9">
        <f>MONTH(Table1[[#This Row],[Order Date]])</f>
        <v>8</v>
      </c>
      <c r="C905" s="9">
        <f>YEAR(Table1[[#This Row],[Order Date]])</f>
        <v>2015</v>
      </c>
      <c r="D905" t="s">
        <v>1841</v>
      </c>
      <c r="E905" t="s">
        <v>120</v>
      </c>
      <c r="F905" t="s">
        <v>11</v>
      </c>
      <c r="G905" t="s">
        <v>12</v>
      </c>
      <c r="H905" t="s">
        <v>363</v>
      </c>
      <c r="I905" s="7">
        <v>173.49</v>
      </c>
      <c r="J905" s="8">
        <v>7</v>
      </c>
      <c r="K905" s="7">
        <v>54.22</v>
      </c>
    </row>
    <row r="906" spans="1:11" x14ac:dyDescent="0.3">
      <c r="A906" s="2">
        <v>42222</v>
      </c>
      <c r="B906" s="9">
        <f>MONTH(Table1[[#This Row],[Order Date]])</f>
        <v>8</v>
      </c>
      <c r="C906" s="9">
        <f>YEAR(Table1[[#This Row],[Order Date]])</f>
        <v>2015</v>
      </c>
      <c r="D906" t="s">
        <v>1841</v>
      </c>
      <c r="E906" t="s">
        <v>120</v>
      </c>
      <c r="F906" t="s">
        <v>11</v>
      </c>
      <c r="G906" t="s">
        <v>18</v>
      </c>
      <c r="H906" t="s">
        <v>1377</v>
      </c>
      <c r="I906" s="7">
        <v>516.96</v>
      </c>
      <c r="J906" s="8">
        <v>4</v>
      </c>
      <c r="K906" s="7">
        <v>-6.46</v>
      </c>
    </row>
    <row r="907" spans="1:11" x14ac:dyDescent="0.3">
      <c r="A907" s="2">
        <v>42222</v>
      </c>
      <c r="B907" s="9">
        <f>MONTH(Table1[[#This Row],[Order Date]])</f>
        <v>8</v>
      </c>
      <c r="C907" s="9">
        <f>YEAR(Table1[[#This Row],[Order Date]])</f>
        <v>2015</v>
      </c>
      <c r="D907" t="s">
        <v>1841</v>
      </c>
      <c r="E907" t="s">
        <v>120</v>
      </c>
      <c r="F907" t="s">
        <v>34</v>
      </c>
      <c r="G907" t="s">
        <v>47</v>
      </c>
      <c r="H907" t="s">
        <v>2058</v>
      </c>
      <c r="I907" s="7">
        <v>173.21</v>
      </c>
      <c r="J907" s="8">
        <v>7</v>
      </c>
      <c r="K907" s="7">
        <v>45.47</v>
      </c>
    </row>
    <row r="908" spans="1:11" x14ac:dyDescent="0.3">
      <c r="A908" s="2">
        <v>42222</v>
      </c>
      <c r="B908" s="9">
        <f>MONTH(Table1[[#This Row],[Order Date]])</f>
        <v>8</v>
      </c>
      <c r="C908" s="9">
        <f>YEAR(Table1[[#This Row],[Order Date]])</f>
        <v>2015</v>
      </c>
      <c r="D908" t="s">
        <v>1841</v>
      </c>
      <c r="E908" t="s">
        <v>120</v>
      </c>
      <c r="F908" t="s">
        <v>11</v>
      </c>
      <c r="G908" t="s">
        <v>24</v>
      </c>
      <c r="H908" t="s">
        <v>1904</v>
      </c>
      <c r="I908" s="7">
        <v>4.45</v>
      </c>
      <c r="J908" s="8">
        <v>2</v>
      </c>
      <c r="K908" s="7">
        <v>0.33</v>
      </c>
    </row>
    <row r="909" spans="1:11" x14ac:dyDescent="0.3">
      <c r="A909" s="2">
        <v>42222</v>
      </c>
      <c r="B909" s="9">
        <f>MONTH(Table1[[#This Row],[Order Date]])</f>
        <v>8</v>
      </c>
      <c r="C909" s="9">
        <f>YEAR(Table1[[#This Row],[Order Date]])</f>
        <v>2015</v>
      </c>
      <c r="D909" t="s">
        <v>1841</v>
      </c>
      <c r="E909" t="s">
        <v>120</v>
      </c>
      <c r="F909" t="s">
        <v>11</v>
      </c>
      <c r="G909" t="s">
        <v>12</v>
      </c>
      <c r="H909" t="s">
        <v>295</v>
      </c>
      <c r="I909" s="7">
        <v>42.24</v>
      </c>
      <c r="J909" s="8">
        <v>10</v>
      </c>
      <c r="K909" s="7">
        <v>13.2</v>
      </c>
    </row>
    <row r="910" spans="1:11" x14ac:dyDescent="0.3">
      <c r="A910" s="2">
        <v>42224</v>
      </c>
      <c r="B910" s="9">
        <f>MONTH(Table1[[#This Row],[Order Date]])</f>
        <v>8</v>
      </c>
      <c r="C910" s="9">
        <f>YEAR(Table1[[#This Row],[Order Date]])</f>
        <v>2015</v>
      </c>
      <c r="D910" t="s">
        <v>1340</v>
      </c>
      <c r="E910" t="s">
        <v>27</v>
      </c>
      <c r="F910" t="s">
        <v>34</v>
      </c>
      <c r="G910" t="s">
        <v>35</v>
      </c>
      <c r="H910" t="s">
        <v>2138</v>
      </c>
      <c r="I910" s="7">
        <v>144.78</v>
      </c>
      <c r="J910" s="8">
        <v>1</v>
      </c>
      <c r="K910" s="7">
        <v>10.86</v>
      </c>
    </row>
    <row r="911" spans="1:11" x14ac:dyDescent="0.3">
      <c r="A911" s="2">
        <v>42224</v>
      </c>
      <c r="B911" s="9">
        <f>MONTH(Table1[[#This Row],[Order Date]])</f>
        <v>8</v>
      </c>
      <c r="C911" s="9">
        <f>YEAR(Table1[[#This Row],[Order Date]])</f>
        <v>2015</v>
      </c>
      <c r="D911" t="s">
        <v>2139</v>
      </c>
      <c r="E911" t="s">
        <v>422</v>
      </c>
      <c r="F911" t="s">
        <v>11</v>
      </c>
      <c r="G911" t="s">
        <v>24</v>
      </c>
      <c r="H911" t="s">
        <v>2140</v>
      </c>
      <c r="I911" s="7">
        <v>39.659999999999997</v>
      </c>
      <c r="J911" s="8">
        <v>2</v>
      </c>
      <c r="K911" s="7">
        <v>11.9</v>
      </c>
    </row>
    <row r="912" spans="1:11" x14ac:dyDescent="0.3">
      <c r="A912" s="2">
        <v>42224</v>
      </c>
      <c r="B912" s="9">
        <f>MONTH(Table1[[#This Row],[Order Date]])</f>
        <v>8</v>
      </c>
      <c r="C912" s="9">
        <f>YEAR(Table1[[#This Row],[Order Date]])</f>
        <v>2015</v>
      </c>
      <c r="D912" t="s">
        <v>2139</v>
      </c>
      <c r="E912" t="s">
        <v>422</v>
      </c>
      <c r="F912" t="s">
        <v>11</v>
      </c>
      <c r="G912" t="s">
        <v>92</v>
      </c>
      <c r="H912" t="s">
        <v>1638</v>
      </c>
      <c r="I912" s="7">
        <v>113.92</v>
      </c>
      <c r="J912" s="8">
        <v>2</v>
      </c>
      <c r="K912" s="7">
        <v>33.04</v>
      </c>
    </row>
    <row r="913" spans="1:11" x14ac:dyDescent="0.3">
      <c r="A913" s="2">
        <v>42225</v>
      </c>
      <c r="B913" s="9">
        <f>MONTH(Table1[[#This Row],[Order Date]])</f>
        <v>8</v>
      </c>
      <c r="C913" s="9">
        <f>YEAR(Table1[[#This Row],[Order Date]])</f>
        <v>2015</v>
      </c>
      <c r="D913" t="s">
        <v>646</v>
      </c>
      <c r="E913" t="s">
        <v>474</v>
      </c>
      <c r="F913" t="s">
        <v>34</v>
      </c>
      <c r="G913" t="s">
        <v>47</v>
      </c>
      <c r="H913" t="s">
        <v>851</v>
      </c>
      <c r="I913" s="7">
        <v>21.36</v>
      </c>
      <c r="J913" s="8">
        <v>8</v>
      </c>
      <c r="K913" s="7">
        <v>8.1199999999999992</v>
      </c>
    </row>
    <row r="914" spans="1:11" x14ac:dyDescent="0.3">
      <c r="A914" s="2">
        <v>42226</v>
      </c>
      <c r="B914" s="9">
        <f>MONTH(Table1[[#This Row],[Order Date]])</f>
        <v>8</v>
      </c>
      <c r="C914" s="9">
        <f>YEAR(Table1[[#This Row],[Order Date]])</f>
        <v>2015</v>
      </c>
      <c r="D914" t="s">
        <v>1673</v>
      </c>
      <c r="E914" t="s">
        <v>10</v>
      </c>
      <c r="F914" t="s">
        <v>11</v>
      </c>
      <c r="G914" t="s">
        <v>24</v>
      </c>
      <c r="H914" t="s">
        <v>526</v>
      </c>
      <c r="I914" s="7">
        <v>3.44</v>
      </c>
      <c r="J914" s="8">
        <v>2</v>
      </c>
      <c r="K914" s="7">
        <v>0.56000000000000005</v>
      </c>
    </row>
    <row r="915" spans="1:11" x14ac:dyDescent="0.3">
      <c r="A915" s="2">
        <v>42226</v>
      </c>
      <c r="B915" s="9">
        <f>MONTH(Table1[[#This Row],[Order Date]])</f>
        <v>8</v>
      </c>
      <c r="C915" s="9">
        <f>YEAR(Table1[[#This Row],[Order Date]])</f>
        <v>2015</v>
      </c>
      <c r="D915" t="s">
        <v>2236</v>
      </c>
      <c r="E915" t="s">
        <v>10</v>
      </c>
      <c r="F915" t="s">
        <v>34</v>
      </c>
      <c r="G915" t="s">
        <v>47</v>
      </c>
      <c r="H915" t="s">
        <v>557</v>
      </c>
      <c r="I915" s="7">
        <v>72.78</v>
      </c>
      <c r="J915" s="8">
        <v>3</v>
      </c>
      <c r="K915" s="7">
        <v>-70.959999999999994</v>
      </c>
    </row>
    <row r="916" spans="1:11" x14ac:dyDescent="0.3">
      <c r="A916" s="2">
        <v>42227</v>
      </c>
      <c r="B916" s="9">
        <f>MONTH(Table1[[#This Row],[Order Date]])</f>
        <v>8</v>
      </c>
      <c r="C916" s="9">
        <f>YEAR(Table1[[#This Row],[Order Date]])</f>
        <v>2015</v>
      </c>
      <c r="D916" t="s">
        <v>866</v>
      </c>
      <c r="E916" t="s">
        <v>422</v>
      </c>
      <c r="F916" t="s">
        <v>11</v>
      </c>
      <c r="G916" t="s">
        <v>24</v>
      </c>
      <c r="H916" t="s">
        <v>356</v>
      </c>
      <c r="I916" s="7">
        <v>11.65</v>
      </c>
      <c r="J916" s="8">
        <v>5</v>
      </c>
      <c r="K916" s="7">
        <v>3.38</v>
      </c>
    </row>
    <row r="917" spans="1:11" x14ac:dyDescent="0.3">
      <c r="A917" s="2">
        <v>42227</v>
      </c>
      <c r="B917" s="9">
        <f>MONTH(Table1[[#This Row],[Order Date]])</f>
        <v>8</v>
      </c>
      <c r="C917" s="9">
        <f>YEAR(Table1[[#This Row],[Order Date]])</f>
        <v>2015</v>
      </c>
      <c r="D917" t="s">
        <v>186</v>
      </c>
      <c r="E917" t="s">
        <v>287</v>
      </c>
      <c r="F917" t="s">
        <v>11</v>
      </c>
      <c r="G917" t="s">
        <v>43</v>
      </c>
      <c r="H917" t="s">
        <v>2282</v>
      </c>
      <c r="I917" s="7">
        <v>5.04</v>
      </c>
      <c r="J917" s="8">
        <v>3</v>
      </c>
      <c r="K917" s="7">
        <v>0.2</v>
      </c>
    </row>
    <row r="918" spans="1:11" x14ac:dyDescent="0.3">
      <c r="A918" s="2">
        <v>42227</v>
      </c>
      <c r="B918" s="9">
        <f>MONTH(Table1[[#This Row],[Order Date]])</f>
        <v>8</v>
      </c>
      <c r="C918" s="9">
        <f>YEAR(Table1[[#This Row],[Order Date]])</f>
        <v>2015</v>
      </c>
      <c r="D918" t="s">
        <v>186</v>
      </c>
      <c r="E918" t="s">
        <v>287</v>
      </c>
      <c r="F918" t="s">
        <v>11</v>
      </c>
      <c r="G918" t="s">
        <v>12</v>
      </c>
      <c r="H918" t="s">
        <v>1131</v>
      </c>
      <c r="I918" s="7">
        <v>92.94</v>
      </c>
      <c r="J918" s="8">
        <v>3</v>
      </c>
      <c r="K918" s="7">
        <v>41.82</v>
      </c>
    </row>
    <row r="919" spans="1:11" x14ac:dyDescent="0.3">
      <c r="A919" s="2">
        <v>42227</v>
      </c>
      <c r="B919" s="9">
        <f>MONTH(Table1[[#This Row],[Order Date]])</f>
        <v>8</v>
      </c>
      <c r="C919" s="9">
        <f>YEAR(Table1[[#This Row],[Order Date]])</f>
        <v>2015</v>
      </c>
      <c r="D919" t="s">
        <v>2081</v>
      </c>
      <c r="E919" t="s">
        <v>27</v>
      </c>
      <c r="F919" t="s">
        <v>39</v>
      </c>
      <c r="G919" t="s">
        <v>52</v>
      </c>
      <c r="H919" t="s">
        <v>2222</v>
      </c>
      <c r="I919" s="7">
        <v>119.9</v>
      </c>
      <c r="J919" s="8">
        <v>2</v>
      </c>
      <c r="K919" s="7">
        <v>43.16</v>
      </c>
    </row>
    <row r="920" spans="1:11" x14ac:dyDescent="0.3">
      <c r="A920" s="2">
        <v>42227</v>
      </c>
      <c r="B920" s="9">
        <f>MONTH(Table1[[#This Row],[Order Date]])</f>
        <v>8</v>
      </c>
      <c r="C920" s="9">
        <f>YEAR(Table1[[#This Row],[Order Date]])</f>
        <v>2015</v>
      </c>
      <c r="D920" t="s">
        <v>2093</v>
      </c>
      <c r="E920" t="s">
        <v>55</v>
      </c>
      <c r="F920" t="s">
        <v>11</v>
      </c>
      <c r="G920" t="s">
        <v>24</v>
      </c>
      <c r="H920" t="s">
        <v>513</v>
      </c>
      <c r="I920" s="7">
        <v>27.9</v>
      </c>
      <c r="J920" s="8">
        <v>5</v>
      </c>
      <c r="K920" s="7">
        <v>6.98</v>
      </c>
    </row>
    <row r="921" spans="1:11" x14ac:dyDescent="0.3">
      <c r="A921" s="2">
        <v>42227</v>
      </c>
      <c r="B921" s="9">
        <f>MONTH(Table1[[#This Row],[Order Date]])</f>
        <v>8</v>
      </c>
      <c r="C921" s="9">
        <f>YEAR(Table1[[#This Row],[Order Date]])</f>
        <v>2015</v>
      </c>
      <c r="D921" t="s">
        <v>1361</v>
      </c>
      <c r="E921" t="s">
        <v>144</v>
      </c>
      <c r="F921" t="s">
        <v>11</v>
      </c>
      <c r="G921" t="s">
        <v>18</v>
      </c>
      <c r="H921" t="s">
        <v>1616</v>
      </c>
      <c r="I921" s="7">
        <v>67.150000000000006</v>
      </c>
      <c r="J921" s="8">
        <v>5</v>
      </c>
      <c r="K921" s="7">
        <v>16.79</v>
      </c>
    </row>
    <row r="922" spans="1:11" x14ac:dyDescent="0.3">
      <c r="A922" s="2">
        <v>42227</v>
      </c>
      <c r="B922" s="9">
        <f>MONTH(Table1[[#This Row],[Order Date]])</f>
        <v>8</v>
      </c>
      <c r="C922" s="9">
        <f>YEAR(Table1[[#This Row],[Order Date]])</f>
        <v>2015</v>
      </c>
      <c r="D922" t="s">
        <v>1361</v>
      </c>
      <c r="E922" t="s">
        <v>144</v>
      </c>
      <c r="F922" t="s">
        <v>34</v>
      </c>
      <c r="G922" t="s">
        <v>47</v>
      </c>
      <c r="H922" t="s">
        <v>2168</v>
      </c>
      <c r="I922" s="7">
        <v>11.82</v>
      </c>
      <c r="J922" s="8">
        <v>3</v>
      </c>
      <c r="K922" s="7">
        <v>4.7300000000000004</v>
      </c>
    </row>
    <row r="923" spans="1:11" x14ac:dyDescent="0.3">
      <c r="A923" s="2">
        <v>42227</v>
      </c>
      <c r="B923" s="9">
        <f>MONTH(Table1[[#This Row],[Order Date]])</f>
        <v>8</v>
      </c>
      <c r="C923" s="9">
        <f>YEAR(Table1[[#This Row],[Order Date]])</f>
        <v>2015</v>
      </c>
      <c r="D923" t="s">
        <v>1361</v>
      </c>
      <c r="E923" t="s">
        <v>144</v>
      </c>
      <c r="F923" t="s">
        <v>39</v>
      </c>
      <c r="G923" t="s">
        <v>293</v>
      </c>
      <c r="H923" t="s">
        <v>2283</v>
      </c>
      <c r="I923" s="7">
        <v>4643.8</v>
      </c>
      <c r="J923" s="8">
        <v>4</v>
      </c>
      <c r="K923" s="7">
        <v>2229.02</v>
      </c>
    </row>
    <row r="924" spans="1:11" x14ac:dyDescent="0.3">
      <c r="A924" s="2">
        <v>42227</v>
      </c>
      <c r="B924" s="9">
        <f>MONTH(Table1[[#This Row],[Order Date]])</f>
        <v>8</v>
      </c>
      <c r="C924" s="9">
        <f>YEAR(Table1[[#This Row],[Order Date]])</f>
        <v>2015</v>
      </c>
      <c r="D924" t="s">
        <v>852</v>
      </c>
      <c r="E924" t="s">
        <v>237</v>
      </c>
      <c r="F924" t="s">
        <v>11</v>
      </c>
      <c r="G924" t="s">
        <v>43</v>
      </c>
      <c r="H924" t="s">
        <v>807</v>
      </c>
      <c r="I924" s="7">
        <v>31.5</v>
      </c>
      <c r="J924" s="8">
        <v>11</v>
      </c>
      <c r="K924" s="7">
        <v>11.81</v>
      </c>
    </row>
    <row r="925" spans="1:11" x14ac:dyDescent="0.3">
      <c r="A925" s="2">
        <v>42227</v>
      </c>
      <c r="B925" s="9">
        <f>MONTH(Table1[[#This Row],[Order Date]])</f>
        <v>8</v>
      </c>
      <c r="C925" s="9">
        <f>YEAR(Table1[[#This Row],[Order Date]])</f>
        <v>2015</v>
      </c>
      <c r="D925" t="s">
        <v>852</v>
      </c>
      <c r="E925" t="s">
        <v>237</v>
      </c>
      <c r="F925" t="s">
        <v>11</v>
      </c>
      <c r="G925" t="s">
        <v>16</v>
      </c>
      <c r="H925" t="s">
        <v>1369</v>
      </c>
      <c r="I925" s="7">
        <v>5.04</v>
      </c>
      <c r="J925" s="8">
        <v>1</v>
      </c>
      <c r="K925" s="7">
        <v>1.64</v>
      </c>
    </row>
    <row r="926" spans="1:11" x14ac:dyDescent="0.3">
      <c r="A926" s="2">
        <v>42227</v>
      </c>
      <c r="B926" s="9">
        <f>MONTH(Table1[[#This Row],[Order Date]])</f>
        <v>8</v>
      </c>
      <c r="C926" s="9">
        <f>YEAR(Table1[[#This Row],[Order Date]])</f>
        <v>2015</v>
      </c>
      <c r="D926" t="s">
        <v>327</v>
      </c>
      <c r="E926" t="s">
        <v>2278</v>
      </c>
      <c r="F926" t="s">
        <v>34</v>
      </c>
      <c r="G926" t="s">
        <v>74</v>
      </c>
      <c r="H926" t="s">
        <v>2203</v>
      </c>
      <c r="I926" s="7">
        <v>4404.8999999999996</v>
      </c>
      <c r="J926" s="8">
        <v>5</v>
      </c>
      <c r="K926" s="7">
        <v>1013.13</v>
      </c>
    </row>
    <row r="927" spans="1:11" x14ac:dyDescent="0.3">
      <c r="A927" s="2">
        <v>42228</v>
      </c>
      <c r="B927" s="9">
        <f>MONTH(Table1[[#This Row],[Order Date]])</f>
        <v>8</v>
      </c>
      <c r="C927" s="9">
        <f>YEAR(Table1[[#This Row],[Order Date]])</f>
        <v>2015</v>
      </c>
      <c r="D927" t="s">
        <v>2234</v>
      </c>
      <c r="E927" t="s">
        <v>10</v>
      </c>
      <c r="F927" t="s">
        <v>39</v>
      </c>
      <c r="G927" t="s">
        <v>40</v>
      </c>
      <c r="H927" t="s">
        <v>1619</v>
      </c>
      <c r="I927" s="7">
        <v>119.96</v>
      </c>
      <c r="J927" s="8">
        <v>5</v>
      </c>
      <c r="K927" s="7">
        <v>12</v>
      </c>
    </row>
    <row r="928" spans="1:11" x14ac:dyDescent="0.3">
      <c r="A928" s="2">
        <v>42228</v>
      </c>
      <c r="B928" s="9">
        <f>MONTH(Table1[[#This Row],[Order Date]])</f>
        <v>8</v>
      </c>
      <c r="C928" s="9">
        <f>YEAR(Table1[[#This Row],[Order Date]])</f>
        <v>2015</v>
      </c>
      <c r="D928" t="s">
        <v>1846</v>
      </c>
      <c r="E928" t="s">
        <v>27</v>
      </c>
      <c r="F928" t="s">
        <v>39</v>
      </c>
      <c r="G928" t="s">
        <v>52</v>
      </c>
      <c r="H928" t="s">
        <v>1266</v>
      </c>
      <c r="I928" s="7">
        <v>236</v>
      </c>
      <c r="J928" s="8">
        <v>4</v>
      </c>
      <c r="K928" s="7">
        <v>40.119999999999997</v>
      </c>
    </row>
    <row r="929" spans="1:11" x14ac:dyDescent="0.3">
      <c r="A929" s="2">
        <v>42248</v>
      </c>
      <c r="B929" s="9">
        <f>MONTH(Table1[[#This Row],[Order Date]])</f>
        <v>9</v>
      </c>
      <c r="C929" s="9">
        <f>YEAR(Table1[[#This Row],[Order Date]])</f>
        <v>2015</v>
      </c>
      <c r="D929" t="s">
        <v>360</v>
      </c>
      <c r="E929" t="s">
        <v>33</v>
      </c>
      <c r="F929" t="s">
        <v>11</v>
      </c>
      <c r="G929" t="s">
        <v>92</v>
      </c>
      <c r="H929" t="s">
        <v>1843</v>
      </c>
      <c r="I929" s="7">
        <v>163.44</v>
      </c>
      <c r="J929" s="8">
        <v>3</v>
      </c>
      <c r="K929" s="7">
        <v>45.76</v>
      </c>
    </row>
    <row r="930" spans="1:11" x14ac:dyDescent="0.3">
      <c r="A930" s="2">
        <v>42248</v>
      </c>
      <c r="B930" s="9">
        <f>MONTH(Table1[[#This Row],[Order Date]])</f>
        <v>9</v>
      </c>
      <c r="C930" s="9">
        <f>YEAR(Table1[[#This Row],[Order Date]])</f>
        <v>2015</v>
      </c>
      <c r="D930" t="s">
        <v>360</v>
      </c>
      <c r="E930" t="s">
        <v>33</v>
      </c>
      <c r="F930" t="s">
        <v>11</v>
      </c>
      <c r="G930" t="s">
        <v>24</v>
      </c>
      <c r="H930" t="s">
        <v>1844</v>
      </c>
      <c r="I930" s="7">
        <v>42.76</v>
      </c>
      <c r="J930" s="8">
        <v>2</v>
      </c>
      <c r="K930" s="7">
        <v>11.12</v>
      </c>
    </row>
    <row r="931" spans="1:11" x14ac:dyDescent="0.3">
      <c r="A931" s="2">
        <v>42248</v>
      </c>
      <c r="B931" s="9">
        <f>MONTH(Table1[[#This Row],[Order Date]])</f>
        <v>9</v>
      </c>
      <c r="C931" s="9">
        <f>YEAR(Table1[[#This Row],[Order Date]])</f>
        <v>2015</v>
      </c>
      <c r="D931" t="s">
        <v>360</v>
      </c>
      <c r="E931" t="s">
        <v>33</v>
      </c>
      <c r="F931" t="s">
        <v>11</v>
      </c>
      <c r="G931" t="s">
        <v>12</v>
      </c>
      <c r="H931" t="s">
        <v>1845</v>
      </c>
      <c r="I931" s="7">
        <v>51.55</v>
      </c>
      <c r="J931" s="8">
        <v>5</v>
      </c>
      <c r="K931" s="7">
        <v>24.23</v>
      </c>
    </row>
    <row r="932" spans="1:11" x14ac:dyDescent="0.3">
      <c r="A932" s="2">
        <v>42251</v>
      </c>
      <c r="B932" s="9">
        <f>MONTH(Table1[[#This Row],[Order Date]])</f>
        <v>9</v>
      </c>
      <c r="C932" s="9">
        <f>YEAR(Table1[[#This Row],[Order Date]])</f>
        <v>2015</v>
      </c>
      <c r="D932" t="s">
        <v>490</v>
      </c>
      <c r="E932" t="s">
        <v>27</v>
      </c>
      <c r="F932" t="s">
        <v>34</v>
      </c>
      <c r="G932" t="s">
        <v>140</v>
      </c>
      <c r="H932" t="s">
        <v>1957</v>
      </c>
      <c r="I932" s="7">
        <v>369.91</v>
      </c>
      <c r="J932" s="8">
        <v>3</v>
      </c>
      <c r="K932" s="7">
        <v>-13.87</v>
      </c>
    </row>
    <row r="933" spans="1:11" x14ac:dyDescent="0.3">
      <c r="A933" s="2">
        <v>42251</v>
      </c>
      <c r="B933" s="9">
        <f>MONTH(Table1[[#This Row],[Order Date]])</f>
        <v>9</v>
      </c>
      <c r="C933" s="9">
        <f>YEAR(Table1[[#This Row],[Order Date]])</f>
        <v>2015</v>
      </c>
      <c r="D933" t="s">
        <v>1452</v>
      </c>
      <c r="E933" t="s">
        <v>600</v>
      </c>
      <c r="F933" t="s">
        <v>11</v>
      </c>
      <c r="G933" t="s">
        <v>92</v>
      </c>
      <c r="H933" t="s">
        <v>1958</v>
      </c>
      <c r="I933" s="7">
        <v>370.14</v>
      </c>
      <c r="J933" s="8">
        <v>3</v>
      </c>
      <c r="K933" s="7">
        <v>144.35</v>
      </c>
    </row>
    <row r="934" spans="1:11" x14ac:dyDescent="0.3">
      <c r="A934" s="2">
        <v>42253</v>
      </c>
      <c r="B934" s="9">
        <f>MONTH(Table1[[#This Row],[Order Date]])</f>
        <v>9</v>
      </c>
      <c r="C934" s="9">
        <f>YEAR(Table1[[#This Row],[Order Date]])</f>
        <v>2015</v>
      </c>
      <c r="D934" t="s">
        <v>417</v>
      </c>
      <c r="E934" t="s">
        <v>495</v>
      </c>
      <c r="F934" t="s">
        <v>39</v>
      </c>
      <c r="G934" t="s">
        <v>40</v>
      </c>
      <c r="H934" t="s">
        <v>2059</v>
      </c>
      <c r="I934" s="7">
        <v>140.38</v>
      </c>
      <c r="J934" s="8">
        <v>3</v>
      </c>
      <c r="K934" s="7">
        <v>8.77</v>
      </c>
    </row>
    <row r="935" spans="1:11" x14ac:dyDescent="0.3">
      <c r="A935" s="2">
        <v>42253</v>
      </c>
      <c r="B935" s="9">
        <f>MONTH(Table1[[#This Row],[Order Date]])</f>
        <v>9</v>
      </c>
      <c r="C935" s="9">
        <f>YEAR(Table1[[#This Row],[Order Date]])</f>
        <v>2015</v>
      </c>
      <c r="D935" t="s">
        <v>2060</v>
      </c>
      <c r="E935" t="s">
        <v>120</v>
      </c>
      <c r="F935" t="s">
        <v>11</v>
      </c>
      <c r="G935" t="s">
        <v>20</v>
      </c>
      <c r="H935" t="s">
        <v>1146</v>
      </c>
      <c r="I935" s="7">
        <v>38.520000000000003</v>
      </c>
      <c r="J935" s="8">
        <v>3</v>
      </c>
      <c r="K935" s="7">
        <v>-26.96</v>
      </c>
    </row>
    <row r="936" spans="1:11" x14ac:dyDescent="0.3">
      <c r="A936" s="2">
        <v>42253</v>
      </c>
      <c r="B936" s="9">
        <f>MONTH(Table1[[#This Row],[Order Date]])</f>
        <v>9</v>
      </c>
      <c r="C936" s="9">
        <f>YEAR(Table1[[#This Row],[Order Date]])</f>
        <v>2015</v>
      </c>
      <c r="D936" t="s">
        <v>2060</v>
      </c>
      <c r="E936" t="s">
        <v>120</v>
      </c>
      <c r="F936" t="s">
        <v>39</v>
      </c>
      <c r="G936" t="s">
        <v>52</v>
      </c>
      <c r="H936" t="s">
        <v>1977</v>
      </c>
      <c r="I936" s="7">
        <v>72.599999999999994</v>
      </c>
      <c r="J936" s="8">
        <v>5</v>
      </c>
      <c r="K936" s="7">
        <v>-8.17</v>
      </c>
    </row>
    <row r="937" spans="1:11" x14ac:dyDescent="0.3">
      <c r="A937" s="2">
        <v>42254</v>
      </c>
      <c r="B937" s="9">
        <f>MONTH(Table1[[#This Row],[Order Date]])</f>
        <v>9</v>
      </c>
      <c r="C937" s="9">
        <f>YEAR(Table1[[#This Row],[Order Date]])</f>
        <v>2015</v>
      </c>
      <c r="D937" t="s">
        <v>1838</v>
      </c>
      <c r="E937" t="s">
        <v>422</v>
      </c>
      <c r="F937" t="s">
        <v>11</v>
      </c>
      <c r="G937" t="s">
        <v>12</v>
      </c>
      <c r="H937" t="s">
        <v>1629</v>
      </c>
      <c r="I937" s="7">
        <v>6.58</v>
      </c>
      <c r="J937" s="8">
        <v>2</v>
      </c>
      <c r="K937" s="7">
        <v>3.03</v>
      </c>
    </row>
    <row r="938" spans="1:11" x14ac:dyDescent="0.3">
      <c r="A938" s="2">
        <v>42254</v>
      </c>
      <c r="B938" s="9">
        <f>MONTH(Table1[[#This Row],[Order Date]])</f>
        <v>9</v>
      </c>
      <c r="C938" s="9">
        <f>YEAR(Table1[[#This Row],[Order Date]])</f>
        <v>2015</v>
      </c>
      <c r="D938" t="s">
        <v>1673</v>
      </c>
      <c r="E938" t="s">
        <v>517</v>
      </c>
      <c r="F938" t="s">
        <v>11</v>
      </c>
      <c r="G938" t="s">
        <v>43</v>
      </c>
      <c r="H938" t="s">
        <v>1477</v>
      </c>
      <c r="I938" s="7">
        <v>15.8</v>
      </c>
      <c r="J938" s="8">
        <v>4</v>
      </c>
      <c r="K938" s="7">
        <v>5.0599999999999996</v>
      </c>
    </row>
    <row r="939" spans="1:11" x14ac:dyDescent="0.3">
      <c r="A939" s="2">
        <v>42254</v>
      </c>
      <c r="B939" s="9">
        <f>MONTH(Table1[[#This Row],[Order Date]])</f>
        <v>9</v>
      </c>
      <c r="C939" s="9">
        <f>YEAR(Table1[[#This Row],[Order Date]])</f>
        <v>2015</v>
      </c>
      <c r="D939" t="s">
        <v>1673</v>
      </c>
      <c r="E939" t="s">
        <v>517</v>
      </c>
      <c r="F939" t="s">
        <v>39</v>
      </c>
      <c r="G939" t="s">
        <v>293</v>
      </c>
      <c r="H939" t="s">
        <v>2106</v>
      </c>
      <c r="I939" s="7">
        <v>464.97</v>
      </c>
      <c r="J939" s="8">
        <v>3</v>
      </c>
      <c r="K939" s="7">
        <v>209.24</v>
      </c>
    </row>
    <row r="940" spans="1:11" x14ac:dyDescent="0.3">
      <c r="A940" s="2">
        <v>42254</v>
      </c>
      <c r="B940" s="9">
        <f>MONTH(Table1[[#This Row],[Order Date]])</f>
        <v>9</v>
      </c>
      <c r="C940" s="9">
        <f>YEAR(Table1[[#This Row],[Order Date]])</f>
        <v>2015</v>
      </c>
      <c r="D940" t="s">
        <v>1673</v>
      </c>
      <c r="E940" t="s">
        <v>517</v>
      </c>
      <c r="F940" t="s">
        <v>34</v>
      </c>
      <c r="G940" t="s">
        <v>47</v>
      </c>
      <c r="H940" t="s">
        <v>110</v>
      </c>
      <c r="I940" s="7">
        <v>181.96</v>
      </c>
      <c r="J940" s="8">
        <v>2</v>
      </c>
      <c r="K940" s="7">
        <v>20.02</v>
      </c>
    </row>
    <row r="941" spans="1:11" x14ac:dyDescent="0.3">
      <c r="A941" s="2">
        <v>42254</v>
      </c>
      <c r="B941" s="9">
        <f>MONTH(Table1[[#This Row],[Order Date]])</f>
        <v>9</v>
      </c>
      <c r="C941" s="9">
        <f>YEAR(Table1[[#This Row],[Order Date]])</f>
        <v>2015</v>
      </c>
      <c r="D941" t="s">
        <v>1673</v>
      </c>
      <c r="E941" t="s">
        <v>517</v>
      </c>
      <c r="F941" t="s">
        <v>11</v>
      </c>
      <c r="G941" t="s">
        <v>16</v>
      </c>
      <c r="H941" t="s">
        <v>2107</v>
      </c>
      <c r="I941" s="7">
        <v>12.39</v>
      </c>
      <c r="J941" s="8">
        <v>3</v>
      </c>
      <c r="K941" s="7">
        <v>5.7</v>
      </c>
    </row>
    <row r="942" spans="1:11" x14ac:dyDescent="0.3">
      <c r="A942" s="2">
        <v>42254</v>
      </c>
      <c r="B942" s="9">
        <f>MONTH(Table1[[#This Row],[Order Date]])</f>
        <v>9</v>
      </c>
      <c r="C942" s="9">
        <f>YEAR(Table1[[#This Row],[Order Date]])</f>
        <v>2015</v>
      </c>
      <c r="D942" t="s">
        <v>1673</v>
      </c>
      <c r="E942" t="s">
        <v>517</v>
      </c>
      <c r="F942" t="s">
        <v>11</v>
      </c>
      <c r="G942" t="s">
        <v>20</v>
      </c>
      <c r="H942" t="s">
        <v>1498</v>
      </c>
      <c r="I942" s="7">
        <v>153.36000000000001</v>
      </c>
      <c r="J942" s="8">
        <v>9</v>
      </c>
      <c r="K942" s="7">
        <v>70.55</v>
      </c>
    </row>
    <row r="943" spans="1:11" x14ac:dyDescent="0.3">
      <c r="A943" s="2">
        <v>42254</v>
      </c>
      <c r="B943" s="9">
        <f>MONTH(Table1[[#This Row],[Order Date]])</f>
        <v>9</v>
      </c>
      <c r="C943" s="9">
        <f>YEAR(Table1[[#This Row],[Order Date]])</f>
        <v>2015</v>
      </c>
      <c r="D943" t="s">
        <v>1673</v>
      </c>
      <c r="E943" t="s">
        <v>517</v>
      </c>
      <c r="F943" t="s">
        <v>11</v>
      </c>
      <c r="G943" t="s">
        <v>20</v>
      </c>
      <c r="H943" t="s">
        <v>1592</v>
      </c>
      <c r="I943" s="7">
        <v>43.68</v>
      </c>
      <c r="J943" s="8">
        <v>6</v>
      </c>
      <c r="K943" s="7">
        <v>21.4</v>
      </c>
    </row>
    <row r="944" spans="1:11" x14ac:dyDescent="0.3">
      <c r="A944" s="2">
        <v>42254</v>
      </c>
      <c r="B944" s="9">
        <f>MONTH(Table1[[#This Row],[Order Date]])</f>
        <v>9</v>
      </c>
      <c r="C944" s="9">
        <f>YEAR(Table1[[#This Row],[Order Date]])</f>
        <v>2015</v>
      </c>
      <c r="D944" t="s">
        <v>1673</v>
      </c>
      <c r="E944" t="s">
        <v>517</v>
      </c>
      <c r="F944" t="s">
        <v>11</v>
      </c>
      <c r="G944" t="s">
        <v>18</v>
      </c>
      <c r="H944" t="s">
        <v>1302</v>
      </c>
      <c r="I944" s="7">
        <v>98.21</v>
      </c>
      <c r="J944" s="8">
        <v>7</v>
      </c>
      <c r="K944" s="7">
        <v>28.48</v>
      </c>
    </row>
    <row r="945" spans="1:11" x14ac:dyDescent="0.3">
      <c r="A945" s="2">
        <v>42254</v>
      </c>
      <c r="B945" s="9">
        <f>MONTH(Table1[[#This Row],[Order Date]])</f>
        <v>9</v>
      </c>
      <c r="C945" s="9">
        <f>YEAR(Table1[[#This Row],[Order Date]])</f>
        <v>2015</v>
      </c>
      <c r="D945" t="s">
        <v>1692</v>
      </c>
      <c r="E945" t="s">
        <v>23</v>
      </c>
      <c r="F945" t="s">
        <v>39</v>
      </c>
      <c r="G945" t="s">
        <v>40</v>
      </c>
      <c r="H945" t="s">
        <v>1316</v>
      </c>
      <c r="I945" s="7">
        <v>269.98</v>
      </c>
      <c r="J945" s="8">
        <v>3</v>
      </c>
      <c r="K945" s="7">
        <v>40.5</v>
      </c>
    </row>
    <row r="946" spans="1:11" x14ac:dyDescent="0.3">
      <c r="A946" s="2">
        <v>42254</v>
      </c>
      <c r="B946" s="9">
        <f>MONTH(Table1[[#This Row],[Order Date]])</f>
        <v>9</v>
      </c>
      <c r="C946" s="9">
        <f>YEAR(Table1[[#This Row],[Order Date]])</f>
        <v>2015</v>
      </c>
      <c r="D946" t="s">
        <v>504</v>
      </c>
      <c r="E946" t="s">
        <v>10</v>
      </c>
      <c r="F946" t="s">
        <v>11</v>
      </c>
      <c r="G946" t="s">
        <v>92</v>
      </c>
      <c r="H946" t="s">
        <v>2108</v>
      </c>
      <c r="I946" s="7">
        <v>48.63</v>
      </c>
      <c r="J946" s="8">
        <v>2</v>
      </c>
      <c r="K946" s="7">
        <v>-121.58</v>
      </c>
    </row>
    <row r="947" spans="1:11" x14ac:dyDescent="0.3">
      <c r="A947" s="2">
        <v>42255</v>
      </c>
      <c r="B947" s="9">
        <f>MONTH(Table1[[#This Row],[Order Date]])</f>
        <v>9</v>
      </c>
      <c r="C947" s="9">
        <f>YEAR(Table1[[#This Row],[Order Date]])</f>
        <v>2015</v>
      </c>
      <c r="D947" t="s">
        <v>576</v>
      </c>
      <c r="E947" t="s">
        <v>108</v>
      </c>
      <c r="F947" t="s">
        <v>11</v>
      </c>
      <c r="G947" t="s">
        <v>24</v>
      </c>
      <c r="H947" t="s">
        <v>873</v>
      </c>
      <c r="I947" s="7">
        <v>2.2000000000000002</v>
      </c>
      <c r="J947" s="8">
        <v>1</v>
      </c>
      <c r="K947" s="7">
        <v>0.97</v>
      </c>
    </row>
    <row r="948" spans="1:11" x14ac:dyDescent="0.3">
      <c r="A948" s="2">
        <v>42255</v>
      </c>
      <c r="B948" s="9">
        <f>MONTH(Table1[[#This Row],[Order Date]])</f>
        <v>9</v>
      </c>
      <c r="C948" s="9">
        <f>YEAR(Table1[[#This Row],[Order Date]])</f>
        <v>2015</v>
      </c>
      <c r="D948" t="s">
        <v>654</v>
      </c>
      <c r="E948" t="s">
        <v>144</v>
      </c>
      <c r="F948" t="s">
        <v>34</v>
      </c>
      <c r="G948" t="s">
        <v>140</v>
      </c>
      <c r="H948" t="s">
        <v>711</v>
      </c>
      <c r="I948" s="7">
        <v>382.81</v>
      </c>
      <c r="J948" s="8">
        <v>9</v>
      </c>
      <c r="K948" s="7">
        <v>-153.12</v>
      </c>
    </row>
    <row r="949" spans="1:11" x14ac:dyDescent="0.3">
      <c r="A949" s="2">
        <v>42255</v>
      </c>
      <c r="B949" s="9">
        <f>MONTH(Table1[[#This Row],[Order Date]])</f>
        <v>9</v>
      </c>
      <c r="C949" s="9">
        <f>YEAR(Table1[[#This Row],[Order Date]])</f>
        <v>2015</v>
      </c>
      <c r="D949" t="s">
        <v>654</v>
      </c>
      <c r="E949" t="s">
        <v>144</v>
      </c>
      <c r="F949" t="s">
        <v>34</v>
      </c>
      <c r="G949" t="s">
        <v>47</v>
      </c>
      <c r="H949" t="s">
        <v>2141</v>
      </c>
      <c r="I949" s="7">
        <v>47.04</v>
      </c>
      <c r="J949" s="8">
        <v>3</v>
      </c>
      <c r="K949" s="7">
        <v>18.350000000000001</v>
      </c>
    </row>
    <row r="950" spans="1:11" x14ac:dyDescent="0.3">
      <c r="A950" s="2">
        <v>42255</v>
      </c>
      <c r="B950" s="9">
        <f>MONTH(Table1[[#This Row],[Order Date]])</f>
        <v>9</v>
      </c>
      <c r="C950" s="9">
        <f>YEAR(Table1[[#This Row],[Order Date]])</f>
        <v>2015</v>
      </c>
      <c r="D950" t="s">
        <v>654</v>
      </c>
      <c r="E950" t="s">
        <v>144</v>
      </c>
      <c r="F950" t="s">
        <v>39</v>
      </c>
      <c r="G950" t="s">
        <v>52</v>
      </c>
      <c r="H950" t="s">
        <v>1758</v>
      </c>
      <c r="I950" s="7">
        <v>247.8</v>
      </c>
      <c r="J950" s="8">
        <v>4</v>
      </c>
      <c r="K950" s="7">
        <v>34.69</v>
      </c>
    </row>
    <row r="951" spans="1:11" x14ac:dyDescent="0.3">
      <c r="A951" s="2">
        <v>42255</v>
      </c>
      <c r="B951" s="9">
        <f>MONTH(Table1[[#This Row],[Order Date]])</f>
        <v>9</v>
      </c>
      <c r="C951" s="9">
        <f>YEAR(Table1[[#This Row],[Order Date]])</f>
        <v>2015</v>
      </c>
      <c r="D951" t="s">
        <v>484</v>
      </c>
      <c r="E951" t="s">
        <v>120</v>
      </c>
      <c r="F951" t="s">
        <v>11</v>
      </c>
      <c r="G951" t="s">
        <v>16</v>
      </c>
      <c r="H951" t="s">
        <v>571</v>
      </c>
      <c r="I951" s="7">
        <v>4.6100000000000003</v>
      </c>
      <c r="J951" s="8">
        <v>2</v>
      </c>
      <c r="K951" s="7">
        <v>1.67</v>
      </c>
    </row>
    <row r="952" spans="1:11" x14ac:dyDescent="0.3">
      <c r="A952" s="2">
        <v>42255</v>
      </c>
      <c r="B952" s="9">
        <f>MONTH(Table1[[#This Row],[Order Date]])</f>
        <v>9</v>
      </c>
      <c r="C952" s="9">
        <f>YEAR(Table1[[#This Row],[Order Date]])</f>
        <v>2015</v>
      </c>
      <c r="D952" t="s">
        <v>220</v>
      </c>
      <c r="E952" t="s">
        <v>152</v>
      </c>
      <c r="F952" t="s">
        <v>34</v>
      </c>
      <c r="G952" t="s">
        <v>74</v>
      </c>
      <c r="H952" t="s">
        <v>2124</v>
      </c>
      <c r="I952" s="7">
        <v>687.4</v>
      </c>
      <c r="J952" s="8">
        <v>5</v>
      </c>
      <c r="K952" s="7">
        <v>48.12</v>
      </c>
    </row>
    <row r="953" spans="1:11" x14ac:dyDescent="0.3">
      <c r="A953" s="2">
        <v>42255</v>
      </c>
      <c r="B953" s="9">
        <f>MONTH(Table1[[#This Row],[Order Date]])</f>
        <v>9</v>
      </c>
      <c r="C953" s="9">
        <f>YEAR(Table1[[#This Row],[Order Date]])</f>
        <v>2015</v>
      </c>
      <c r="D953" t="s">
        <v>1283</v>
      </c>
      <c r="E953" t="s">
        <v>144</v>
      </c>
      <c r="F953" t="s">
        <v>11</v>
      </c>
      <c r="G953" t="s">
        <v>12</v>
      </c>
      <c r="H953" t="s">
        <v>1652</v>
      </c>
      <c r="I953" s="7">
        <v>144.12</v>
      </c>
      <c r="J953" s="8">
        <v>3</v>
      </c>
      <c r="K953" s="7">
        <v>69.180000000000007</v>
      </c>
    </row>
    <row r="954" spans="1:11" x14ac:dyDescent="0.3">
      <c r="A954" s="2">
        <v>42257</v>
      </c>
      <c r="B954" s="9">
        <f>MONTH(Table1[[#This Row],[Order Date]])</f>
        <v>9</v>
      </c>
      <c r="C954" s="9">
        <f>YEAR(Table1[[#This Row],[Order Date]])</f>
        <v>2015</v>
      </c>
      <c r="D954" t="s">
        <v>901</v>
      </c>
      <c r="E954" t="s">
        <v>108</v>
      </c>
      <c r="F954" t="s">
        <v>39</v>
      </c>
      <c r="G954" t="s">
        <v>40</v>
      </c>
      <c r="H954" t="s">
        <v>2237</v>
      </c>
      <c r="I954" s="7">
        <v>29.16</v>
      </c>
      <c r="J954" s="8">
        <v>3</v>
      </c>
      <c r="K954" s="7">
        <v>8.4600000000000009</v>
      </c>
    </row>
    <row r="955" spans="1:11" x14ac:dyDescent="0.3">
      <c r="A955" s="2">
        <v>42257</v>
      </c>
      <c r="B955" s="9">
        <f>MONTH(Table1[[#This Row],[Order Date]])</f>
        <v>9</v>
      </c>
      <c r="C955" s="9">
        <f>YEAR(Table1[[#This Row],[Order Date]])</f>
        <v>2015</v>
      </c>
      <c r="D955" t="s">
        <v>803</v>
      </c>
      <c r="E955" t="s">
        <v>120</v>
      </c>
      <c r="F955" t="s">
        <v>11</v>
      </c>
      <c r="G955" t="s">
        <v>20</v>
      </c>
      <c r="H955" t="s">
        <v>961</v>
      </c>
      <c r="I955" s="7">
        <v>11.21</v>
      </c>
      <c r="J955" s="8">
        <v>2</v>
      </c>
      <c r="K955" s="7">
        <v>-8.6</v>
      </c>
    </row>
    <row r="956" spans="1:11" x14ac:dyDescent="0.3">
      <c r="A956" s="2">
        <v>42257</v>
      </c>
      <c r="B956" s="9">
        <f>MONTH(Table1[[#This Row],[Order Date]])</f>
        <v>9</v>
      </c>
      <c r="C956" s="9">
        <f>YEAR(Table1[[#This Row],[Order Date]])</f>
        <v>2015</v>
      </c>
      <c r="D956" t="s">
        <v>803</v>
      </c>
      <c r="E956" t="s">
        <v>120</v>
      </c>
      <c r="F956" t="s">
        <v>11</v>
      </c>
      <c r="G956" t="s">
        <v>24</v>
      </c>
      <c r="H956" t="s">
        <v>1908</v>
      </c>
      <c r="I956" s="7">
        <v>37.380000000000003</v>
      </c>
      <c r="J956" s="8">
        <v>8</v>
      </c>
      <c r="K956" s="7">
        <v>7.48</v>
      </c>
    </row>
    <row r="957" spans="1:11" x14ac:dyDescent="0.3">
      <c r="A957" s="2">
        <v>42257</v>
      </c>
      <c r="B957" s="9">
        <f>MONTH(Table1[[#This Row],[Order Date]])</f>
        <v>9</v>
      </c>
      <c r="C957" s="9">
        <f>YEAR(Table1[[#This Row],[Order Date]])</f>
        <v>2015</v>
      </c>
      <c r="D957" t="s">
        <v>2112</v>
      </c>
      <c r="E957" t="s">
        <v>108</v>
      </c>
      <c r="F957" t="s">
        <v>34</v>
      </c>
      <c r="G957" t="s">
        <v>35</v>
      </c>
      <c r="H957" t="s">
        <v>1761</v>
      </c>
      <c r="I957" s="7">
        <v>389.97</v>
      </c>
      <c r="J957" s="8">
        <v>3</v>
      </c>
      <c r="K957" s="7">
        <v>35.1</v>
      </c>
    </row>
    <row r="958" spans="1:11" x14ac:dyDescent="0.3">
      <c r="A958" s="2">
        <v>42257</v>
      </c>
      <c r="B958" s="9">
        <f>MONTH(Table1[[#This Row],[Order Date]])</f>
        <v>9</v>
      </c>
      <c r="C958" s="9">
        <f>YEAR(Table1[[#This Row],[Order Date]])</f>
        <v>2015</v>
      </c>
      <c r="D958" t="s">
        <v>2112</v>
      </c>
      <c r="E958" t="s">
        <v>108</v>
      </c>
      <c r="F958" t="s">
        <v>11</v>
      </c>
      <c r="G958" t="s">
        <v>92</v>
      </c>
      <c r="H958" t="s">
        <v>1349</v>
      </c>
      <c r="I958" s="7">
        <v>269.91000000000003</v>
      </c>
      <c r="J958" s="8">
        <v>5</v>
      </c>
      <c r="K958" s="7">
        <v>53.98</v>
      </c>
    </row>
    <row r="959" spans="1:11" x14ac:dyDescent="0.3">
      <c r="A959" s="2">
        <v>42258</v>
      </c>
      <c r="B959" s="9">
        <f>MONTH(Table1[[#This Row],[Order Date]])</f>
        <v>9</v>
      </c>
      <c r="C959" s="9">
        <f>YEAR(Table1[[#This Row],[Order Date]])</f>
        <v>2015</v>
      </c>
      <c r="D959" t="s">
        <v>2209</v>
      </c>
      <c r="E959" t="s">
        <v>23</v>
      </c>
      <c r="F959" t="s">
        <v>11</v>
      </c>
      <c r="G959" t="s">
        <v>12</v>
      </c>
      <c r="H959" t="s">
        <v>1325</v>
      </c>
      <c r="I959" s="7">
        <v>11.35</v>
      </c>
      <c r="J959" s="8">
        <v>3</v>
      </c>
      <c r="K959" s="7">
        <v>4.12</v>
      </c>
    </row>
    <row r="960" spans="1:11" x14ac:dyDescent="0.3">
      <c r="A960" s="2">
        <v>42258</v>
      </c>
      <c r="B960" s="9">
        <f>MONTH(Table1[[#This Row],[Order Date]])</f>
        <v>9</v>
      </c>
      <c r="C960" s="9">
        <f>YEAR(Table1[[#This Row],[Order Date]])</f>
        <v>2015</v>
      </c>
      <c r="D960" t="s">
        <v>1330</v>
      </c>
      <c r="E960" t="s">
        <v>179</v>
      </c>
      <c r="F960" t="s">
        <v>11</v>
      </c>
      <c r="G960" t="s">
        <v>20</v>
      </c>
      <c r="H960" t="s">
        <v>2284</v>
      </c>
      <c r="I960" s="7">
        <v>17.22</v>
      </c>
      <c r="J960" s="8">
        <v>3</v>
      </c>
      <c r="K960" s="7">
        <v>7.92</v>
      </c>
    </row>
    <row r="961" spans="1:11" x14ac:dyDescent="0.3">
      <c r="A961" s="2">
        <v>42258</v>
      </c>
      <c r="B961" s="9">
        <f>MONTH(Table1[[#This Row],[Order Date]])</f>
        <v>9</v>
      </c>
      <c r="C961" s="9">
        <f>YEAR(Table1[[#This Row],[Order Date]])</f>
        <v>2015</v>
      </c>
      <c r="D961" t="s">
        <v>1330</v>
      </c>
      <c r="E961" t="s">
        <v>179</v>
      </c>
      <c r="F961" t="s">
        <v>34</v>
      </c>
      <c r="G961" t="s">
        <v>140</v>
      </c>
      <c r="H961" t="s">
        <v>928</v>
      </c>
      <c r="I961" s="7">
        <v>1024.3800000000001</v>
      </c>
      <c r="J961" s="8">
        <v>7</v>
      </c>
      <c r="K961" s="7">
        <v>215.12</v>
      </c>
    </row>
    <row r="962" spans="1:11" x14ac:dyDescent="0.3">
      <c r="A962" s="2">
        <v>42258</v>
      </c>
      <c r="B962" s="9">
        <f>MONTH(Table1[[#This Row],[Order Date]])</f>
        <v>9</v>
      </c>
      <c r="C962" s="9">
        <f>YEAR(Table1[[#This Row],[Order Date]])</f>
        <v>2015</v>
      </c>
      <c r="D962" t="s">
        <v>1330</v>
      </c>
      <c r="E962" t="s">
        <v>179</v>
      </c>
      <c r="F962" t="s">
        <v>11</v>
      </c>
      <c r="G962" t="s">
        <v>12</v>
      </c>
      <c r="H962" t="s">
        <v>1150</v>
      </c>
      <c r="I962" s="7">
        <v>17.34</v>
      </c>
      <c r="J962" s="8">
        <v>3</v>
      </c>
      <c r="K962" s="7">
        <v>8.5</v>
      </c>
    </row>
    <row r="963" spans="1:11" x14ac:dyDescent="0.3">
      <c r="A963" s="2">
        <v>42258</v>
      </c>
      <c r="B963" s="9">
        <f>MONTH(Table1[[#This Row],[Order Date]])</f>
        <v>9</v>
      </c>
      <c r="C963" s="9">
        <f>YEAR(Table1[[#This Row],[Order Date]])</f>
        <v>2015</v>
      </c>
      <c r="D963" t="s">
        <v>839</v>
      </c>
      <c r="E963" t="s">
        <v>144</v>
      </c>
      <c r="F963" t="s">
        <v>11</v>
      </c>
      <c r="G963" t="s">
        <v>63</v>
      </c>
      <c r="H963" t="s">
        <v>387</v>
      </c>
      <c r="I963" s="7">
        <v>12.24</v>
      </c>
      <c r="J963" s="8">
        <v>6</v>
      </c>
      <c r="K963" s="7">
        <v>5.75</v>
      </c>
    </row>
    <row r="964" spans="1:11" x14ac:dyDescent="0.3">
      <c r="A964" s="2">
        <v>42258</v>
      </c>
      <c r="B964" s="9">
        <f>MONTH(Table1[[#This Row],[Order Date]])</f>
        <v>9</v>
      </c>
      <c r="C964" s="9">
        <f>YEAR(Table1[[#This Row],[Order Date]])</f>
        <v>2015</v>
      </c>
      <c r="D964" t="s">
        <v>839</v>
      </c>
      <c r="E964" t="s">
        <v>144</v>
      </c>
      <c r="F964" t="s">
        <v>39</v>
      </c>
      <c r="G964" t="s">
        <v>52</v>
      </c>
      <c r="H964" t="s">
        <v>2285</v>
      </c>
      <c r="I964" s="7">
        <v>13.98</v>
      </c>
      <c r="J964" s="8">
        <v>2</v>
      </c>
      <c r="K964" s="7">
        <v>6.01</v>
      </c>
    </row>
    <row r="965" spans="1:11" x14ac:dyDescent="0.3">
      <c r="A965" s="2">
        <v>42258</v>
      </c>
      <c r="B965" s="9">
        <f>MONTH(Table1[[#This Row],[Order Date]])</f>
        <v>9</v>
      </c>
      <c r="C965" s="9">
        <f>YEAR(Table1[[#This Row],[Order Date]])</f>
        <v>2015</v>
      </c>
      <c r="D965" t="s">
        <v>1912</v>
      </c>
      <c r="E965" t="s">
        <v>27</v>
      </c>
      <c r="F965" t="s">
        <v>11</v>
      </c>
      <c r="G965" t="s">
        <v>43</v>
      </c>
      <c r="H965" t="s">
        <v>1752</v>
      </c>
      <c r="I965" s="7">
        <v>2.48</v>
      </c>
      <c r="J965" s="8">
        <v>2</v>
      </c>
      <c r="K965" s="7">
        <v>1.17</v>
      </c>
    </row>
    <row r="966" spans="1:11" x14ac:dyDescent="0.3">
      <c r="A966" s="2">
        <v>42278</v>
      </c>
      <c r="B966" s="9">
        <f>MONTH(Table1[[#This Row],[Order Date]])</f>
        <v>10</v>
      </c>
      <c r="C966" s="9">
        <f>YEAR(Table1[[#This Row],[Order Date]])</f>
        <v>2015</v>
      </c>
      <c r="D966" t="s">
        <v>77</v>
      </c>
      <c r="E966" t="s">
        <v>144</v>
      </c>
      <c r="F966" t="s">
        <v>34</v>
      </c>
      <c r="G966" t="s">
        <v>140</v>
      </c>
      <c r="H966" t="s">
        <v>394</v>
      </c>
      <c r="I966" s="7">
        <v>1018.1</v>
      </c>
      <c r="J966" s="8">
        <v>4</v>
      </c>
      <c r="K966" s="7">
        <v>-373.3</v>
      </c>
    </row>
    <row r="967" spans="1:11" x14ac:dyDescent="0.3">
      <c r="A967" s="2">
        <v>42280</v>
      </c>
      <c r="B967" s="9">
        <f>MONTH(Table1[[#This Row],[Order Date]])</f>
        <v>10</v>
      </c>
      <c r="C967" s="9">
        <f>YEAR(Table1[[#This Row],[Order Date]])</f>
        <v>2015</v>
      </c>
      <c r="D967" t="s">
        <v>94</v>
      </c>
      <c r="E967" t="s">
        <v>10</v>
      </c>
      <c r="F967" t="s">
        <v>11</v>
      </c>
      <c r="G967" t="s">
        <v>20</v>
      </c>
      <c r="H967" t="s">
        <v>1264</v>
      </c>
      <c r="I967" s="7">
        <v>1.1100000000000001</v>
      </c>
      <c r="J967" s="8">
        <v>2</v>
      </c>
      <c r="K967" s="7">
        <v>-1.89</v>
      </c>
    </row>
    <row r="968" spans="1:11" x14ac:dyDescent="0.3">
      <c r="A968" s="2">
        <v>42281</v>
      </c>
      <c r="B968" s="9">
        <f>MONTH(Table1[[#This Row],[Order Date]])</f>
        <v>10</v>
      </c>
      <c r="C968" s="9">
        <f>YEAR(Table1[[#This Row],[Order Date]])</f>
        <v>2015</v>
      </c>
      <c r="D968" t="s">
        <v>1462</v>
      </c>
      <c r="E968" t="s">
        <v>144</v>
      </c>
      <c r="F968" t="s">
        <v>11</v>
      </c>
      <c r="G968" t="s">
        <v>18</v>
      </c>
      <c r="H968" t="s">
        <v>1959</v>
      </c>
      <c r="I968" s="7">
        <v>142.04</v>
      </c>
      <c r="J968" s="8">
        <v>4</v>
      </c>
      <c r="K968" s="7">
        <v>38.35</v>
      </c>
    </row>
    <row r="969" spans="1:11" x14ac:dyDescent="0.3">
      <c r="A969" s="2">
        <v>42281</v>
      </c>
      <c r="B969" s="9">
        <f>MONTH(Table1[[#This Row],[Order Date]])</f>
        <v>10</v>
      </c>
      <c r="C969" s="9">
        <f>YEAR(Table1[[#This Row],[Order Date]])</f>
        <v>2015</v>
      </c>
      <c r="D969" t="s">
        <v>1462</v>
      </c>
      <c r="E969" t="s">
        <v>144</v>
      </c>
      <c r="F969" t="s">
        <v>11</v>
      </c>
      <c r="G969" t="s">
        <v>24</v>
      </c>
      <c r="H969" t="s">
        <v>1118</v>
      </c>
      <c r="I969" s="7">
        <v>14.67</v>
      </c>
      <c r="J969" s="8">
        <v>3</v>
      </c>
      <c r="K969" s="7">
        <v>6.01</v>
      </c>
    </row>
    <row r="970" spans="1:11" x14ac:dyDescent="0.3">
      <c r="A970" s="2">
        <v>42282</v>
      </c>
      <c r="B970" s="9">
        <f>MONTH(Table1[[#This Row],[Order Date]])</f>
        <v>10</v>
      </c>
      <c r="C970" s="9">
        <f>YEAR(Table1[[#This Row],[Order Date]])</f>
        <v>2015</v>
      </c>
      <c r="D970" t="s">
        <v>888</v>
      </c>
      <c r="E970" t="s">
        <v>15</v>
      </c>
      <c r="F970" t="s">
        <v>11</v>
      </c>
      <c r="G970" t="s">
        <v>92</v>
      </c>
      <c r="H970" t="s">
        <v>2020</v>
      </c>
      <c r="I970" s="7">
        <v>70.97</v>
      </c>
      <c r="J970" s="8">
        <v>5</v>
      </c>
      <c r="K970" s="7">
        <v>-191.62</v>
      </c>
    </row>
    <row r="971" spans="1:11" x14ac:dyDescent="0.3">
      <c r="A971" s="2">
        <v>42285</v>
      </c>
      <c r="B971" s="9">
        <f>MONTH(Table1[[#This Row],[Order Date]])</f>
        <v>10</v>
      </c>
      <c r="C971" s="9">
        <f>YEAR(Table1[[#This Row],[Order Date]])</f>
        <v>2015</v>
      </c>
      <c r="D971" t="s">
        <v>1511</v>
      </c>
      <c r="E971" t="s">
        <v>308</v>
      </c>
      <c r="F971" t="s">
        <v>11</v>
      </c>
      <c r="G971" t="s">
        <v>16</v>
      </c>
      <c r="H971" t="s">
        <v>1670</v>
      </c>
      <c r="I971" s="7">
        <v>41.4</v>
      </c>
      <c r="J971" s="8">
        <v>4</v>
      </c>
      <c r="K971" s="7">
        <v>19.87</v>
      </c>
    </row>
    <row r="972" spans="1:11" x14ac:dyDescent="0.3">
      <c r="A972" s="2">
        <v>42285</v>
      </c>
      <c r="B972" s="9">
        <f>MONTH(Table1[[#This Row],[Order Date]])</f>
        <v>10</v>
      </c>
      <c r="C972" s="9">
        <f>YEAR(Table1[[#This Row],[Order Date]])</f>
        <v>2015</v>
      </c>
      <c r="D972" t="s">
        <v>1511</v>
      </c>
      <c r="E972" t="s">
        <v>308</v>
      </c>
      <c r="F972" t="s">
        <v>11</v>
      </c>
      <c r="G972" t="s">
        <v>24</v>
      </c>
      <c r="H972" t="s">
        <v>396</v>
      </c>
      <c r="I972" s="7">
        <v>29.79</v>
      </c>
      <c r="J972" s="8">
        <v>3</v>
      </c>
      <c r="K972" s="7">
        <v>12.51</v>
      </c>
    </row>
    <row r="973" spans="1:11" x14ac:dyDescent="0.3">
      <c r="A973" s="2">
        <v>42285</v>
      </c>
      <c r="B973" s="9">
        <f>MONTH(Table1[[#This Row],[Order Date]])</f>
        <v>10</v>
      </c>
      <c r="C973" s="9">
        <f>YEAR(Table1[[#This Row],[Order Date]])</f>
        <v>2015</v>
      </c>
      <c r="D973" t="s">
        <v>2049</v>
      </c>
      <c r="E973" t="s">
        <v>108</v>
      </c>
      <c r="F973" t="s">
        <v>11</v>
      </c>
      <c r="G973" t="s">
        <v>20</v>
      </c>
      <c r="H973" t="s">
        <v>2143</v>
      </c>
      <c r="I973" s="7">
        <v>64.75</v>
      </c>
      <c r="J973" s="8">
        <v>5</v>
      </c>
      <c r="K973" s="7">
        <v>29.14</v>
      </c>
    </row>
    <row r="974" spans="1:11" x14ac:dyDescent="0.3">
      <c r="A974" s="2">
        <v>42286</v>
      </c>
      <c r="B974" s="9">
        <f>MONTH(Table1[[#This Row],[Order Date]])</f>
        <v>10</v>
      </c>
      <c r="C974" s="9">
        <f>YEAR(Table1[[#This Row],[Order Date]])</f>
        <v>2015</v>
      </c>
      <c r="D974" t="s">
        <v>251</v>
      </c>
      <c r="E974" t="s">
        <v>819</v>
      </c>
      <c r="F974" t="s">
        <v>11</v>
      </c>
      <c r="G974" t="s">
        <v>12</v>
      </c>
      <c r="H974" t="s">
        <v>1490</v>
      </c>
      <c r="I974" s="7">
        <v>14.94</v>
      </c>
      <c r="J974" s="8">
        <v>3</v>
      </c>
      <c r="K974" s="7">
        <v>7.02</v>
      </c>
    </row>
    <row r="975" spans="1:11" x14ac:dyDescent="0.3">
      <c r="A975" s="2">
        <v>42286</v>
      </c>
      <c r="B975" s="9">
        <f>MONTH(Table1[[#This Row],[Order Date]])</f>
        <v>10</v>
      </c>
      <c r="C975" s="9">
        <f>YEAR(Table1[[#This Row],[Order Date]])</f>
        <v>2015</v>
      </c>
      <c r="D975" t="s">
        <v>1692</v>
      </c>
      <c r="E975" t="s">
        <v>158</v>
      </c>
      <c r="F975" t="s">
        <v>11</v>
      </c>
      <c r="G975" t="s">
        <v>18</v>
      </c>
      <c r="H975" t="s">
        <v>2185</v>
      </c>
      <c r="I975" s="7">
        <v>353.88</v>
      </c>
      <c r="J975" s="8">
        <v>6</v>
      </c>
      <c r="K975" s="7">
        <v>17.690000000000001</v>
      </c>
    </row>
    <row r="976" spans="1:11" x14ac:dyDescent="0.3">
      <c r="A976" s="2">
        <v>42286</v>
      </c>
      <c r="B976" s="9">
        <f>MONTH(Table1[[#This Row],[Order Date]])</f>
        <v>10</v>
      </c>
      <c r="C976" s="9">
        <f>YEAR(Table1[[#This Row],[Order Date]])</f>
        <v>2015</v>
      </c>
      <c r="D976" t="s">
        <v>2186</v>
      </c>
      <c r="E976" t="s">
        <v>144</v>
      </c>
      <c r="F976" t="s">
        <v>11</v>
      </c>
      <c r="G976" t="s">
        <v>24</v>
      </c>
      <c r="H976" t="s">
        <v>2187</v>
      </c>
      <c r="I976" s="7">
        <v>6.08</v>
      </c>
      <c r="J976" s="8">
        <v>2</v>
      </c>
      <c r="K976" s="7">
        <v>2.0699999999999998</v>
      </c>
    </row>
    <row r="977" spans="1:11" x14ac:dyDescent="0.3">
      <c r="A977" s="2">
        <v>42286</v>
      </c>
      <c r="B977" s="9">
        <f>MONTH(Table1[[#This Row],[Order Date]])</f>
        <v>10</v>
      </c>
      <c r="C977" s="9">
        <f>YEAR(Table1[[#This Row],[Order Date]])</f>
        <v>2015</v>
      </c>
      <c r="D977" t="s">
        <v>1301</v>
      </c>
      <c r="E977" t="s">
        <v>27</v>
      </c>
      <c r="F977" t="s">
        <v>34</v>
      </c>
      <c r="G977" t="s">
        <v>47</v>
      </c>
      <c r="H977" t="s">
        <v>1860</v>
      </c>
      <c r="I977" s="7">
        <v>106.68</v>
      </c>
      <c r="J977" s="8">
        <v>6</v>
      </c>
      <c r="K977" s="7">
        <v>33.07</v>
      </c>
    </row>
    <row r="978" spans="1:11" x14ac:dyDescent="0.3">
      <c r="A978" s="2">
        <v>42286</v>
      </c>
      <c r="B978" s="9">
        <f>MONTH(Table1[[#This Row],[Order Date]])</f>
        <v>10</v>
      </c>
      <c r="C978" s="9">
        <f>YEAR(Table1[[#This Row],[Order Date]])</f>
        <v>2015</v>
      </c>
      <c r="D978" t="s">
        <v>1824</v>
      </c>
      <c r="E978" t="s">
        <v>10</v>
      </c>
      <c r="F978" t="s">
        <v>34</v>
      </c>
      <c r="G978" t="s">
        <v>35</v>
      </c>
      <c r="H978" t="s">
        <v>709</v>
      </c>
      <c r="I978" s="7">
        <v>179.89</v>
      </c>
      <c r="J978" s="8">
        <v>1</v>
      </c>
      <c r="K978" s="7">
        <v>-2.57</v>
      </c>
    </row>
    <row r="979" spans="1:11" x14ac:dyDescent="0.3">
      <c r="A979" s="2">
        <v>42287</v>
      </c>
      <c r="B979" s="9">
        <f>MONTH(Table1[[#This Row],[Order Date]])</f>
        <v>10</v>
      </c>
      <c r="C979" s="9">
        <f>YEAR(Table1[[#This Row],[Order Date]])</f>
        <v>2015</v>
      </c>
      <c r="D979" t="s">
        <v>1720</v>
      </c>
      <c r="E979" t="s">
        <v>27</v>
      </c>
      <c r="F979" t="s">
        <v>11</v>
      </c>
      <c r="G979" t="s">
        <v>12</v>
      </c>
      <c r="H979" t="s">
        <v>2041</v>
      </c>
      <c r="I979" s="7">
        <v>45.36</v>
      </c>
      <c r="J979" s="8">
        <v>7</v>
      </c>
      <c r="K979" s="7">
        <v>21.77</v>
      </c>
    </row>
    <row r="980" spans="1:11" x14ac:dyDescent="0.3">
      <c r="A980" s="2">
        <v>42287</v>
      </c>
      <c r="B980" s="9">
        <f>MONTH(Table1[[#This Row],[Order Date]])</f>
        <v>10</v>
      </c>
      <c r="C980" s="9">
        <f>YEAR(Table1[[#This Row],[Order Date]])</f>
        <v>2015</v>
      </c>
      <c r="D980" t="s">
        <v>1690</v>
      </c>
      <c r="E980" t="s">
        <v>27</v>
      </c>
      <c r="F980" t="s">
        <v>34</v>
      </c>
      <c r="G980" t="s">
        <v>35</v>
      </c>
      <c r="H980" t="s">
        <v>1647</v>
      </c>
      <c r="I980" s="7">
        <v>362.14</v>
      </c>
      <c r="J980" s="8">
        <v>3</v>
      </c>
      <c r="K980" s="7">
        <v>-54.32</v>
      </c>
    </row>
    <row r="981" spans="1:11" x14ac:dyDescent="0.3">
      <c r="A981" s="2">
        <v>42287</v>
      </c>
      <c r="B981" s="9">
        <f>MONTH(Table1[[#This Row],[Order Date]])</f>
        <v>10</v>
      </c>
      <c r="C981" s="9">
        <f>YEAR(Table1[[#This Row],[Order Date]])</f>
        <v>2015</v>
      </c>
      <c r="D981" t="s">
        <v>1690</v>
      </c>
      <c r="E981" t="s">
        <v>27</v>
      </c>
      <c r="F981" t="s">
        <v>11</v>
      </c>
      <c r="G981" t="s">
        <v>16</v>
      </c>
      <c r="H981" t="s">
        <v>2191</v>
      </c>
      <c r="I981" s="7">
        <v>31.05</v>
      </c>
      <c r="J981" s="8">
        <v>3</v>
      </c>
      <c r="K981" s="7">
        <v>14.9</v>
      </c>
    </row>
    <row r="982" spans="1:11" x14ac:dyDescent="0.3">
      <c r="A982" s="2">
        <v>42288</v>
      </c>
      <c r="B982" s="9">
        <f>MONTH(Table1[[#This Row],[Order Date]])</f>
        <v>10</v>
      </c>
      <c r="C982" s="9">
        <f>YEAR(Table1[[#This Row],[Order Date]])</f>
        <v>2015</v>
      </c>
      <c r="D982" t="s">
        <v>1753</v>
      </c>
      <c r="E982" t="s">
        <v>126</v>
      </c>
      <c r="F982" t="s">
        <v>11</v>
      </c>
      <c r="G982" t="s">
        <v>18</v>
      </c>
      <c r="H982" t="s">
        <v>951</v>
      </c>
      <c r="I982" s="7">
        <v>714.3</v>
      </c>
      <c r="J982" s="8">
        <v>5</v>
      </c>
      <c r="K982" s="7">
        <v>207.15</v>
      </c>
    </row>
    <row r="983" spans="1:11" x14ac:dyDescent="0.3">
      <c r="A983" s="2">
        <v>42289</v>
      </c>
      <c r="B983" s="9">
        <f>MONTH(Table1[[#This Row],[Order Date]])</f>
        <v>10</v>
      </c>
      <c r="C983" s="9">
        <f>YEAR(Table1[[#This Row],[Order Date]])</f>
        <v>2015</v>
      </c>
      <c r="D983" t="s">
        <v>1361</v>
      </c>
      <c r="E983" t="s">
        <v>108</v>
      </c>
      <c r="F983" t="s">
        <v>11</v>
      </c>
      <c r="G983" t="s">
        <v>16</v>
      </c>
      <c r="H983" t="s">
        <v>1593</v>
      </c>
      <c r="I983" s="7">
        <v>2.61</v>
      </c>
      <c r="J983" s="8">
        <v>1</v>
      </c>
      <c r="K983" s="7">
        <v>1.2</v>
      </c>
    </row>
    <row r="984" spans="1:11" x14ac:dyDescent="0.3">
      <c r="A984" s="2">
        <v>42289</v>
      </c>
      <c r="B984" s="9">
        <f>MONTH(Table1[[#This Row],[Order Date]])</f>
        <v>10</v>
      </c>
      <c r="C984" s="9">
        <f>YEAR(Table1[[#This Row],[Order Date]])</f>
        <v>2015</v>
      </c>
      <c r="D984" t="s">
        <v>1778</v>
      </c>
      <c r="E984" t="s">
        <v>30</v>
      </c>
      <c r="F984" t="s">
        <v>11</v>
      </c>
      <c r="G984" t="s">
        <v>24</v>
      </c>
      <c r="H984" t="s">
        <v>201</v>
      </c>
      <c r="I984" s="7">
        <v>1.78</v>
      </c>
      <c r="J984" s="8">
        <v>1</v>
      </c>
      <c r="K984" s="7">
        <v>0.5</v>
      </c>
    </row>
    <row r="985" spans="1:11" x14ac:dyDescent="0.3">
      <c r="A985" s="2">
        <v>42289</v>
      </c>
      <c r="B985" s="9">
        <f>MONTH(Table1[[#This Row],[Order Date]])</f>
        <v>10</v>
      </c>
      <c r="C985" s="9">
        <f>YEAR(Table1[[#This Row],[Order Date]])</f>
        <v>2015</v>
      </c>
      <c r="D985" t="s">
        <v>1778</v>
      </c>
      <c r="E985" t="s">
        <v>30</v>
      </c>
      <c r="F985" t="s">
        <v>11</v>
      </c>
      <c r="G985" t="s">
        <v>12</v>
      </c>
      <c r="H985" t="s">
        <v>2345</v>
      </c>
      <c r="I985" s="7">
        <v>25.92</v>
      </c>
      <c r="J985" s="8">
        <v>4</v>
      </c>
      <c r="K985" s="7">
        <v>12.44</v>
      </c>
    </row>
    <row r="986" spans="1:11" x14ac:dyDescent="0.3">
      <c r="A986" s="2">
        <v>42289</v>
      </c>
      <c r="B986" s="9">
        <f>MONTH(Table1[[#This Row],[Order Date]])</f>
        <v>10</v>
      </c>
      <c r="C986" s="9">
        <f>YEAR(Table1[[#This Row],[Order Date]])</f>
        <v>2015</v>
      </c>
      <c r="D986" t="s">
        <v>1778</v>
      </c>
      <c r="E986" t="s">
        <v>30</v>
      </c>
      <c r="F986" t="s">
        <v>39</v>
      </c>
      <c r="G986" t="s">
        <v>52</v>
      </c>
      <c r="H986" t="s">
        <v>1479</v>
      </c>
      <c r="I986" s="7">
        <v>101.94</v>
      </c>
      <c r="J986" s="8">
        <v>6</v>
      </c>
      <c r="K986" s="7">
        <v>21.41</v>
      </c>
    </row>
    <row r="987" spans="1:11" x14ac:dyDescent="0.3">
      <c r="A987" s="2">
        <v>42289</v>
      </c>
      <c r="B987" s="9">
        <f>MONTH(Table1[[#This Row],[Order Date]])</f>
        <v>10</v>
      </c>
      <c r="C987" s="9">
        <f>YEAR(Table1[[#This Row],[Order Date]])</f>
        <v>2015</v>
      </c>
      <c r="D987" t="s">
        <v>1064</v>
      </c>
      <c r="E987" t="s">
        <v>144</v>
      </c>
      <c r="F987" t="s">
        <v>11</v>
      </c>
      <c r="G987" t="s">
        <v>16</v>
      </c>
      <c r="H987" t="s">
        <v>1985</v>
      </c>
      <c r="I987" s="7">
        <v>7.31</v>
      </c>
      <c r="J987" s="8">
        <v>1</v>
      </c>
      <c r="K987" s="7">
        <v>3.44</v>
      </c>
    </row>
    <row r="988" spans="1:11" x14ac:dyDescent="0.3">
      <c r="A988" s="2">
        <v>42289</v>
      </c>
      <c r="B988" s="9">
        <f>MONTH(Table1[[#This Row],[Order Date]])</f>
        <v>10</v>
      </c>
      <c r="C988" s="9">
        <f>YEAR(Table1[[#This Row],[Order Date]])</f>
        <v>2015</v>
      </c>
      <c r="D988" t="s">
        <v>1064</v>
      </c>
      <c r="E988" t="s">
        <v>144</v>
      </c>
      <c r="F988" t="s">
        <v>11</v>
      </c>
      <c r="G988" t="s">
        <v>12</v>
      </c>
      <c r="H988" t="s">
        <v>2346</v>
      </c>
      <c r="I988" s="7">
        <v>41.28</v>
      </c>
      <c r="J988" s="8">
        <v>6</v>
      </c>
      <c r="K988" s="7">
        <v>18.989999999999998</v>
      </c>
    </row>
    <row r="989" spans="1:11" x14ac:dyDescent="0.3">
      <c r="A989" s="2">
        <v>42289</v>
      </c>
      <c r="B989" s="9">
        <f>MONTH(Table1[[#This Row],[Order Date]])</f>
        <v>10</v>
      </c>
      <c r="C989" s="9">
        <f>YEAR(Table1[[#This Row],[Order Date]])</f>
        <v>2015</v>
      </c>
      <c r="D989" t="s">
        <v>1064</v>
      </c>
      <c r="E989" t="s">
        <v>144</v>
      </c>
      <c r="F989" t="s">
        <v>11</v>
      </c>
      <c r="G989" t="s">
        <v>12</v>
      </c>
      <c r="H989" t="s">
        <v>1922</v>
      </c>
      <c r="I989" s="7">
        <v>184.66</v>
      </c>
      <c r="J989" s="8">
        <v>7</v>
      </c>
      <c r="K989" s="7">
        <v>84.94</v>
      </c>
    </row>
    <row r="990" spans="1:11" x14ac:dyDescent="0.3">
      <c r="A990" s="2">
        <v>42289</v>
      </c>
      <c r="B990" s="9">
        <f>MONTH(Table1[[#This Row],[Order Date]])</f>
        <v>10</v>
      </c>
      <c r="C990" s="9">
        <f>YEAR(Table1[[#This Row],[Order Date]])</f>
        <v>2015</v>
      </c>
      <c r="D990" t="s">
        <v>1921</v>
      </c>
      <c r="E990" t="s">
        <v>15</v>
      </c>
      <c r="F990" t="s">
        <v>11</v>
      </c>
      <c r="G990" t="s">
        <v>92</v>
      </c>
      <c r="H990" t="s">
        <v>1971</v>
      </c>
      <c r="I990" s="7">
        <v>53.09</v>
      </c>
      <c r="J990" s="8">
        <v>7</v>
      </c>
      <c r="K990" s="7">
        <v>-108.83</v>
      </c>
    </row>
    <row r="991" spans="1:11" x14ac:dyDescent="0.3">
      <c r="A991" s="2">
        <v>42312</v>
      </c>
      <c r="B991" s="9">
        <f>MONTH(Table1[[#This Row],[Order Date]])</f>
        <v>11</v>
      </c>
      <c r="C991" s="9">
        <f>YEAR(Table1[[#This Row],[Order Date]])</f>
        <v>2015</v>
      </c>
      <c r="D991" t="s">
        <v>494</v>
      </c>
      <c r="E991" t="s">
        <v>144</v>
      </c>
      <c r="F991" t="s">
        <v>39</v>
      </c>
      <c r="G991" t="s">
        <v>40</v>
      </c>
      <c r="H991" t="s">
        <v>1960</v>
      </c>
      <c r="I991" s="7">
        <v>21.99</v>
      </c>
      <c r="J991" s="8">
        <v>1</v>
      </c>
      <c r="K991" s="7">
        <v>10.56</v>
      </c>
    </row>
    <row r="992" spans="1:11" x14ac:dyDescent="0.3">
      <c r="A992" s="2">
        <v>42312</v>
      </c>
      <c r="B992" s="9">
        <f>MONTH(Table1[[#This Row],[Order Date]])</f>
        <v>11</v>
      </c>
      <c r="C992" s="9">
        <f>YEAR(Table1[[#This Row],[Order Date]])</f>
        <v>2015</v>
      </c>
      <c r="D992" t="s">
        <v>494</v>
      </c>
      <c r="E992" t="s">
        <v>144</v>
      </c>
      <c r="F992" t="s">
        <v>11</v>
      </c>
      <c r="G992" t="s">
        <v>92</v>
      </c>
      <c r="H992" t="s">
        <v>1961</v>
      </c>
      <c r="I992" s="7">
        <v>406.6</v>
      </c>
      <c r="J992" s="8">
        <v>5</v>
      </c>
      <c r="K992" s="7">
        <v>113.85</v>
      </c>
    </row>
    <row r="993" spans="1:11" x14ac:dyDescent="0.3">
      <c r="A993" s="2">
        <v>42312</v>
      </c>
      <c r="B993" s="9">
        <f>MONTH(Table1[[#This Row],[Order Date]])</f>
        <v>11</v>
      </c>
      <c r="C993" s="9">
        <f>YEAR(Table1[[#This Row],[Order Date]])</f>
        <v>2015</v>
      </c>
      <c r="D993" t="s">
        <v>1184</v>
      </c>
      <c r="E993" t="s">
        <v>120</v>
      </c>
      <c r="F993" t="s">
        <v>34</v>
      </c>
      <c r="G993" t="s">
        <v>47</v>
      </c>
      <c r="H993" t="s">
        <v>1962</v>
      </c>
      <c r="I993" s="7">
        <v>67.36</v>
      </c>
      <c r="J993" s="8">
        <v>2</v>
      </c>
      <c r="K993" s="7">
        <v>10.1</v>
      </c>
    </row>
    <row r="994" spans="1:11" x14ac:dyDescent="0.3">
      <c r="A994" s="2">
        <v>42312</v>
      </c>
      <c r="B994" s="9">
        <f>MONTH(Table1[[#This Row],[Order Date]])</f>
        <v>11</v>
      </c>
      <c r="C994" s="9">
        <f>YEAR(Table1[[#This Row],[Order Date]])</f>
        <v>2015</v>
      </c>
      <c r="D994" t="s">
        <v>1184</v>
      </c>
      <c r="E994" t="s">
        <v>120</v>
      </c>
      <c r="F994" t="s">
        <v>34</v>
      </c>
      <c r="G994" t="s">
        <v>47</v>
      </c>
      <c r="H994" t="s">
        <v>1963</v>
      </c>
      <c r="I994" s="7">
        <v>54.53</v>
      </c>
      <c r="J994" s="8">
        <v>3</v>
      </c>
      <c r="K994" s="7">
        <v>14.31</v>
      </c>
    </row>
    <row r="995" spans="1:11" x14ac:dyDescent="0.3">
      <c r="A995" s="2">
        <v>42312</v>
      </c>
      <c r="B995" s="9">
        <f>MONTH(Table1[[#This Row],[Order Date]])</f>
        <v>11</v>
      </c>
      <c r="C995" s="9">
        <f>YEAR(Table1[[#This Row],[Order Date]])</f>
        <v>2015</v>
      </c>
      <c r="D995" t="s">
        <v>1660</v>
      </c>
      <c r="E995" t="s">
        <v>27</v>
      </c>
      <c r="F995" t="s">
        <v>39</v>
      </c>
      <c r="G995" t="s">
        <v>590</v>
      </c>
      <c r="H995" t="s">
        <v>1964</v>
      </c>
      <c r="I995" s="7">
        <v>639.97</v>
      </c>
      <c r="J995" s="8">
        <v>4</v>
      </c>
      <c r="K995" s="7">
        <v>215.99</v>
      </c>
    </row>
    <row r="996" spans="1:11" x14ac:dyDescent="0.3">
      <c r="A996" s="2">
        <v>42313</v>
      </c>
      <c r="B996" s="9">
        <f>MONTH(Table1[[#This Row],[Order Date]])</f>
        <v>11</v>
      </c>
      <c r="C996" s="9">
        <f>YEAR(Table1[[#This Row],[Order Date]])</f>
        <v>2015</v>
      </c>
      <c r="D996" t="s">
        <v>519</v>
      </c>
      <c r="E996" t="s">
        <v>95</v>
      </c>
      <c r="F996" t="s">
        <v>34</v>
      </c>
      <c r="G996" t="s">
        <v>35</v>
      </c>
      <c r="H996" t="s">
        <v>2021</v>
      </c>
      <c r="I996" s="7">
        <v>191.97</v>
      </c>
      <c r="J996" s="8">
        <v>7</v>
      </c>
      <c r="K996" s="7">
        <v>16.8</v>
      </c>
    </row>
    <row r="997" spans="1:11" x14ac:dyDescent="0.3">
      <c r="A997" s="2">
        <v>42314</v>
      </c>
      <c r="B997" s="9">
        <f>MONTH(Table1[[#This Row],[Order Date]])</f>
        <v>11</v>
      </c>
      <c r="C997" s="9">
        <f>YEAR(Table1[[#This Row],[Order Date]])</f>
        <v>2015</v>
      </c>
      <c r="D997" t="s">
        <v>72</v>
      </c>
      <c r="E997" t="s">
        <v>62</v>
      </c>
      <c r="F997" t="s">
        <v>11</v>
      </c>
      <c r="G997" t="s">
        <v>12</v>
      </c>
      <c r="H997" t="s">
        <v>2061</v>
      </c>
      <c r="I997" s="7">
        <v>32.4</v>
      </c>
      <c r="J997" s="8">
        <v>5</v>
      </c>
      <c r="K997" s="7">
        <v>15.55</v>
      </c>
    </row>
    <row r="998" spans="1:11" x14ac:dyDescent="0.3">
      <c r="A998" s="2">
        <v>42314</v>
      </c>
      <c r="B998" s="9">
        <f>MONTH(Table1[[#This Row],[Order Date]])</f>
        <v>11</v>
      </c>
      <c r="C998" s="9">
        <f>YEAR(Table1[[#This Row],[Order Date]])</f>
        <v>2015</v>
      </c>
      <c r="D998" t="s">
        <v>72</v>
      </c>
      <c r="E998" t="s">
        <v>62</v>
      </c>
      <c r="F998" t="s">
        <v>34</v>
      </c>
      <c r="G998" t="s">
        <v>47</v>
      </c>
      <c r="H998" t="s">
        <v>1004</v>
      </c>
      <c r="I998" s="7">
        <v>29.16</v>
      </c>
      <c r="J998" s="8">
        <v>2</v>
      </c>
      <c r="K998" s="7">
        <v>10.79</v>
      </c>
    </row>
    <row r="999" spans="1:11" x14ac:dyDescent="0.3">
      <c r="A999" s="2">
        <v>42314</v>
      </c>
      <c r="B999" s="9">
        <f>MONTH(Table1[[#This Row],[Order Date]])</f>
        <v>11</v>
      </c>
      <c r="C999" s="9">
        <f>YEAR(Table1[[#This Row],[Order Date]])</f>
        <v>2015</v>
      </c>
      <c r="D999" t="s">
        <v>1434</v>
      </c>
      <c r="E999" t="s">
        <v>120</v>
      </c>
      <c r="F999" t="s">
        <v>34</v>
      </c>
      <c r="G999" t="s">
        <v>35</v>
      </c>
      <c r="H999" t="s">
        <v>995</v>
      </c>
      <c r="I999" s="7">
        <v>1123.92</v>
      </c>
      <c r="J999" s="8">
        <v>5</v>
      </c>
      <c r="K999" s="7">
        <v>-182.64</v>
      </c>
    </row>
    <row r="1000" spans="1:11" x14ac:dyDescent="0.3">
      <c r="A1000" s="2">
        <v>42314</v>
      </c>
      <c r="B1000" s="9">
        <f>MONTH(Table1[[#This Row],[Order Date]])</f>
        <v>11</v>
      </c>
      <c r="C1000" s="9">
        <f>YEAR(Table1[[#This Row],[Order Date]])</f>
        <v>2015</v>
      </c>
      <c r="D1000" t="s">
        <v>1434</v>
      </c>
      <c r="E1000" t="s">
        <v>120</v>
      </c>
      <c r="F1000" t="s">
        <v>11</v>
      </c>
      <c r="G1000" t="s">
        <v>20</v>
      </c>
      <c r="H1000" t="s">
        <v>1376</v>
      </c>
      <c r="I1000" s="7">
        <v>3.77</v>
      </c>
      <c r="J1000" s="8">
        <v>2</v>
      </c>
      <c r="K1000" s="7">
        <v>-3.14</v>
      </c>
    </row>
    <row r="1001" spans="1:11" x14ac:dyDescent="0.3">
      <c r="A1001" s="2">
        <v>42314</v>
      </c>
      <c r="B1001" s="9">
        <f>MONTH(Table1[[#This Row],[Order Date]])</f>
        <v>11</v>
      </c>
      <c r="C1001" s="9">
        <f>YEAR(Table1[[#This Row],[Order Date]])</f>
        <v>2015</v>
      </c>
      <c r="D1001" t="s">
        <v>1434</v>
      </c>
      <c r="E1001" t="s">
        <v>120</v>
      </c>
      <c r="F1001" t="s">
        <v>11</v>
      </c>
      <c r="G1001" t="s">
        <v>18</v>
      </c>
      <c r="H1001" t="s">
        <v>2063</v>
      </c>
      <c r="I1001" s="7">
        <v>1036.6199999999999</v>
      </c>
      <c r="J1001" s="8">
        <v>2</v>
      </c>
      <c r="K1001" s="7">
        <v>51.83</v>
      </c>
    </row>
    <row r="1002" spans="1:11" x14ac:dyDescent="0.3">
      <c r="A1002" s="2">
        <v>42315</v>
      </c>
      <c r="B1002" s="9">
        <f>MONTH(Table1[[#This Row],[Order Date]])</f>
        <v>11</v>
      </c>
      <c r="C1002" s="9">
        <f>YEAR(Table1[[#This Row],[Order Date]])</f>
        <v>2015</v>
      </c>
      <c r="D1002" t="s">
        <v>1796</v>
      </c>
      <c r="E1002" t="s">
        <v>23</v>
      </c>
      <c r="F1002" t="s">
        <v>34</v>
      </c>
      <c r="G1002" t="s">
        <v>47</v>
      </c>
      <c r="H1002" t="s">
        <v>2109</v>
      </c>
      <c r="I1002" s="7">
        <v>289.8</v>
      </c>
      <c r="J1002" s="8">
        <v>7</v>
      </c>
      <c r="K1002" s="7">
        <v>36.229999999999997</v>
      </c>
    </row>
    <row r="1003" spans="1:11" x14ac:dyDescent="0.3">
      <c r="A1003" s="2">
        <v>42315</v>
      </c>
      <c r="B1003" s="9">
        <f>MONTH(Table1[[#This Row],[Order Date]])</f>
        <v>11</v>
      </c>
      <c r="C1003" s="9">
        <f>YEAR(Table1[[#This Row],[Order Date]])</f>
        <v>2015</v>
      </c>
      <c r="D1003" t="s">
        <v>1796</v>
      </c>
      <c r="E1003" t="s">
        <v>23</v>
      </c>
      <c r="F1003" t="s">
        <v>11</v>
      </c>
      <c r="G1003" t="s">
        <v>20</v>
      </c>
      <c r="H1003" t="s">
        <v>1625</v>
      </c>
      <c r="I1003" s="7">
        <v>6.48</v>
      </c>
      <c r="J1003" s="8">
        <v>4</v>
      </c>
      <c r="K1003" s="7">
        <v>-4.75</v>
      </c>
    </row>
    <row r="1004" spans="1:11" x14ac:dyDescent="0.3">
      <c r="A1004" s="2">
        <v>42315</v>
      </c>
      <c r="B1004" s="9">
        <f>MONTH(Table1[[#This Row],[Order Date]])</f>
        <v>11</v>
      </c>
      <c r="C1004" s="9">
        <f>YEAR(Table1[[#This Row],[Order Date]])</f>
        <v>2015</v>
      </c>
      <c r="D1004" t="s">
        <v>1796</v>
      </c>
      <c r="E1004" t="s">
        <v>23</v>
      </c>
      <c r="F1004" t="s">
        <v>34</v>
      </c>
      <c r="G1004" t="s">
        <v>35</v>
      </c>
      <c r="H1004" t="s">
        <v>1104</v>
      </c>
      <c r="I1004" s="7">
        <v>341.49</v>
      </c>
      <c r="J1004" s="8">
        <v>8</v>
      </c>
      <c r="K1004" s="7">
        <v>-73.180000000000007</v>
      </c>
    </row>
    <row r="1005" spans="1:11" x14ac:dyDescent="0.3">
      <c r="A1005" s="2">
        <v>42315</v>
      </c>
      <c r="B1005" s="9">
        <f>MONTH(Table1[[#This Row],[Order Date]])</f>
        <v>11</v>
      </c>
      <c r="C1005" s="9">
        <f>YEAR(Table1[[#This Row],[Order Date]])</f>
        <v>2015</v>
      </c>
      <c r="D1005" t="s">
        <v>225</v>
      </c>
      <c r="E1005" t="s">
        <v>158</v>
      </c>
      <c r="F1005" t="s">
        <v>11</v>
      </c>
      <c r="G1005" t="s">
        <v>12</v>
      </c>
      <c r="H1005" t="s">
        <v>2110</v>
      </c>
      <c r="I1005" s="7">
        <v>29.97</v>
      </c>
      <c r="J1005" s="8">
        <v>3</v>
      </c>
      <c r="K1005" s="7">
        <v>13.49</v>
      </c>
    </row>
    <row r="1006" spans="1:11" x14ac:dyDescent="0.3">
      <c r="A1006" s="2">
        <v>42315</v>
      </c>
      <c r="B1006" s="9">
        <f>MONTH(Table1[[#This Row],[Order Date]])</f>
        <v>11</v>
      </c>
      <c r="C1006" s="9">
        <f>YEAR(Table1[[#This Row],[Order Date]])</f>
        <v>2015</v>
      </c>
      <c r="D1006" t="s">
        <v>1482</v>
      </c>
      <c r="E1006" t="s">
        <v>59</v>
      </c>
      <c r="F1006" t="s">
        <v>34</v>
      </c>
      <c r="G1006" t="s">
        <v>140</v>
      </c>
      <c r="H1006" t="s">
        <v>799</v>
      </c>
      <c r="I1006" s="7">
        <v>199.84</v>
      </c>
      <c r="J1006" s="8">
        <v>4</v>
      </c>
      <c r="K1006" s="7">
        <v>-37.11</v>
      </c>
    </row>
    <row r="1007" spans="1:11" x14ac:dyDescent="0.3">
      <c r="A1007" s="2">
        <v>42315</v>
      </c>
      <c r="B1007" s="9">
        <f>MONTH(Table1[[#This Row],[Order Date]])</f>
        <v>11</v>
      </c>
      <c r="C1007" s="9">
        <f>YEAR(Table1[[#This Row],[Order Date]])</f>
        <v>2015</v>
      </c>
      <c r="D1007" t="s">
        <v>1482</v>
      </c>
      <c r="E1007" t="s">
        <v>59</v>
      </c>
      <c r="F1007" t="s">
        <v>11</v>
      </c>
      <c r="G1007" t="s">
        <v>20</v>
      </c>
      <c r="H1007" t="s">
        <v>2111</v>
      </c>
      <c r="I1007" s="7">
        <v>221.06</v>
      </c>
      <c r="J1007" s="8">
        <v>7</v>
      </c>
      <c r="K1007" s="7">
        <v>103.9</v>
      </c>
    </row>
    <row r="1008" spans="1:11" x14ac:dyDescent="0.3">
      <c r="A1008" s="2">
        <v>42316</v>
      </c>
      <c r="B1008" s="9">
        <f>MONTH(Table1[[#This Row],[Order Date]])</f>
        <v>11</v>
      </c>
      <c r="C1008" s="9">
        <f>YEAR(Table1[[#This Row],[Order Date]])</f>
        <v>2015</v>
      </c>
      <c r="D1008" t="s">
        <v>2144</v>
      </c>
      <c r="E1008" t="s">
        <v>144</v>
      </c>
      <c r="F1008" t="s">
        <v>39</v>
      </c>
      <c r="G1008" t="s">
        <v>40</v>
      </c>
      <c r="H1008" t="s">
        <v>87</v>
      </c>
      <c r="I1008" s="7">
        <v>138</v>
      </c>
      <c r="J1008" s="8">
        <v>2</v>
      </c>
      <c r="K1008" s="7">
        <v>34.5</v>
      </c>
    </row>
    <row r="1009" spans="1:11" x14ac:dyDescent="0.3">
      <c r="A1009" s="2">
        <v>42317</v>
      </c>
      <c r="B1009" s="9">
        <f>MONTH(Table1[[#This Row],[Order Date]])</f>
        <v>11</v>
      </c>
      <c r="C1009" s="9">
        <f>YEAR(Table1[[#This Row],[Order Date]])</f>
        <v>2015</v>
      </c>
      <c r="D1009" t="s">
        <v>749</v>
      </c>
      <c r="E1009" t="s">
        <v>27</v>
      </c>
      <c r="F1009" t="s">
        <v>11</v>
      </c>
      <c r="G1009" t="s">
        <v>24</v>
      </c>
      <c r="H1009" t="s">
        <v>2188</v>
      </c>
      <c r="I1009" s="7">
        <v>181.35</v>
      </c>
      <c r="J1009" s="8">
        <v>9</v>
      </c>
      <c r="K1009" s="7">
        <v>48.96</v>
      </c>
    </row>
    <row r="1010" spans="1:11" x14ac:dyDescent="0.3">
      <c r="A1010" s="2">
        <v>42317</v>
      </c>
      <c r="B1010" s="9">
        <f>MONTH(Table1[[#This Row],[Order Date]])</f>
        <v>11</v>
      </c>
      <c r="C1010" s="9">
        <f>YEAR(Table1[[#This Row],[Order Date]])</f>
        <v>2015</v>
      </c>
      <c r="D1010" t="s">
        <v>749</v>
      </c>
      <c r="E1010" t="s">
        <v>27</v>
      </c>
      <c r="F1010" t="s">
        <v>11</v>
      </c>
      <c r="G1010" t="s">
        <v>16</v>
      </c>
      <c r="H1010" t="s">
        <v>2164</v>
      </c>
      <c r="I1010" s="7">
        <v>8.64</v>
      </c>
      <c r="J1010" s="8">
        <v>3</v>
      </c>
      <c r="K1010" s="7">
        <v>4.2300000000000004</v>
      </c>
    </row>
    <row r="1011" spans="1:11" x14ac:dyDescent="0.3">
      <c r="A1011" s="2">
        <v>42317</v>
      </c>
      <c r="B1011" s="9">
        <f>MONTH(Table1[[#This Row],[Order Date]])</f>
        <v>11</v>
      </c>
      <c r="C1011" s="9">
        <f>YEAR(Table1[[#This Row],[Order Date]])</f>
        <v>2015</v>
      </c>
      <c r="D1011" t="s">
        <v>890</v>
      </c>
      <c r="E1011" t="s">
        <v>144</v>
      </c>
      <c r="F1011" t="s">
        <v>34</v>
      </c>
      <c r="G1011" t="s">
        <v>47</v>
      </c>
      <c r="H1011" t="s">
        <v>1363</v>
      </c>
      <c r="I1011" s="7">
        <v>210.68</v>
      </c>
      <c r="J1011" s="8">
        <v>2</v>
      </c>
      <c r="K1011" s="7">
        <v>50.56</v>
      </c>
    </row>
    <row r="1012" spans="1:11" x14ac:dyDescent="0.3">
      <c r="A1012" s="2">
        <v>42317</v>
      </c>
      <c r="B1012" s="9">
        <f>MONTH(Table1[[#This Row],[Order Date]])</f>
        <v>11</v>
      </c>
      <c r="C1012" s="9">
        <f>YEAR(Table1[[#This Row],[Order Date]])</f>
        <v>2015</v>
      </c>
      <c r="D1012" t="s">
        <v>890</v>
      </c>
      <c r="E1012" t="s">
        <v>144</v>
      </c>
      <c r="F1012" t="s">
        <v>11</v>
      </c>
      <c r="G1012" t="s">
        <v>18</v>
      </c>
      <c r="H1012" t="s">
        <v>1432</v>
      </c>
      <c r="I1012" s="7">
        <v>78.8</v>
      </c>
      <c r="J1012" s="8">
        <v>1</v>
      </c>
      <c r="K1012" s="7">
        <v>1.58</v>
      </c>
    </row>
    <row r="1013" spans="1:11" x14ac:dyDescent="0.3">
      <c r="A1013" s="2">
        <v>42317</v>
      </c>
      <c r="B1013" s="9">
        <f>MONTH(Table1[[#This Row],[Order Date]])</f>
        <v>11</v>
      </c>
      <c r="C1013" s="9">
        <f>YEAR(Table1[[#This Row],[Order Date]])</f>
        <v>2015</v>
      </c>
      <c r="D1013" t="s">
        <v>890</v>
      </c>
      <c r="E1013" t="s">
        <v>144</v>
      </c>
      <c r="F1013" t="s">
        <v>39</v>
      </c>
      <c r="G1013" t="s">
        <v>52</v>
      </c>
      <c r="H1013" t="s">
        <v>2189</v>
      </c>
      <c r="I1013" s="7">
        <v>19.989999999999998</v>
      </c>
      <c r="J1013" s="8">
        <v>1</v>
      </c>
      <c r="K1013" s="7">
        <v>6.8</v>
      </c>
    </row>
    <row r="1014" spans="1:11" x14ac:dyDescent="0.3">
      <c r="A1014" s="2">
        <v>42317</v>
      </c>
      <c r="B1014" s="9">
        <f>MONTH(Table1[[#This Row],[Order Date]])</f>
        <v>11</v>
      </c>
      <c r="C1014" s="9">
        <f>YEAR(Table1[[#This Row],[Order Date]])</f>
        <v>2015</v>
      </c>
      <c r="D1014" t="s">
        <v>570</v>
      </c>
      <c r="E1014" t="s">
        <v>269</v>
      </c>
      <c r="F1014" t="s">
        <v>34</v>
      </c>
      <c r="G1014" t="s">
        <v>47</v>
      </c>
      <c r="H1014" t="s">
        <v>2190</v>
      </c>
      <c r="I1014" s="7">
        <v>24.64</v>
      </c>
      <c r="J1014" s="8">
        <v>4</v>
      </c>
      <c r="K1014" s="7">
        <v>4</v>
      </c>
    </row>
    <row r="1015" spans="1:11" x14ac:dyDescent="0.3">
      <c r="A1015" s="2">
        <v>42317</v>
      </c>
      <c r="B1015" s="9">
        <f>MONTH(Table1[[#This Row],[Order Date]])</f>
        <v>11</v>
      </c>
      <c r="C1015" s="9">
        <f>YEAR(Table1[[#This Row],[Order Date]])</f>
        <v>2015</v>
      </c>
      <c r="D1015" t="s">
        <v>2071</v>
      </c>
      <c r="E1015" t="s">
        <v>171</v>
      </c>
      <c r="F1015" t="s">
        <v>11</v>
      </c>
      <c r="G1015" t="s">
        <v>92</v>
      </c>
      <c r="H1015" t="s">
        <v>831</v>
      </c>
      <c r="I1015" s="7">
        <v>111.04</v>
      </c>
      <c r="J1015" s="8">
        <v>4</v>
      </c>
      <c r="K1015" s="7">
        <v>29.98</v>
      </c>
    </row>
    <row r="1016" spans="1:11" x14ac:dyDescent="0.3">
      <c r="A1016" s="2">
        <v>42317</v>
      </c>
      <c r="B1016" s="9">
        <f>MONTH(Table1[[#This Row],[Order Date]])</f>
        <v>11</v>
      </c>
      <c r="C1016" s="9">
        <f>YEAR(Table1[[#This Row],[Order Date]])</f>
        <v>2015</v>
      </c>
      <c r="D1016" t="s">
        <v>2071</v>
      </c>
      <c r="E1016" t="s">
        <v>171</v>
      </c>
      <c r="F1016" t="s">
        <v>11</v>
      </c>
      <c r="G1016" t="s">
        <v>12</v>
      </c>
      <c r="H1016" t="s">
        <v>2192</v>
      </c>
      <c r="I1016" s="7">
        <v>38.880000000000003</v>
      </c>
      <c r="J1016" s="8">
        <v>6</v>
      </c>
      <c r="K1016" s="7">
        <v>18.66</v>
      </c>
    </row>
    <row r="1017" spans="1:11" x14ac:dyDescent="0.3">
      <c r="A1017" s="2">
        <v>42318</v>
      </c>
      <c r="B1017" s="9">
        <f>MONTH(Table1[[#This Row],[Order Date]])</f>
        <v>11</v>
      </c>
      <c r="C1017" s="9">
        <f>YEAR(Table1[[#This Row],[Order Date]])</f>
        <v>2015</v>
      </c>
      <c r="D1017" t="s">
        <v>2238</v>
      </c>
      <c r="E1017" t="s">
        <v>120</v>
      </c>
      <c r="F1017" t="s">
        <v>34</v>
      </c>
      <c r="G1017" t="s">
        <v>140</v>
      </c>
      <c r="H1017" t="s">
        <v>1658</v>
      </c>
      <c r="I1017" s="7">
        <v>957.58</v>
      </c>
      <c r="J1017" s="8">
        <v>5</v>
      </c>
      <c r="K1017" s="7">
        <v>-383.03</v>
      </c>
    </row>
    <row r="1018" spans="1:11" x14ac:dyDescent="0.3">
      <c r="A1018" s="2">
        <v>42318</v>
      </c>
      <c r="B1018" s="9">
        <f>MONTH(Table1[[#This Row],[Order Date]])</f>
        <v>11</v>
      </c>
      <c r="C1018" s="9">
        <f>YEAR(Table1[[#This Row],[Order Date]])</f>
        <v>2015</v>
      </c>
      <c r="D1018" t="s">
        <v>2238</v>
      </c>
      <c r="E1018" t="s">
        <v>120</v>
      </c>
      <c r="F1018" t="s">
        <v>11</v>
      </c>
      <c r="G1018" t="s">
        <v>18</v>
      </c>
      <c r="H1018" t="s">
        <v>109</v>
      </c>
      <c r="I1018" s="7">
        <v>22.37</v>
      </c>
      <c r="J1018" s="8">
        <v>2</v>
      </c>
      <c r="K1018" s="7">
        <v>2.52</v>
      </c>
    </row>
    <row r="1019" spans="1:11" x14ac:dyDescent="0.3">
      <c r="A1019" s="2">
        <v>42318</v>
      </c>
      <c r="B1019" s="9">
        <f>MONTH(Table1[[#This Row],[Order Date]])</f>
        <v>11</v>
      </c>
      <c r="C1019" s="9">
        <f>YEAR(Table1[[#This Row],[Order Date]])</f>
        <v>2015</v>
      </c>
      <c r="D1019" t="s">
        <v>1512</v>
      </c>
      <c r="E1019" t="s">
        <v>144</v>
      </c>
      <c r="F1019" t="s">
        <v>39</v>
      </c>
      <c r="G1019" t="s">
        <v>52</v>
      </c>
      <c r="H1019" t="s">
        <v>1679</v>
      </c>
      <c r="I1019" s="7">
        <v>31.95</v>
      </c>
      <c r="J1019" s="8">
        <v>1</v>
      </c>
      <c r="K1019" s="7">
        <v>2.2400000000000002</v>
      </c>
    </row>
    <row r="1020" spans="1:11" x14ac:dyDescent="0.3">
      <c r="A1020" s="2">
        <v>42319</v>
      </c>
      <c r="B1020" s="9">
        <f>MONTH(Table1[[#This Row],[Order Date]])</f>
        <v>11</v>
      </c>
      <c r="C1020" s="9">
        <f>YEAR(Table1[[#This Row],[Order Date]])</f>
        <v>2015</v>
      </c>
      <c r="D1020" t="s">
        <v>1841</v>
      </c>
      <c r="E1020" t="s">
        <v>108</v>
      </c>
      <c r="F1020" t="s">
        <v>11</v>
      </c>
      <c r="G1020" t="s">
        <v>18</v>
      </c>
      <c r="H1020" t="s">
        <v>2287</v>
      </c>
      <c r="I1020" s="7">
        <v>418.32</v>
      </c>
      <c r="J1020" s="8">
        <v>7</v>
      </c>
      <c r="K1020" s="7">
        <v>117.13</v>
      </c>
    </row>
    <row r="1021" spans="1:11" x14ac:dyDescent="0.3">
      <c r="A1021" s="2">
        <v>42320</v>
      </c>
      <c r="B1021" s="9">
        <f>MONTH(Table1[[#This Row],[Order Date]])</f>
        <v>11</v>
      </c>
      <c r="C1021" s="9">
        <f>YEAR(Table1[[#This Row],[Order Date]])</f>
        <v>2015</v>
      </c>
      <c r="D1021" t="s">
        <v>1759</v>
      </c>
      <c r="E1021" t="s">
        <v>269</v>
      </c>
      <c r="F1021" t="s">
        <v>34</v>
      </c>
      <c r="G1021" t="s">
        <v>74</v>
      </c>
      <c r="H1021" t="s">
        <v>2347</v>
      </c>
      <c r="I1021" s="7">
        <v>69.58</v>
      </c>
      <c r="J1021" s="8">
        <v>4</v>
      </c>
      <c r="K1021" s="7">
        <v>-143.79</v>
      </c>
    </row>
    <row r="1022" spans="1:11" x14ac:dyDescent="0.3">
      <c r="A1022" s="2">
        <v>42320</v>
      </c>
      <c r="B1022" s="9">
        <f>MONTH(Table1[[#This Row],[Order Date]])</f>
        <v>11</v>
      </c>
      <c r="C1022" s="9">
        <f>YEAR(Table1[[#This Row],[Order Date]])</f>
        <v>2015</v>
      </c>
      <c r="D1022" t="s">
        <v>1759</v>
      </c>
      <c r="E1022" t="s">
        <v>269</v>
      </c>
      <c r="F1022" t="s">
        <v>11</v>
      </c>
      <c r="G1022" t="s">
        <v>24</v>
      </c>
      <c r="H1022" t="s">
        <v>2348</v>
      </c>
      <c r="I1022" s="7">
        <v>4.22</v>
      </c>
      <c r="J1022" s="8">
        <v>3</v>
      </c>
      <c r="K1022" s="7">
        <v>0.48</v>
      </c>
    </row>
    <row r="1023" spans="1:11" x14ac:dyDescent="0.3">
      <c r="A1023" s="2">
        <v>42320</v>
      </c>
      <c r="B1023" s="9">
        <f>MONTH(Table1[[#This Row],[Order Date]])</f>
        <v>11</v>
      </c>
      <c r="C1023" s="9">
        <f>YEAR(Table1[[#This Row],[Order Date]])</f>
        <v>2015</v>
      </c>
      <c r="D1023" t="s">
        <v>1759</v>
      </c>
      <c r="E1023" t="s">
        <v>269</v>
      </c>
      <c r="F1023" t="s">
        <v>34</v>
      </c>
      <c r="G1023" t="s">
        <v>140</v>
      </c>
      <c r="H1023" t="s">
        <v>1604</v>
      </c>
      <c r="I1023" s="7">
        <v>364.95</v>
      </c>
      <c r="J1023" s="8">
        <v>5</v>
      </c>
      <c r="K1023" s="7">
        <v>-248.17</v>
      </c>
    </row>
    <row r="1024" spans="1:11" x14ac:dyDescent="0.3">
      <c r="A1024" s="2">
        <v>42320</v>
      </c>
      <c r="B1024" s="9">
        <f>MONTH(Table1[[#This Row],[Order Date]])</f>
        <v>11</v>
      </c>
      <c r="C1024" s="9">
        <f>YEAR(Table1[[#This Row],[Order Date]])</f>
        <v>2015</v>
      </c>
      <c r="D1024" t="s">
        <v>1759</v>
      </c>
      <c r="E1024" t="s">
        <v>269</v>
      </c>
      <c r="F1024" t="s">
        <v>11</v>
      </c>
      <c r="G1024" t="s">
        <v>12</v>
      </c>
      <c r="H1024" t="s">
        <v>2349</v>
      </c>
      <c r="I1024" s="7">
        <v>85.06</v>
      </c>
      <c r="J1024" s="8">
        <v>3</v>
      </c>
      <c r="K1024" s="7">
        <v>28.71</v>
      </c>
    </row>
    <row r="1025" spans="1:11" x14ac:dyDescent="0.3">
      <c r="A1025" s="2">
        <v>42320</v>
      </c>
      <c r="B1025" s="9">
        <f>MONTH(Table1[[#This Row],[Order Date]])</f>
        <v>11</v>
      </c>
      <c r="C1025" s="9">
        <f>YEAR(Table1[[#This Row],[Order Date]])</f>
        <v>2015</v>
      </c>
      <c r="D1025" t="s">
        <v>1759</v>
      </c>
      <c r="E1025" t="s">
        <v>269</v>
      </c>
      <c r="F1025" t="s">
        <v>11</v>
      </c>
      <c r="G1025" t="s">
        <v>12</v>
      </c>
      <c r="H1025" t="s">
        <v>2350</v>
      </c>
      <c r="I1025" s="7">
        <v>27.7</v>
      </c>
      <c r="J1025" s="8">
        <v>3</v>
      </c>
      <c r="K1025" s="7">
        <v>9.69</v>
      </c>
    </row>
    <row r="1026" spans="1:11" x14ac:dyDescent="0.3">
      <c r="A1026" s="2">
        <v>42320</v>
      </c>
      <c r="B1026" s="9">
        <f>MONTH(Table1[[#This Row],[Order Date]])</f>
        <v>11</v>
      </c>
      <c r="C1026" s="9">
        <f>YEAR(Table1[[#This Row],[Order Date]])</f>
        <v>2015</v>
      </c>
      <c r="D1026" t="s">
        <v>858</v>
      </c>
      <c r="E1026" t="s">
        <v>108</v>
      </c>
      <c r="F1026" t="s">
        <v>39</v>
      </c>
      <c r="G1026" t="s">
        <v>52</v>
      </c>
      <c r="H1026" t="s">
        <v>2351</v>
      </c>
      <c r="I1026" s="7">
        <v>175.23</v>
      </c>
      <c r="J1026" s="8">
        <v>11</v>
      </c>
      <c r="K1026" s="7">
        <v>61.33</v>
      </c>
    </row>
    <row r="1027" spans="1:11" x14ac:dyDescent="0.3">
      <c r="A1027" s="2">
        <v>42339</v>
      </c>
      <c r="B1027" s="9">
        <f>MONTH(Table1[[#This Row],[Order Date]])</f>
        <v>12</v>
      </c>
      <c r="C1027" s="9">
        <f>YEAR(Table1[[#This Row],[Order Date]])</f>
        <v>2015</v>
      </c>
      <c r="D1027" t="s">
        <v>1846</v>
      </c>
      <c r="E1027" t="s">
        <v>59</v>
      </c>
      <c r="F1027" t="s">
        <v>11</v>
      </c>
      <c r="G1027" t="s">
        <v>18</v>
      </c>
      <c r="H1027" t="s">
        <v>1351</v>
      </c>
      <c r="I1027" s="7">
        <v>465.18</v>
      </c>
      <c r="J1027" s="8">
        <v>3</v>
      </c>
      <c r="K1027" s="7">
        <v>120.95</v>
      </c>
    </row>
    <row r="1028" spans="1:11" x14ac:dyDescent="0.3">
      <c r="A1028" s="2">
        <v>42339</v>
      </c>
      <c r="B1028" s="9">
        <f>MONTH(Table1[[#This Row],[Order Date]])</f>
        <v>12</v>
      </c>
      <c r="C1028" s="9">
        <f>YEAR(Table1[[#This Row],[Order Date]])</f>
        <v>2015</v>
      </c>
      <c r="D1028" t="s">
        <v>1847</v>
      </c>
      <c r="E1028" t="s">
        <v>78</v>
      </c>
      <c r="F1028" t="s">
        <v>39</v>
      </c>
      <c r="G1028" t="s">
        <v>40</v>
      </c>
      <c r="H1028" t="s">
        <v>1848</v>
      </c>
      <c r="I1028" s="7">
        <v>26.38</v>
      </c>
      <c r="J1028" s="8">
        <v>4</v>
      </c>
      <c r="K1028" s="7">
        <v>2.64</v>
      </c>
    </row>
    <row r="1029" spans="1:11" x14ac:dyDescent="0.3">
      <c r="A1029" s="2">
        <v>42339</v>
      </c>
      <c r="B1029" s="9">
        <f>MONTH(Table1[[#This Row],[Order Date]])</f>
        <v>12</v>
      </c>
      <c r="C1029" s="9">
        <f>YEAR(Table1[[#This Row],[Order Date]])</f>
        <v>2015</v>
      </c>
      <c r="D1029" t="s">
        <v>1847</v>
      </c>
      <c r="E1029" t="s">
        <v>78</v>
      </c>
      <c r="F1029" t="s">
        <v>39</v>
      </c>
      <c r="G1029" t="s">
        <v>52</v>
      </c>
      <c r="H1029" t="s">
        <v>1849</v>
      </c>
      <c r="I1029" s="7">
        <v>10.38</v>
      </c>
      <c r="J1029" s="8">
        <v>2</v>
      </c>
      <c r="K1029" s="7">
        <v>2.21</v>
      </c>
    </row>
    <row r="1030" spans="1:11" x14ac:dyDescent="0.3">
      <c r="A1030" s="2">
        <v>42339</v>
      </c>
      <c r="B1030" s="9">
        <f>MONTH(Table1[[#This Row],[Order Date]])</f>
        <v>12</v>
      </c>
      <c r="C1030" s="9">
        <f>YEAR(Table1[[#This Row],[Order Date]])</f>
        <v>2015</v>
      </c>
      <c r="D1030" t="s">
        <v>1847</v>
      </c>
      <c r="E1030" t="s">
        <v>78</v>
      </c>
      <c r="F1030" t="s">
        <v>39</v>
      </c>
      <c r="G1030" t="s">
        <v>40</v>
      </c>
      <c r="H1030" t="s">
        <v>1850</v>
      </c>
      <c r="I1030" s="7">
        <v>107.12</v>
      </c>
      <c r="J1030" s="8">
        <v>3</v>
      </c>
      <c r="K1030" s="7">
        <v>-21.42</v>
      </c>
    </row>
    <row r="1031" spans="1:11" x14ac:dyDescent="0.3">
      <c r="A1031" s="2">
        <v>42341</v>
      </c>
      <c r="B1031" s="9">
        <f>MONTH(Table1[[#This Row],[Order Date]])</f>
        <v>12</v>
      </c>
      <c r="C1031" s="9">
        <f>YEAR(Table1[[#This Row],[Order Date]])</f>
        <v>2015</v>
      </c>
      <c r="D1031" t="s">
        <v>1900</v>
      </c>
      <c r="E1031" t="s">
        <v>120</v>
      </c>
      <c r="F1031" t="s">
        <v>34</v>
      </c>
      <c r="G1031" t="s">
        <v>47</v>
      </c>
      <c r="H1031" t="s">
        <v>103</v>
      </c>
      <c r="I1031" s="7">
        <v>30.88</v>
      </c>
      <c r="J1031" s="8">
        <v>4</v>
      </c>
      <c r="K1031" s="7">
        <v>3.86</v>
      </c>
    </row>
    <row r="1032" spans="1:11" x14ac:dyDescent="0.3">
      <c r="A1032" s="2">
        <v>42342</v>
      </c>
      <c r="B1032" s="9">
        <f>MONTH(Table1[[#This Row],[Order Date]])</f>
        <v>12</v>
      </c>
      <c r="C1032" s="9">
        <f>YEAR(Table1[[#This Row],[Order Date]])</f>
        <v>2015</v>
      </c>
      <c r="D1032" t="s">
        <v>1965</v>
      </c>
      <c r="E1032" t="s">
        <v>158</v>
      </c>
      <c r="F1032" t="s">
        <v>11</v>
      </c>
      <c r="G1032" t="s">
        <v>18</v>
      </c>
      <c r="H1032" t="s">
        <v>1766</v>
      </c>
      <c r="I1032" s="7">
        <v>40.74</v>
      </c>
      <c r="J1032" s="8">
        <v>3</v>
      </c>
      <c r="K1032" s="7">
        <v>0.41</v>
      </c>
    </row>
    <row r="1033" spans="1:11" x14ac:dyDescent="0.3">
      <c r="A1033" s="2">
        <v>42343</v>
      </c>
      <c r="B1033" s="9">
        <f>MONTH(Table1[[#This Row],[Order Date]])</f>
        <v>12</v>
      </c>
      <c r="C1033" s="9">
        <f>YEAR(Table1[[#This Row],[Order Date]])</f>
        <v>2015</v>
      </c>
      <c r="D1033" t="s">
        <v>383</v>
      </c>
      <c r="E1033" t="s">
        <v>27</v>
      </c>
      <c r="F1033" t="s">
        <v>11</v>
      </c>
      <c r="G1033" t="s">
        <v>12</v>
      </c>
      <c r="H1033" t="s">
        <v>2022</v>
      </c>
      <c r="I1033" s="7">
        <v>12.84</v>
      </c>
      <c r="J1033" s="8">
        <v>3</v>
      </c>
      <c r="K1033" s="7">
        <v>5.78</v>
      </c>
    </row>
    <row r="1034" spans="1:11" x14ac:dyDescent="0.3">
      <c r="A1034" s="2">
        <v>42343</v>
      </c>
      <c r="B1034" s="9">
        <f>MONTH(Table1[[#This Row],[Order Date]])</f>
        <v>12</v>
      </c>
      <c r="C1034" s="9">
        <f>YEAR(Table1[[#This Row],[Order Date]])</f>
        <v>2015</v>
      </c>
      <c r="D1034" t="s">
        <v>383</v>
      </c>
      <c r="E1034" t="s">
        <v>27</v>
      </c>
      <c r="F1034" t="s">
        <v>11</v>
      </c>
      <c r="G1034" t="s">
        <v>12</v>
      </c>
      <c r="H1034" t="s">
        <v>2023</v>
      </c>
      <c r="I1034" s="7">
        <v>25.68</v>
      </c>
      <c r="J1034" s="8">
        <v>6</v>
      </c>
      <c r="K1034" s="7">
        <v>11.56</v>
      </c>
    </row>
    <row r="1035" spans="1:11" x14ac:dyDescent="0.3">
      <c r="A1035" s="2">
        <v>42345</v>
      </c>
      <c r="B1035" s="9">
        <f>MONTH(Table1[[#This Row],[Order Date]])</f>
        <v>12</v>
      </c>
      <c r="C1035" s="9">
        <f>YEAR(Table1[[#This Row],[Order Date]])</f>
        <v>2015</v>
      </c>
      <c r="D1035" t="s">
        <v>1705</v>
      </c>
      <c r="E1035" t="s">
        <v>15</v>
      </c>
      <c r="F1035" t="s">
        <v>39</v>
      </c>
      <c r="G1035" t="s">
        <v>40</v>
      </c>
      <c r="H1035" t="s">
        <v>1279</v>
      </c>
      <c r="I1035" s="7">
        <v>537.54</v>
      </c>
      <c r="J1035" s="8">
        <v>7</v>
      </c>
      <c r="K1035" s="7">
        <v>53.75</v>
      </c>
    </row>
    <row r="1036" spans="1:11" x14ac:dyDescent="0.3">
      <c r="A1036" s="2">
        <v>42345</v>
      </c>
      <c r="B1036" s="9">
        <f>MONTH(Table1[[#This Row],[Order Date]])</f>
        <v>12</v>
      </c>
      <c r="C1036" s="9">
        <f>YEAR(Table1[[#This Row],[Order Date]])</f>
        <v>2015</v>
      </c>
      <c r="D1036" t="s">
        <v>1705</v>
      </c>
      <c r="E1036" t="s">
        <v>15</v>
      </c>
      <c r="F1036" t="s">
        <v>39</v>
      </c>
      <c r="G1036" t="s">
        <v>40</v>
      </c>
      <c r="H1036" t="s">
        <v>835</v>
      </c>
      <c r="I1036" s="7">
        <v>659.17</v>
      </c>
      <c r="J1036" s="8">
        <v>4</v>
      </c>
      <c r="K1036" s="7">
        <v>49.44</v>
      </c>
    </row>
    <row r="1037" spans="1:11" x14ac:dyDescent="0.3">
      <c r="A1037" s="2">
        <v>42347</v>
      </c>
      <c r="B1037" s="9">
        <f>MONTH(Table1[[#This Row],[Order Date]])</f>
        <v>12</v>
      </c>
      <c r="C1037" s="9">
        <f>YEAR(Table1[[#This Row],[Order Date]])</f>
        <v>2015</v>
      </c>
      <c r="D1037" t="s">
        <v>638</v>
      </c>
      <c r="E1037" t="s">
        <v>144</v>
      </c>
      <c r="F1037" t="s">
        <v>39</v>
      </c>
      <c r="G1037" t="s">
        <v>590</v>
      </c>
      <c r="H1037" t="s">
        <v>2193</v>
      </c>
      <c r="I1037" s="7">
        <v>479.98</v>
      </c>
      <c r="J1037" s="8">
        <v>2</v>
      </c>
      <c r="K1037" s="7">
        <v>60</v>
      </c>
    </row>
    <row r="1038" spans="1:11" x14ac:dyDescent="0.3">
      <c r="A1038" s="2">
        <v>42347</v>
      </c>
      <c r="B1038" s="9">
        <f>MONTH(Table1[[#This Row],[Order Date]])</f>
        <v>12</v>
      </c>
      <c r="C1038" s="9">
        <f>YEAR(Table1[[#This Row],[Order Date]])</f>
        <v>2015</v>
      </c>
      <c r="D1038" t="s">
        <v>638</v>
      </c>
      <c r="E1038" t="s">
        <v>144</v>
      </c>
      <c r="F1038" t="s">
        <v>11</v>
      </c>
      <c r="G1038" t="s">
        <v>16</v>
      </c>
      <c r="H1038" t="s">
        <v>1657</v>
      </c>
      <c r="I1038" s="7">
        <v>12.6</v>
      </c>
      <c r="J1038" s="8">
        <v>4</v>
      </c>
      <c r="K1038" s="7">
        <v>6.05</v>
      </c>
    </row>
    <row r="1039" spans="1:11" x14ac:dyDescent="0.3">
      <c r="A1039" s="2">
        <v>42347</v>
      </c>
      <c r="B1039" s="9">
        <f>MONTH(Table1[[#This Row],[Order Date]])</f>
        <v>12</v>
      </c>
      <c r="C1039" s="9">
        <f>YEAR(Table1[[#This Row],[Order Date]])</f>
        <v>2015</v>
      </c>
      <c r="D1039" t="s">
        <v>211</v>
      </c>
      <c r="E1039" t="s">
        <v>144</v>
      </c>
      <c r="F1039" t="s">
        <v>11</v>
      </c>
      <c r="G1039" t="s">
        <v>12</v>
      </c>
      <c r="H1039" t="s">
        <v>2194</v>
      </c>
      <c r="I1039" s="7">
        <v>28.9</v>
      </c>
      <c r="J1039" s="8">
        <v>5</v>
      </c>
      <c r="K1039" s="7">
        <v>14.16</v>
      </c>
    </row>
    <row r="1040" spans="1:11" x14ac:dyDescent="0.3">
      <c r="A1040" s="2">
        <v>42347</v>
      </c>
      <c r="B1040" s="9">
        <f>MONTH(Table1[[#This Row],[Order Date]])</f>
        <v>12</v>
      </c>
      <c r="C1040" s="9">
        <f>YEAR(Table1[[#This Row],[Order Date]])</f>
        <v>2015</v>
      </c>
      <c r="D1040" t="s">
        <v>211</v>
      </c>
      <c r="E1040" t="s">
        <v>144</v>
      </c>
      <c r="F1040" t="s">
        <v>11</v>
      </c>
      <c r="G1040" t="s">
        <v>63</v>
      </c>
      <c r="H1040" t="s">
        <v>98</v>
      </c>
      <c r="I1040" s="7">
        <v>27.18</v>
      </c>
      <c r="J1040" s="8">
        <v>1</v>
      </c>
      <c r="K1040" s="7">
        <v>12.77</v>
      </c>
    </row>
    <row r="1041" spans="1:11" x14ac:dyDescent="0.3">
      <c r="A1041" s="2">
        <v>42348</v>
      </c>
      <c r="B1041" s="9">
        <f>MONTH(Table1[[#This Row],[Order Date]])</f>
        <v>12</v>
      </c>
      <c r="C1041" s="9">
        <f>YEAR(Table1[[#This Row],[Order Date]])</f>
        <v>2015</v>
      </c>
      <c r="D1041" t="s">
        <v>402</v>
      </c>
      <c r="E1041" t="s">
        <v>144</v>
      </c>
      <c r="F1041" t="s">
        <v>34</v>
      </c>
      <c r="G1041" t="s">
        <v>74</v>
      </c>
      <c r="H1041" t="s">
        <v>1827</v>
      </c>
      <c r="I1041" s="7">
        <v>899.14</v>
      </c>
      <c r="J1041" s="8">
        <v>4</v>
      </c>
      <c r="K1041" s="7">
        <v>112.39</v>
      </c>
    </row>
    <row r="1042" spans="1:11" x14ac:dyDescent="0.3">
      <c r="A1042" s="2">
        <v>42348</v>
      </c>
      <c r="B1042" s="9">
        <f>MONTH(Table1[[#This Row],[Order Date]])</f>
        <v>12</v>
      </c>
      <c r="C1042" s="9">
        <f>YEAR(Table1[[#This Row],[Order Date]])</f>
        <v>2015</v>
      </c>
      <c r="D1042" t="s">
        <v>402</v>
      </c>
      <c r="E1042" t="s">
        <v>144</v>
      </c>
      <c r="F1042" t="s">
        <v>11</v>
      </c>
      <c r="G1042" t="s">
        <v>24</v>
      </c>
      <c r="H1042" t="s">
        <v>76</v>
      </c>
      <c r="I1042" s="7">
        <v>19.899999999999999</v>
      </c>
      <c r="J1042" s="8">
        <v>5</v>
      </c>
      <c r="K1042" s="7">
        <v>6.57</v>
      </c>
    </row>
    <row r="1043" spans="1:11" x14ac:dyDescent="0.3">
      <c r="A1043" s="2">
        <v>42349</v>
      </c>
      <c r="B1043" s="9">
        <f>MONTH(Table1[[#This Row],[Order Date]])</f>
        <v>12</v>
      </c>
      <c r="C1043" s="9">
        <f>YEAR(Table1[[#This Row],[Order Date]])</f>
        <v>2015</v>
      </c>
      <c r="D1043" t="s">
        <v>1283</v>
      </c>
      <c r="E1043" t="s">
        <v>10</v>
      </c>
      <c r="F1043" t="s">
        <v>11</v>
      </c>
      <c r="G1043" t="s">
        <v>63</v>
      </c>
      <c r="H1043" t="s">
        <v>2219</v>
      </c>
      <c r="I1043" s="7">
        <v>223.89</v>
      </c>
      <c r="J1043" s="8">
        <v>7</v>
      </c>
      <c r="K1043" s="7">
        <v>69.97</v>
      </c>
    </row>
    <row r="1044" spans="1:11" x14ac:dyDescent="0.3">
      <c r="A1044" s="2">
        <v>42350</v>
      </c>
      <c r="B1044" s="9">
        <f>MONTH(Table1[[#This Row],[Order Date]])</f>
        <v>12</v>
      </c>
      <c r="C1044" s="9">
        <f>YEAR(Table1[[#This Row],[Order Date]])</f>
        <v>2015</v>
      </c>
      <c r="D1044" t="s">
        <v>1193</v>
      </c>
      <c r="E1044" t="s">
        <v>27</v>
      </c>
      <c r="F1044" t="s">
        <v>11</v>
      </c>
      <c r="G1044" t="s">
        <v>20</v>
      </c>
      <c r="H1044" t="s">
        <v>2212</v>
      </c>
      <c r="I1044" s="7">
        <v>24.45</v>
      </c>
      <c r="J1044" s="8">
        <v>2</v>
      </c>
      <c r="K1044" s="7">
        <v>8.86</v>
      </c>
    </row>
    <row r="1045" spans="1:11" x14ac:dyDescent="0.3">
      <c r="A1045" s="2">
        <v>42350</v>
      </c>
      <c r="B1045" s="9">
        <f>MONTH(Table1[[#This Row],[Order Date]])</f>
        <v>12</v>
      </c>
      <c r="C1045" s="9">
        <f>YEAR(Table1[[#This Row],[Order Date]])</f>
        <v>2015</v>
      </c>
      <c r="D1045" t="s">
        <v>107</v>
      </c>
      <c r="E1045" t="s">
        <v>27</v>
      </c>
      <c r="F1045" t="s">
        <v>11</v>
      </c>
      <c r="G1045" t="s">
        <v>24</v>
      </c>
      <c r="H1045" t="s">
        <v>2039</v>
      </c>
      <c r="I1045" s="7">
        <v>2.21</v>
      </c>
      <c r="J1045" s="8">
        <v>1</v>
      </c>
      <c r="K1045" s="7">
        <v>0.6</v>
      </c>
    </row>
    <row r="1046" spans="1:11" x14ac:dyDescent="0.3">
      <c r="A1046" s="2">
        <v>42350</v>
      </c>
      <c r="B1046" s="9">
        <f>MONTH(Table1[[#This Row],[Order Date]])</f>
        <v>12</v>
      </c>
      <c r="C1046" s="9">
        <f>YEAR(Table1[[#This Row],[Order Date]])</f>
        <v>2015</v>
      </c>
      <c r="D1046" t="s">
        <v>107</v>
      </c>
      <c r="E1046" t="s">
        <v>27</v>
      </c>
      <c r="F1046" t="s">
        <v>11</v>
      </c>
      <c r="G1046" t="s">
        <v>12</v>
      </c>
      <c r="H1046" t="s">
        <v>2290</v>
      </c>
      <c r="I1046" s="7">
        <v>36.44</v>
      </c>
      <c r="J1046" s="8">
        <v>4</v>
      </c>
      <c r="K1046" s="7">
        <v>16.399999999999999</v>
      </c>
    </row>
    <row r="1047" spans="1:11" x14ac:dyDescent="0.3">
      <c r="A1047" s="2">
        <v>42350</v>
      </c>
      <c r="B1047" s="9">
        <f>MONTH(Table1[[#This Row],[Order Date]])</f>
        <v>12</v>
      </c>
      <c r="C1047" s="9">
        <f>YEAR(Table1[[#This Row],[Order Date]])</f>
        <v>2015</v>
      </c>
      <c r="D1047" t="s">
        <v>866</v>
      </c>
      <c r="E1047" t="s">
        <v>27</v>
      </c>
      <c r="F1047" t="s">
        <v>34</v>
      </c>
      <c r="G1047" t="s">
        <v>47</v>
      </c>
      <c r="H1047" t="s">
        <v>338</v>
      </c>
      <c r="I1047" s="7">
        <v>166.5</v>
      </c>
      <c r="J1047" s="8">
        <v>3</v>
      </c>
      <c r="K1047" s="7">
        <v>21.65</v>
      </c>
    </row>
    <row r="1048" spans="1:11" x14ac:dyDescent="0.3">
      <c r="A1048" s="2">
        <v>42350</v>
      </c>
      <c r="B1048" s="9">
        <f>MONTH(Table1[[#This Row],[Order Date]])</f>
        <v>12</v>
      </c>
      <c r="C1048" s="9">
        <f>YEAR(Table1[[#This Row],[Order Date]])</f>
        <v>2015</v>
      </c>
      <c r="D1048" t="s">
        <v>378</v>
      </c>
      <c r="E1048" t="s">
        <v>123</v>
      </c>
      <c r="F1048" t="s">
        <v>11</v>
      </c>
      <c r="G1048" t="s">
        <v>12</v>
      </c>
      <c r="H1048" t="s">
        <v>2352</v>
      </c>
      <c r="I1048" s="7">
        <v>32.4</v>
      </c>
      <c r="J1048" s="8">
        <v>5</v>
      </c>
      <c r="K1048" s="7">
        <v>15.88</v>
      </c>
    </row>
    <row r="1049" spans="1:11" x14ac:dyDescent="0.3">
      <c r="A1049" s="2">
        <v>42372</v>
      </c>
      <c r="B1049" s="9">
        <f>MONTH(Table1[[#This Row],[Order Date]])</f>
        <v>1</v>
      </c>
      <c r="C1049" s="9">
        <f>YEAR(Table1[[#This Row],[Order Date]])</f>
        <v>2016</v>
      </c>
      <c r="D1049" t="s">
        <v>1562</v>
      </c>
      <c r="E1049" t="s">
        <v>144</v>
      </c>
      <c r="F1049" t="s">
        <v>39</v>
      </c>
      <c r="G1049" t="s">
        <v>293</v>
      </c>
      <c r="H1049" t="s">
        <v>1277</v>
      </c>
      <c r="I1049" s="7">
        <v>4899.93</v>
      </c>
      <c r="J1049" s="8">
        <v>7</v>
      </c>
      <c r="K1049" s="7">
        <v>2400.9699999999998</v>
      </c>
    </row>
    <row r="1050" spans="1:11" x14ac:dyDescent="0.3">
      <c r="A1050" s="2">
        <v>42372</v>
      </c>
      <c r="B1050" s="9">
        <f>MONTH(Table1[[#This Row],[Order Date]])</f>
        <v>1</v>
      </c>
      <c r="C1050" s="9">
        <f>YEAR(Table1[[#This Row],[Order Date]])</f>
        <v>2016</v>
      </c>
      <c r="D1050" t="s">
        <v>1262</v>
      </c>
      <c r="E1050" t="s">
        <v>269</v>
      </c>
      <c r="F1050" t="s">
        <v>39</v>
      </c>
      <c r="G1050" t="s">
        <v>40</v>
      </c>
      <c r="H1050" t="s">
        <v>2414</v>
      </c>
      <c r="I1050" s="7">
        <v>159.97999999999999</v>
      </c>
      <c r="J1050" s="8">
        <v>2</v>
      </c>
      <c r="K1050" s="7">
        <v>14</v>
      </c>
    </row>
    <row r="1051" spans="1:11" x14ac:dyDescent="0.3">
      <c r="A1051" s="2">
        <v>42373</v>
      </c>
      <c r="B1051" s="9">
        <f>MONTH(Table1[[#This Row],[Order Date]])</f>
        <v>1</v>
      </c>
      <c r="C1051" s="9">
        <f>YEAR(Table1[[#This Row],[Order Date]])</f>
        <v>2016</v>
      </c>
      <c r="D1051" t="s">
        <v>2440</v>
      </c>
      <c r="E1051" t="s">
        <v>144</v>
      </c>
      <c r="F1051" t="s">
        <v>11</v>
      </c>
      <c r="G1051" t="s">
        <v>24</v>
      </c>
      <c r="H1051" t="s">
        <v>2441</v>
      </c>
      <c r="I1051" s="7">
        <v>9.84</v>
      </c>
      <c r="J1051" s="8">
        <v>3</v>
      </c>
      <c r="K1051" s="7">
        <v>2.85</v>
      </c>
    </row>
    <row r="1052" spans="1:11" x14ac:dyDescent="0.3">
      <c r="A1052" s="2">
        <v>42373</v>
      </c>
      <c r="B1052" s="9">
        <f>MONTH(Table1[[#This Row],[Order Date]])</f>
        <v>1</v>
      </c>
      <c r="C1052" s="9">
        <f>YEAR(Table1[[#This Row],[Order Date]])</f>
        <v>2016</v>
      </c>
      <c r="D1052" t="s">
        <v>2440</v>
      </c>
      <c r="E1052" t="s">
        <v>144</v>
      </c>
      <c r="F1052" t="s">
        <v>39</v>
      </c>
      <c r="G1052" t="s">
        <v>40</v>
      </c>
      <c r="H1052" t="s">
        <v>2419</v>
      </c>
      <c r="I1052" s="7">
        <v>35.119999999999997</v>
      </c>
      <c r="J1052" s="8">
        <v>4</v>
      </c>
      <c r="K1052" s="7">
        <v>9.1300000000000008</v>
      </c>
    </row>
    <row r="1053" spans="1:11" x14ac:dyDescent="0.3">
      <c r="A1053" s="2">
        <v>42373</v>
      </c>
      <c r="B1053" s="9">
        <f>MONTH(Table1[[#This Row],[Order Date]])</f>
        <v>1</v>
      </c>
      <c r="C1053" s="9">
        <f>YEAR(Table1[[#This Row],[Order Date]])</f>
        <v>2016</v>
      </c>
      <c r="D1053" t="s">
        <v>1011</v>
      </c>
      <c r="E1053" t="s">
        <v>95</v>
      </c>
      <c r="F1053" t="s">
        <v>11</v>
      </c>
      <c r="G1053" t="s">
        <v>92</v>
      </c>
      <c r="H1053" t="s">
        <v>1785</v>
      </c>
      <c r="I1053" s="7">
        <v>30.14</v>
      </c>
      <c r="J1053" s="8">
        <v>2</v>
      </c>
      <c r="K1053" s="7">
        <v>3.01</v>
      </c>
    </row>
    <row r="1054" spans="1:11" x14ac:dyDescent="0.3">
      <c r="A1054" s="2">
        <v>42373</v>
      </c>
      <c r="B1054" s="9">
        <f>MONTH(Table1[[#This Row],[Order Date]])</f>
        <v>1</v>
      </c>
      <c r="C1054" s="9">
        <f>YEAR(Table1[[#This Row],[Order Date]])</f>
        <v>2016</v>
      </c>
      <c r="D1054" t="s">
        <v>2412</v>
      </c>
      <c r="E1054" t="s">
        <v>144</v>
      </c>
      <c r="F1054" t="s">
        <v>11</v>
      </c>
      <c r="G1054" t="s">
        <v>24</v>
      </c>
      <c r="H1054" t="s">
        <v>1328</v>
      </c>
      <c r="I1054" s="7">
        <v>88.04</v>
      </c>
      <c r="J1054" s="8">
        <v>4</v>
      </c>
      <c r="K1054" s="7">
        <v>22.89</v>
      </c>
    </row>
    <row r="1055" spans="1:11" x14ac:dyDescent="0.3">
      <c r="A1055" s="2">
        <v>42373</v>
      </c>
      <c r="B1055" s="9">
        <f>MONTH(Table1[[#This Row],[Order Date]])</f>
        <v>1</v>
      </c>
      <c r="C1055" s="9">
        <f>YEAR(Table1[[#This Row],[Order Date]])</f>
        <v>2016</v>
      </c>
      <c r="D1055" t="s">
        <v>1714</v>
      </c>
      <c r="E1055" t="s">
        <v>144</v>
      </c>
      <c r="F1055" t="s">
        <v>11</v>
      </c>
      <c r="G1055" t="s">
        <v>16</v>
      </c>
      <c r="H1055" t="s">
        <v>2442</v>
      </c>
      <c r="I1055" s="7">
        <v>20.7</v>
      </c>
      <c r="J1055" s="8">
        <v>2</v>
      </c>
      <c r="K1055" s="7">
        <v>9.94</v>
      </c>
    </row>
    <row r="1056" spans="1:11" x14ac:dyDescent="0.3">
      <c r="A1056" s="2">
        <v>42373</v>
      </c>
      <c r="B1056" s="9">
        <f>MONTH(Table1[[#This Row],[Order Date]])</f>
        <v>1</v>
      </c>
      <c r="C1056" s="9">
        <f>YEAR(Table1[[#This Row],[Order Date]])</f>
        <v>2016</v>
      </c>
      <c r="D1056" t="s">
        <v>1476</v>
      </c>
      <c r="E1056" t="s">
        <v>30</v>
      </c>
      <c r="F1056" t="s">
        <v>34</v>
      </c>
      <c r="G1056" t="s">
        <v>47</v>
      </c>
      <c r="H1056" t="s">
        <v>1128</v>
      </c>
      <c r="I1056" s="7">
        <v>7.04</v>
      </c>
      <c r="J1056" s="8">
        <v>4</v>
      </c>
      <c r="K1056" s="7">
        <v>3.1</v>
      </c>
    </row>
    <row r="1057" spans="1:11" x14ac:dyDescent="0.3">
      <c r="A1057" s="2">
        <v>42373</v>
      </c>
      <c r="B1057" s="9">
        <f>MONTH(Table1[[#This Row],[Order Date]])</f>
        <v>1</v>
      </c>
      <c r="C1057" s="9">
        <f>YEAR(Table1[[#This Row],[Order Date]])</f>
        <v>2016</v>
      </c>
      <c r="D1057" t="s">
        <v>565</v>
      </c>
      <c r="E1057" t="s">
        <v>152</v>
      </c>
      <c r="F1057" t="s">
        <v>39</v>
      </c>
      <c r="G1057" t="s">
        <v>40</v>
      </c>
      <c r="H1057" t="s">
        <v>2393</v>
      </c>
      <c r="I1057" s="7">
        <v>12.99</v>
      </c>
      <c r="J1057" s="8">
        <v>1</v>
      </c>
      <c r="K1057" s="7">
        <v>0.26</v>
      </c>
    </row>
    <row r="1058" spans="1:11" x14ac:dyDescent="0.3">
      <c r="A1058" s="2">
        <v>42374</v>
      </c>
      <c r="B1058" s="9">
        <f>MONTH(Table1[[#This Row],[Order Date]])</f>
        <v>1</v>
      </c>
      <c r="C1058" s="9">
        <f>YEAR(Table1[[#This Row],[Order Date]])</f>
        <v>2016</v>
      </c>
      <c r="D1058" t="s">
        <v>2470</v>
      </c>
      <c r="E1058" t="s">
        <v>100</v>
      </c>
      <c r="F1058" t="s">
        <v>11</v>
      </c>
      <c r="G1058" t="s">
        <v>12</v>
      </c>
      <c r="H1058" t="s">
        <v>2256</v>
      </c>
      <c r="I1058" s="7">
        <v>109.92</v>
      </c>
      <c r="J1058" s="8">
        <v>2</v>
      </c>
      <c r="K1058" s="7">
        <v>53.86</v>
      </c>
    </row>
    <row r="1059" spans="1:11" x14ac:dyDescent="0.3">
      <c r="A1059" s="2">
        <v>42374</v>
      </c>
      <c r="B1059" s="9">
        <f>MONTH(Table1[[#This Row],[Order Date]])</f>
        <v>1</v>
      </c>
      <c r="C1059" s="9">
        <f>YEAR(Table1[[#This Row],[Order Date]])</f>
        <v>2016</v>
      </c>
      <c r="D1059" t="s">
        <v>2470</v>
      </c>
      <c r="E1059" t="s">
        <v>100</v>
      </c>
      <c r="F1059" t="s">
        <v>11</v>
      </c>
      <c r="G1059" t="s">
        <v>12</v>
      </c>
      <c r="H1059" t="s">
        <v>1122</v>
      </c>
      <c r="I1059" s="7">
        <v>19.440000000000001</v>
      </c>
      <c r="J1059" s="8">
        <v>3</v>
      </c>
      <c r="K1059" s="7">
        <v>9.33</v>
      </c>
    </row>
    <row r="1060" spans="1:11" x14ac:dyDescent="0.3">
      <c r="A1060" s="2">
        <v>42376</v>
      </c>
      <c r="B1060" s="9">
        <f>MONTH(Table1[[#This Row],[Order Date]])</f>
        <v>1</v>
      </c>
      <c r="C1060" s="9">
        <f>YEAR(Table1[[#This Row],[Order Date]])</f>
        <v>2016</v>
      </c>
      <c r="D1060" t="s">
        <v>2249</v>
      </c>
      <c r="E1060" t="s">
        <v>70</v>
      </c>
      <c r="F1060" t="s">
        <v>11</v>
      </c>
      <c r="G1060" t="s">
        <v>20</v>
      </c>
      <c r="H1060" t="s">
        <v>1851</v>
      </c>
      <c r="I1060" s="7">
        <v>58.34</v>
      </c>
      <c r="J1060" s="8">
        <v>2</v>
      </c>
      <c r="K1060" s="7">
        <v>28</v>
      </c>
    </row>
    <row r="1061" spans="1:11" x14ac:dyDescent="0.3">
      <c r="A1061" s="2">
        <v>42376</v>
      </c>
      <c r="B1061" s="9">
        <f>MONTH(Table1[[#This Row],[Order Date]])</f>
        <v>1</v>
      </c>
      <c r="C1061" s="9">
        <f>YEAR(Table1[[#This Row],[Order Date]])</f>
        <v>2016</v>
      </c>
      <c r="D1061" t="s">
        <v>2341</v>
      </c>
      <c r="E1061" t="s">
        <v>144</v>
      </c>
      <c r="F1061" t="s">
        <v>11</v>
      </c>
      <c r="G1061" t="s">
        <v>16</v>
      </c>
      <c r="H1061" t="s">
        <v>1817</v>
      </c>
      <c r="I1061" s="7">
        <v>30.53</v>
      </c>
      <c r="J1061" s="8">
        <v>1</v>
      </c>
      <c r="K1061" s="7">
        <v>14.04</v>
      </c>
    </row>
    <row r="1062" spans="1:11" x14ac:dyDescent="0.3">
      <c r="A1062" s="2">
        <v>42376</v>
      </c>
      <c r="B1062" s="9">
        <f>MONTH(Table1[[#This Row],[Order Date]])</f>
        <v>1</v>
      </c>
      <c r="C1062" s="9">
        <f>YEAR(Table1[[#This Row],[Order Date]])</f>
        <v>2016</v>
      </c>
      <c r="D1062" t="s">
        <v>2341</v>
      </c>
      <c r="E1062" t="s">
        <v>144</v>
      </c>
      <c r="F1062" t="s">
        <v>39</v>
      </c>
      <c r="G1062" t="s">
        <v>52</v>
      </c>
      <c r="H1062" t="s">
        <v>1171</v>
      </c>
      <c r="I1062" s="7">
        <v>30.84</v>
      </c>
      <c r="J1062" s="8">
        <v>3</v>
      </c>
      <c r="K1062" s="7">
        <v>6.17</v>
      </c>
    </row>
    <row r="1063" spans="1:11" x14ac:dyDescent="0.3">
      <c r="A1063" s="2">
        <v>42376</v>
      </c>
      <c r="B1063" s="9">
        <f>MONTH(Table1[[#This Row],[Order Date]])</f>
        <v>1</v>
      </c>
      <c r="C1063" s="9">
        <f>YEAR(Table1[[#This Row],[Order Date]])</f>
        <v>2016</v>
      </c>
      <c r="D1063" t="s">
        <v>2341</v>
      </c>
      <c r="E1063" t="s">
        <v>144</v>
      </c>
      <c r="F1063" t="s">
        <v>11</v>
      </c>
      <c r="G1063" t="s">
        <v>12</v>
      </c>
      <c r="H1063" t="s">
        <v>1932</v>
      </c>
      <c r="I1063" s="7">
        <v>75.06</v>
      </c>
      <c r="J1063" s="8">
        <v>9</v>
      </c>
      <c r="K1063" s="7">
        <v>33.78</v>
      </c>
    </row>
    <row r="1064" spans="1:11" x14ac:dyDescent="0.3">
      <c r="A1064" s="2">
        <v>42377</v>
      </c>
      <c r="B1064" s="9">
        <f>MONTH(Table1[[#This Row],[Order Date]])</f>
        <v>1</v>
      </c>
      <c r="C1064" s="9">
        <f>YEAR(Table1[[#This Row],[Order Date]])</f>
        <v>2016</v>
      </c>
      <c r="D1064" t="s">
        <v>350</v>
      </c>
      <c r="E1064" t="s">
        <v>27</v>
      </c>
      <c r="F1064" t="s">
        <v>39</v>
      </c>
      <c r="G1064" t="s">
        <v>40</v>
      </c>
      <c r="H1064" t="s">
        <v>663</v>
      </c>
      <c r="I1064" s="7">
        <v>1039.73</v>
      </c>
      <c r="J1064" s="8">
        <v>2</v>
      </c>
      <c r="K1064" s="7">
        <v>90.98</v>
      </c>
    </row>
    <row r="1065" spans="1:11" x14ac:dyDescent="0.3">
      <c r="A1065" s="2">
        <v>42377</v>
      </c>
      <c r="B1065" s="9">
        <f>MONTH(Table1[[#This Row],[Order Date]])</f>
        <v>1</v>
      </c>
      <c r="C1065" s="9">
        <f>YEAR(Table1[[#This Row],[Order Date]])</f>
        <v>2016</v>
      </c>
      <c r="D1065" t="s">
        <v>1778</v>
      </c>
      <c r="E1065" t="s">
        <v>23</v>
      </c>
      <c r="F1065" t="s">
        <v>34</v>
      </c>
      <c r="G1065" t="s">
        <v>47</v>
      </c>
      <c r="H1065" t="s">
        <v>2545</v>
      </c>
      <c r="I1065" s="7">
        <v>19.309999999999999</v>
      </c>
      <c r="J1065" s="8">
        <v>2</v>
      </c>
      <c r="K1065" s="7">
        <v>3.14</v>
      </c>
    </row>
    <row r="1066" spans="1:11" x14ac:dyDescent="0.3">
      <c r="A1066" s="2">
        <v>42378</v>
      </c>
      <c r="B1066" s="9">
        <f>MONTH(Table1[[#This Row],[Order Date]])</f>
        <v>1</v>
      </c>
      <c r="C1066" s="9">
        <f>YEAR(Table1[[#This Row],[Order Date]])</f>
        <v>2016</v>
      </c>
      <c r="D1066" t="s">
        <v>2208</v>
      </c>
      <c r="E1066" t="s">
        <v>144</v>
      </c>
      <c r="F1066" t="s">
        <v>39</v>
      </c>
      <c r="G1066" t="s">
        <v>52</v>
      </c>
      <c r="H1066" t="s">
        <v>1828</v>
      </c>
      <c r="I1066" s="7">
        <v>6.79</v>
      </c>
      <c r="J1066" s="8">
        <v>1</v>
      </c>
      <c r="K1066" s="7">
        <v>2.31</v>
      </c>
    </row>
    <row r="1067" spans="1:11" x14ac:dyDescent="0.3">
      <c r="A1067" s="2">
        <v>42378</v>
      </c>
      <c r="B1067" s="9">
        <f>MONTH(Table1[[#This Row],[Order Date]])</f>
        <v>1</v>
      </c>
      <c r="C1067" s="9">
        <f>YEAR(Table1[[#This Row],[Order Date]])</f>
        <v>2016</v>
      </c>
      <c r="D1067" t="s">
        <v>2208</v>
      </c>
      <c r="E1067" t="s">
        <v>144</v>
      </c>
      <c r="F1067" t="s">
        <v>11</v>
      </c>
      <c r="G1067" t="s">
        <v>20</v>
      </c>
      <c r="H1067" t="s">
        <v>808</v>
      </c>
      <c r="I1067" s="7">
        <v>4355.17</v>
      </c>
      <c r="J1067" s="8">
        <v>4</v>
      </c>
      <c r="K1067" s="7">
        <v>1415.43</v>
      </c>
    </row>
    <row r="1068" spans="1:11" x14ac:dyDescent="0.3">
      <c r="A1068" s="2">
        <v>42378</v>
      </c>
      <c r="B1068" s="9">
        <f>MONTH(Table1[[#This Row],[Order Date]])</f>
        <v>1</v>
      </c>
      <c r="C1068" s="9">
        <f>YEAR(Table1[[#This Row],[Order Date]])</f>
        <v>2016</v>
      </c>
      <c r="D1068" t="s">
        <v>282</v>
      </c>
      <c r="E1068" t="s">
        <v>23</v>
      </c>
      <c r="F1068" t="s">
        <v>11</v>
      </c>
      <c r="G1068" t="s">
        <v>12</v>
      </c>
      <c r="H1068" t="s">
        <v>2500</v>
      </c>
      <c r="I1068" s="7">
        <v>30.48</v>
      </c>
      <c r="J1068" s="8">
        <v>6</v>
      </c>
      <c r="K1068" s="7">
        <v>9.91</v>
      </c>
    </row>
    <row r="1069" spans="1:11" x14ac:dyDescent="0.3">
      <c r="A1069" s="2">
        <v>42378</v>
      </c>
      <c r="B1069" s="9">
        <f>MONTH(Table1[[#This Row],[Order Date]])</f>
        <v>1</v>
      </c>
      <c r="C1069" s="9">
        <f>YEAR(Table1[[#This Row],[Order Date]])</f>
        <v>2016</v>
      </c>
      <c r="D1069" t="s">
        <v>282</v>
      </c>
      <c r="E1069" t="s">
        <v>23</v>
      </c>
      <c r="F1069" t="s">
        <v>39</v>
      </c>
      <c r="G1069" t="s">
        <v>40</v>
      </c>
      <c r="H1069" t="s">
        <v>2372</v>
      </c>
      <c r="I1069" s="7">
        <v>23.99</v>
      </c>
      <c r="J1069" s="8">
        <v>2</v>
      </c>
      <c r="K1069" s="7">
        <v>-4.8</v>
      </c>
    </row>
    <row r="1070" spans="1:11" x14ac:dyDescent="0.3">
      <c r="A1070" s="2">
        <v>42378</v>
      </c>
      <c r="B1070" s="9">
        <f>MONTH(Table1[[#This Row],[Order Date]])</f>
        <v>1</v>
      </c>
      <c r="C1070" s="9">
        <f>YEAR(Table1[[#This Row],[Order Date]])</f>
        <v>2016</v>
      </c>
      <c r="D1070" t="s">
        <v>1293</v>
      </c>
      <c r="E1070" t="s">
        <v>108</v>
      </c>
      <c r="F1070" t="s">
        <v>11</v>
      </c>
      <c r="G1070" t="s">
        <v>92</v>
      </c>
      <c r="H1070" t="s">
        <v>2297</v>
      </c>
      <c r="I1070" s="7">
        <v>376.74</v>
      </c>
      <c r="J1070" s="8">
        <v>4</v>
      </c>
      <c r="K1070" s="7">
        <v>71.16</v>
      </c>
    </row>
    <row r="1071" spans="1:11" x14ac:dyDescent="0.3">
      <c r="A1071" s="2">
        <v>42378</v>
      </c>
      <c r="B1071" s="9">
        <f>MONTH(Table1[[#This Row],[Order Date]])</f>
        <v>1</v>
      </c>
      <c r="C1071" s="9">
        <f>YEAR(Table1[[#This Row],[Order Date]])</f>
        <v>2016</v>
      </c>
      <c r="D1071" t="s">
        <v>1293</v>
      </c>
      <c r="E1071" t="s">
        <v>108</v>
      </c>
      <c r="F1071" t="s">
        <v>11</v>
      </c>
      <c r="G1071" t="s">
        <v>24</v>
      </c>
      <c r="H1071" t="s">
        <v>938</v>
      </c>
      <c r="I1071" s="7">
        <v>11.96</v>
      </c>
      <c r="J1071" s="8">
        <v>2</v>
      </c>
      <c r="K1071" s="7">
        <v>2.99</v>
      </c>
    </row>
    <row r="1072" spans="1:11" x14ac:dyDescent="0.3">
      <c r="A1072" s="2">
        <v>42380</v>
      </c>
      <c r="B1072" s="9">
        <f>MONTH(Table1[[#This Row],[Order Date]])</f>
        <v>1</v>
      </c>
      <c r="C1072" s="9">
        <f>YEAR(Table1[[#This Row],[Order Date]])</f>
        <v>2016</v>
      </c>
      <c r="D1072" t="s">
        <v>1847</v>
      </c>
      <c r="E1072" t="s">
        <v>10</v>
      </c>
      <c r="F1072" t="s">
        <v>11</v>
      </c>
      <c r="G1072" t="s">
        <v>18</v>
      </c>
      <c r="H1072" t="s">
        <v>2385</v>
      </c>
      <c r="I1072" s="7">
        <v>111.67</v>
      </c>
      <c r="J1072" s="8">
        <v>9</v>
      </c>
      <c r="K1072" s="7">
        <v>6.98</v>
      </c>
    </row>
    <row r="1073" spans="1:11" x14ac:dyDescent="0.3">
      <c r="A1073" s="2">
        <v>42381</v>
      </c>
      <c r="B1073" s="9">
        <f>MONTH(Table1[[#This Row],[Order Date]])</f>
        <v>1</v>
      </c>
      <c r="C1073" s="9">
        <f>YEAR(Table1[[#This Row],[Order Date]])</f>
        <v>2016</v>
      </c>
      <c r="D1073" t="s">
        <v>1050</v>
      </c>
      <c r="E1073" t="s">
        <v>308</v>
      </c>
      <c r="F1073" t="s">
        <v>11</v>
      </c>
      <c r="G1073" t="s">
        <v>12</v>
      </c>
      <c r="H1073" t="s">
        <v>2089</v>
      </c>
      <c r="I1073" s="7">
        <v>23.92</v>
      </c>
      <c r="J1073" s="8">
        <v>4</v>
      </c>
      <c r="K1073" s="7">
        <v>11.72</v>
      </c>
    </row>
    <row r="1074" spans="1:11" x14ac:dyDescent="0.3">
      <c r="A1074" s="2">
        <v>42381</v>
      </c>
      <c r="B1074" s="9">
        <f>MONTH(Table1[[#This Row],[Order Date]])</f>
        <v>1</v>
      </c>
      <c r="C1074" s="9">
        <f>YEAR(Table1[[#This Row],[Order Date]])</f>
        <v>2016</v>
      </c>
      <c r="D1074" t="s">
        <v>246</v>
      </c>
      <c r="E1074" t="s">
        <v>422</v>
      </c>
      <c r="F1074" t="s">
        <v>34</v>
      </c>
      <c r="G1074" t="s">
        <v>47</v>
      </c>
      <c r="H1074" t="s">
        <v>1653</v>
      </c>
      <c r="I1074" s="7">
        <v>111.15</v>
      </c>
      <c r="J1074" s="8">
        <v>5</v>
      </c>
      <c r="K1074" s="7">
        <v>48.91</v>
      </c>
    </row>
    <row r="1075" spans="1:11" x14ac:dyDescent="0.3">
      <c r="A1075" s="2">
        <v>42381</v>
      </c>
      <c r="B1075" s="9">
        <f>MONTH(Table1[[#This Row],[Order Date]])</f>
        <v>1</v>
      </c>
      <c r="C1075" s="9">
        <f>YEAR(Table1[[#This Row],[Order Date]])</f>
        <v>2016</v>
      </c>
      <c r="D1075" t="s">
        <v>378</v>
      </c>
      <c r="E1075" t="s">
        <v>55</v>
      </c>
      <c r="F1075" t="s">
        <v>11</v>
      </c>
      <c r="G1075" t="s">
        <v>194</v>
      </c>
      <c r="H1075" t="s">
        <v>986</v>
      </c>
      <c r="I1075" s="7">
        <v>40.700000000000003</v>
      </c>
      <c r="J1075" s="8">
        <v>5</v>
      </c>
      <c r="K1075" s="7">
        <v>11.8</v>
      </c>
    </row>
    <row r="1076" spans="1:11" x14ac:dyDescent="0.3">
      <c r="A1076" s="2">
        <v>42381</v>
      </c>
      <c r="B1076" s="9">
        <f>MONTH(Table1[[#This Row],[Order Date]])</f>
        <v>1</v>
      </c>
      <c r="C1076" s="9">
        <f>YEAR(Table1[[#This Row],[Order Date]])</f>
        <v>2016</v>
      </c>
      <c r="D1076" t="s">
        <v>549</v>
      </c>
      <c r="E1076" t="s">
        <v>27</v>
      </c>
      <c r="F1076" t="s">
        <v>34</v>
      </c>
      <c r="G1076" t="s">
        <v>47</v>
      </c>
      <c r="H1076" t="s">
        <v>1480</v>
      </c>
      <c r="I1076" s="7">
        <v>31.96</v>
      </c>
      <c r="J1076" s="8">
        <v>2</v>
      </c>
      <c r="K1076" s="7">
        <v>1.6</v>
      </c>
    </row>
    <row r="1077" spans="1:11" x14ac:dyDescent="0.3">
      <c r="A1077" s="2">
        <v>42381</v>
      </c>
      <c r="B1077" s="9">
        <f>MONTH(Table1[[#This Row],[Order Date]])</f>
        <v>1</v>
      </c>
      <c r="C1077" s="9">
        <f>YEAR(Table1[[#This Row],[Order Date]])</f>
        <v>2016</v>
      </c>
      <c r="D1077" t="s">
        <v>549</v>
      </c>
      <c r="E1077" t="s">
        <v>27</v>
      </c>
      <c r="F1077" t="s">
        <v>11</v>
      </c>
      <c r="G1077" t="s">
        <v>18</v>
      </c>
      <c r="H1077" t="s">
        <v>2539</v>
      </c>
      <c r="I1077" s="7">
        <v>1112.94</v>
      </c>
      <c r="J1077" s="8">
        <v>3</v>
      </c>
      <c r="K1077" s="7">
        <v>222.59</v>
      </c>
    </row>
    <row r="1078" spans="1:11" x14ac:dyDescent="0.3">
      <c r="A1078" s="2">
        <v>42401</v>
      </c>
      <c r="B1078" s="9">
        <f>MONTH(Table1[[#This Row],[Order Date]])</f>
        <v>2</v>
      </c>
      <c r="C1078" s="9">
        <f>YEAR(Table1[[#This Row],[Order Date]])</f>
        <v>2016</v>
      </c>
      <c r="D1078" t="s">
        <v>2199</v>
      </c>
      <c r="E1078" t="s">
        <v>517</v>
      </c>
      <c r="F1078" t="s">
        <v>34</v>
      </c>
      <c r="G1078" t="s">
        <v>74</v>
      </c>
      <c r="H1078" t="s">
        <v>2117</v>
      </c>
      <c r="I1078" s="7">
        <v>173.94</v>
      </c>
      <c r="J1078" s="8">
        <v>3</v>
      </c>
      <c r="K1078" s="7">
        <v>38.270000000000003</v>
      </c>
    </row>
    <row r="1079" spans="1:11" x14ac:dyDescent="0.3">
      <c r="A1079" s="2">
        <v>42401</v>
      </c>
      <c r="B1079" s="9">
        <f>MONTH(Table1[[#This Row],[Order Date]])</f>
        <v>2</v>
      </c>
      <c r="C1079" s="9">
        <f>YEAR(Table1[[#This Row],[Order Date]])</f>
        <v>2016</v>
      </c>
      <c r="D1079" t="s">
        <v>2199</v>
      </c>
      <c r="E1079" t="s">
        <v>517</v>
      </c>
      <c r="F1079" t="s">
        <v>39</v>
      </c>
      <c r="G1079" t="s">
        <v>40</v>
      </c>
      <c r="H1079" t="s">
        <v>1159</v>
      </c>
      <c r="I1079" s="7">
        <v>231.98</v>
      </c>
      <c r="J1079" s="8">
        <v>2</v>
      </c>
      <c r="K1079" s="7">
        <v>67.27</v>
      </c>
    </row>
    <row r="1080" spans="1:11" x14ac:dyDescent="0.3">
      <c r="A1080" s="2">
        <v>42402</v>
      </c>
      <c r="B1080" s="9">
        <f>MONTH(Table1[[#This Row],[Order Date]])</f>
        <v>2</v>
      </c>
      <c r="C1080" s="9">
        <f>YEAR(Table1[[#This Row],[Order Date]])</f>
        <v>2016</v>
      </c>
      <c r="D1080" t="s">
        <v>494</v>
      </c>
      <c r="E1080" t="s">
        <v>55</v>
      </c>
      <c r="F1080" t="s">
        <v>39</v>
      </c>
      <c r="G1080" t="s">
        <v>293</v>
      </c>
      <c r="H1080" t="s">
        <v>1303</v>
      </c>
      <c r="I1080" s="7">
        <v>8749.9500000000007</v>
      </c>
      <c r="J1080" s="8">
        <v>5</v>
      </c>
      <c r="K1080" s="7">
        <v>2799.98</v>
      </c>
    </row>
    <row r="1081" spans="1:11" x14ac:dyDescent="0.3">
      <c r="A1081" s="2">
        <v>42402</v>
      </c>
      <c r="B1081" s="9">
        <f>MONTH(Table1[[#This Row],[Order Date]])</f>
        <v>2</v>
      </c>
      <c r="C1081" s="9">
        <f>YEAR(Table1[[#This Row],[Order Date]])</f>
        <v>2016</v>
      </c>
      <c r="D1081" t="s">
        <v>852</v>
      </c>
      <c r="E1081" t="s">
        <v>10</v>
      </c>
      <c r="F1081" t="s">
        <v>34</v>
      </c>
      <c r="G1081" t="s">
        <v>47</v>
      </c>
      <c r="H1081" t="s">
        <v>2407</v>
      </c>
      <c r="I1081" s="7">
        <v>73.78</v>
      </c>
      <c r="J1081" s="8">
        <v>2</v>
      </c>
      <c r="K1081" s="7">
        <v>-77.47</v>
      </c>
    </row>
    <row r="1082" spans="1:11" x14ac:dyDescent="0.3">
      <c r="A1082" s="2">
        <v>42404</v>
      </c>
      <c r="B1082" s="9">
        <f>MONTH(Table1[[#This Row],[Order Date]])</f>
        <v>2</v>
      </c>
      <c r="C1082" s="9">
        <f>YEAR(Table1[[#This Row],[Order Date]])</f>
        <v>2016</v>
      </c>
      <c r="D1082" t="s">
        <v>1720</v>
      </c>
      <c r="E1082" t="s">
        <v>152</v>
      </c>
      <c r="F1082" t="s">
        <v>34</v>
      </c>
      <c r="G1082" t="s">
        <v>35</v>
      </c>
      <c r="H1082" t="s">
        <v>1648</v>
      </c>
      <c r="I1082" s="7">
        <v>1454.9</v>
      </c>
      <c r="J1082" s="8">
        <v>5</v>
      </c>
      <c r="K1082" s="7">
        <v>378.27</v>
      </c>
    </row>
    <row r="1083" spans="1:11" x14ac:dyDescent="0.3">
      <c r="A1083" s="2">
        <v>42405</v>
      </c>
      <c r="B1083" s="9">
        <f>MONTH(Table1[[#This Row],[Order Date]])</f>
        <v>2</v>
      </c>
      <c r="C1083" s="9">
        <f>YEAR(Table1[[#This Row],[Order Date]])</f>
        <v>2016</v>
      </c>
      <c r="D1083" t="s">
        <v>659</v>
      </c>
      <c r="E1083" t="s">
        <v>144</v>
      </c>
      <c r="F1083" t="s">
        <v>11</v>
      </c>
      <c r="G1083" t="s">
        <v>18</v>
      </c>
      <c r="H1083" t="s">
        <v>2471</v>
      </c>
      <c r="I1083" s="7">
        <v>44.94</v>
      </c>
      <c r="J1083" s="8">
        <v>3</v>
      </c>
      <c r="K1083" s="7">
        <v>12.58</v>
      </c>
    </row>
    <row r="1084" spans="1:11" x14ac:dyDescent="0.3">
      <c r="A1084" s="2">
        <v>42405</v>
      </c>
      <c r="B1084" s="9">
        <f>MONTH(Table1[[#This Row],[Order Date]])</f>
        <v>2</v>
      </c>
      <c r="C1084" s="9">
        <f>YEAR(Table1[[#This Row],[Order Date]])</f>
        <v>2016</v>
      </c>
      <c r="D1084" t="s">
        <v>863</v>
      </c>
      <c r="E1084" t="s">
        <v>237</v>
      </c>
      <c r="F1084" t="s">
        <v>34</v>
      </c>
      <c r="G1084" t="s">
        <v>35</v>
      </c>
      <c r="H1084" t="s">
        <v>405</v>
      </c>
      <c r="I1084" s="7">
        <v>187.06</v>
      </c>
      <c r="J1084" s="8">
        <v>9</v>
      </c>
      <c r="K1084" s="7">
        <v>11.69</v>
      </c>
    </row>
    <row r="1085" spans="1:11" x14ac:dyDescent="0.3">
      <c r="A1085" s="2">
        <v>42405</v>
      </c>
      <c r="B1085" s="9">
        <f>MONTH(Table1[[#This Row],[Order Date]])</f>
        <v>2</v>
      </c>
      <c r="C1085" s="9">
        <f>YEAR(Table1[[#This Row],[Order Date]])</f>
        <v>2016</v>
      </c>
      <c r="D1085" t="s">
        <v>1330</v>
      </c>
      <c r="E1085" t="s">
        <v>10</v>
      </c>
      <c r="F1085" t="s">
        <v>11</v>
      </c>
      <c r="G1085" t="s">
        <v>18</v>
      </c>
      <c r="H1085" t="s">
        <v>398</v>
      </c>
      <c r="I1085" s="7">
        <v>12.67</v>
      </c>
      <c r="J1085" s="8">
        <v>3</v>
      </c>
      <c r="K1085" s="7">
        <v>-3.17</v>
      </c>
    </row>
    <row r="1086" spans="1:11" x14ac:dyDescent="0.3">
      <c r="A1086" s="2">
        <v>42405</v>
      </c>
      <c r="B1086" s="9">
        <f>MONTH(Table1[[#This Row],[Order Date]])</f>
        <v>2</v>
      </c>
      <c r="C1086" s="9">
        <f>YEAR(Table1[[#This Row],[Order Date]])</f>
        <v>2016</v>
      </c>
      <c r="D1086" t="s">
        <v>1330</v>
      </c>
      <c r="E1086" t="s">
        <v>10</v>
      </c>
      <c r="F1086" t="s">
        <v>11</v>
      </c>
      <c r="G1086" t="s">
        <v>16</v>
      </c>
      <c r="H1086" t="s">
        <v>2472</v>
      </c>
      <c r="I1086" s="7">
        <v>5.04</v>
      </c>
      <c r="J1086" s="8">
        <v>2</v>
      </c>
      <c r="K1086" s="7">
        <v>1.76</v>
      </c>
    </row>
    <row r="1087" spans="1:11" x14ac:dyDescent="0.3">
      <c r="A1087" s="2">
        <v>42405</v>
      </c>
      <c r="B1087" s="9">
        <f>MONTH(Table1[[#This Row],[Order Date]])</f>
        <v>2</v>
      </c>
      <c r="C1087" s="9">
        <f>YEAR(Table1[[#This Row],[Order Date]])</f>
        <v>2016</v>
      </c>
      <c r="D1087" t="s">
        <v>510</v>
      </c>
      <c r="E1087" t="s">
        <v>144</v>
      </c>
      <c r="F1087" t="s">
        <v>34</v>
      </c>
      <c r="G1087" t="s">
        <v>47</v>
      </c>
      <c r="H1087" t="s">
        <v>2076</v>
      </c>
      <c r="I1087" s="7">
        <v>12.56</v>
      </c>
      <c r="J1087" s="8">
        <v>2</v>
      </c>
      <c r="K1087" s="7">
        <v>4.0199999999999996</v>
      </c>
    </row>
    <row r="1088" spans="1:11" x14ac:dyDescent="0.3">
      <c r="A1088" s="2">
        <v>42407</v>
      </c>
      <c r="B1088" s="9">
        <f>MONTH(Table1[[#This Row],[Order Date]])</f>
        <v>2</v>
      </c>
      <c r="C1088" s="9">
        <f>YEAR(Table1[[#This Row],[Order Date]])</f>
        <v>2016</v>
      </c>
      <c r="D1088" t="s">
        <v>583</v>
      </c>
      <c r="E1088" t="s">
        <v>55</v>
      </c>
      <c r="F1088" t="s">
        <v>11</v>
      </c>
      <c r="G1088" t="s">
        <v>24</v>
      </c>
      <c r="H1088" t="s">
        <v>2529</v>
      </c>
      <c r="I1088" s="7">
        <v>7.7</v>
      </c>
      <c r="J1088" s="8">
        <v>2</v>
      </c>
      <c r="K1088" s="7">
        <v>3.16</v>
      </c>
    </row>
    <row r="1089" spans="1:11" x14ac:dyDescent="0.3">
      <c r="A1089" s="2">
        <v>42408</v>
      </c>
      <c r="B1089" s="9">
        <f>MONTH(Table1[[#This Row],[Order Date]])</f>
        <v>2</v>
      </c>
      <c r="C1089" s="9">
        <f>YEAR(Table1[[#This Row],[Order Date]])</f>
        <v>2016</v>
      </c>
      <c r="D1089" t="s">
        <v>196</v>
      </c>
      <c r="E1089" t="s">
        <v>27</v>
      </c>
      <c r="F1089" t="s">
        <v>34</v>
      </c>
      <c r="G1089" t="s">
        <v>140</v>
      </c>
      <c r="H1089" t="s">
        <v>2546</v>
      </c>
      <c r="I1089" s="7">
        <v>136.46</v>
      </c>
      <c r="J1089" s="8">
        <v>2</v>
      </c>
      <c r="K1089" s="7">
        <v>15.35</v>
      </c>
    </row>
    <row r="1090" spans="1:11" x14ac:dyDescent="0.3">
      <c r="A1090" s="2">
        <v>42408</v>
      </c>
      <c r="B1090" s="9">
        <f>MONTH(Table1[[#This Row],[Order Date]])</f>
        <v>2</v>
      </c>
      <c r="C1090" s="9">
        <f>YEAR(Table1[[#This Row],[Order Date]])</f>
        <v>2016</v>
      </c>
      <c r="D1090" t="s">
        <v>196</v>
      </c>
      <c r="E1090" t="s">
        <v>27</v>
      </c>
      <c r="F1090" t="s">
        <v>39</v>
      </c>
      <c r="G1090" t="s">
        <v>40</v>
      </c>
      <c r="H1090" t="s">
        <v>2494</v>
      </c>
      <c r="I1090" s="7">
        <v>333.58</v>
      </c>
      <c r="J1090" s="8">
        <v>3</v>
      </c>
      <c r="K1090" s="7">
        <v>33.36</v>
      </c>
    </row>
    <row r="1091" spans="1:11" x14ac:dyDescent="0.3">
      <c r="A1091" s="2">
        <v>42408</v>
      </c>
      <c r="B1091" s="9">
        <f>MONTH(Table1[[#This Row],[Order Date]])</f>
        <v>2</v>
      </c>
      <c r="C1091" s="9">
        <f>YEAR(Table1[[#This Row],[Order Date]])</f>
        <v>2016</v>
      </c>
      <c r="D1091" t="s">
        <v>196</v>
      </c>
      <c r="E1091" t="s">
        <v>27</v>
      </c>
      <c r="F1091" t="s">
        <v>11</v>
      </c>
      <c r="G1091" t="s">
        <v>20</v>
      </c>
      <c r="H1091" t="s">
        <v>1926</v>
      </c>
      <c r="I1091" s="7">
        <v>12.54</v>
      </c>
      <c r="J1091" s="8">
        <v>2</v>
      </c>
      <c r="K1091" s="7">
        <v>4.7</v>
      </c>
    </row>
    <row r="1092" spans="1:11" x14ac:dyDescent="0.3">
      <c r="A1092" s="2">
        <v>42409</v>
      </c>
      <c r="B1092" s="9">
        <f>MONTH(Table1[[#This Row],[Order Date]])</f>
        <v>2</v>
      </c>
      <c r="C1092" s="9">
        <f>YEAR(Table1[[#This Row],[Order Date]])</f>
        <v>2016</v>
      </c>
      <c r="D1092" t="s">
        <v>1705</v>
      </c>
      <c r="E1092" t="s">
        <v>15</v>
      </c>
      <c r="F1092" t="s">
        <v>39</v>
      </c>
      <c r="G1092" t="s">
        <v>293</v>
      </c>
      <c r="H1092" t="s">
        <v>2560</v>
      </c>
      <c r="I1092" s="7">
        <v>1362.9</v>
      </c>
      <c r="J1092" s="8">
        <v>3</v>
      </c>
      <c r="K1092" s="7">
        <v>-19.47</v>
      </c>
    </row>
    <row r="1093" spans="1:11" x14ac:dyDescent="0.3">
      <c r="A1093" s="2">
        <v>42409</v>
      </c>
      <c r="B1093" s="9">
        <f>MONTH(Table1[[#This Row],[Order Date]])</f>
        <v>2</v>
      </c>
      <c r="C1093" s="9">
        <f>YEAR(Table1[[#This Row],[Order Date]])</f>
        <v>2016</v>
      </c>
      <c r="D1093" t="s">
        <v>1145</v>
      </c>
      <c r="E1093" t="s">
        <v>237</v>
      </c>
      <c r="F1093" t="s">
        <v>11</v>
      </c>
      <c r="G1093" t="s">
        <v>20</v>
      </c>
      <c r="H1093" t="s">
        <v>2196</v>
      </c>
      <c r="I1093" s="7">
        <v>22.91</v>
      </c>
      <c r="J1093" s="8">
        <v>7</v>
      </c>
      <c r="K1093" s="7">
        <v>-17.57</v>
      </c>
    </row>
    <row r="1094" spans="1:11" x14ac:dyDescent="0.3">
      <c r="A1094" s="2">
        <v>42409</v>
      </c>
      <c r="B1094" s="9">
        <f>MONTH(Table1[[#This Row],[Order Date]])</f>
        <v>2</v>
      </c>
      <c r="C1094" s="9">
        <f>YEAR(Table1[[#This Row],[Order Date]])</f>
        <v>2016</v>
      </c>
      <c r="D1094" t="s">
        <v>1145</v>
      </c>
      <c r="E1094" t="s">
        <v>237</v>
      </c>
      <c r="F1094" t="s">
        <v>11</v>
      </c>
      <c r="G1094" t="s">
        <v>92</v>
      </c>
      <c r="H1094" t="s">
        <v>2561</v>
      </c>
      <c r="I1094" s="7">
        <v>309.45999999999998</v>
      </c>
      <c r="J1094" s="8">
        <v>9</v>
      </c>
      <c r="K1094" s="7">
        <v>34.81</v>
      </c>
    </row>
    <row r="1095" spans="1:11" x14ac:dyDescent="0.3">
      <c r="A1095" s="2">
        <v>42409</v>
      </c>
      <c r="B1095" s="9">
        <f>MONTH(Table1[[#This Row],[Order Date]])</f>
        <v>2</v>
      </c>
      <c r="C1095" s="9">
        <f>YEAR(Table1[[#This Row],[Order Date]])</f>
        <v>2016</v>
      </c>
      <c r="D1095" t="s">
        <v>1145</v>
      </c>
      <c r="E1095" t="s">
        <v>237</v>
      </c>
      <c r="F1095" t="s">
        <v>39</v>
      </c>
      <c r="G1095" t="s">
        <v>52</v>
      </c>
      <c r="H1095" t="s">
        <v>1830</v>
      </c>
      <c r="I1095" s="7">
        <v>1012.68</v>
      </c>
      <c r="J1095" s="8">
        <v>3</v>
      </c>
      <c r="K1095" s="7">
        <v>303.8</v>
      </c>
    </row>
    <row r="1096" spans="1:11" x14ac:dyDescent="0.3">
      <c r="A1096" s="2">
        <v>42409</v>
      </c>
      <c r="B1096" s="9">
        <f>MONTH(Table1[[#This Row],[Order Date]])</f>
        <v>2</v>
      </c>
      <c r="C1096" s="9">
        <f>YEAR(Table1[[#This Row],[Order Date]])</f>
        <v>2016</v>
      </c>
      <c r="D1096" t="s">
        <v>1481</v>
      </c>
      <c r="E1096" t="s">
        <v>10</v>
      </c>
      <c r="F1096" t="s">
        <v>39</v>
      </c>
      <c r="G1096" t="s">
        <v>52</v>
      </c>
      <c r="H1096" t="s">
        <v>2388</v>
      </c>
      <c r="I1096" s="7">
        <v>159.56</v>
      </c>
      <c r="J1096" s="8">
        <v>5</v>
      </c>
      <c r="K1096" s="7">
        <v>33.909999999999997</v>
      </c>
    </row>
    <row r="1097" spans="1:11" x14ac:dyDescent="0.3">
      <c r="A1097" s="2">
        <v>42409</v>
      </c>
      <c r="B1097" s="9">
        <f>MONTH(Table1[[#This Row],[Order Date]])</f>
        <v>2</v>
      </c>
      <c r="C1097" s="9">
        <f>YEAR(Table1[[#This Row],[Order Date]])</f>
        <v>2016</v>
      </c>
      <c r="D1097" t="s">
        <v>1206</v>
      </c>
      <c r="E1097" t="s">
        <v>158</v>
      </c>
      <c r="F1097" t="s">
        <v>34</v>
      </c>
      <c r="G1097" t="s">
        <v>35</v>
      </c>
      <c r="H1097" t="s">
        <v>1984</v>
      </c>
      <c r="I1097" s="7">
        <v>215.98</v>
      </c>
      <c r="J1097" s="8">
        <v>3</v>
      </c>
      <c r="K1097" s="7">
        <v>-2.7</v>
      </c>
    </row>
    <row r="1098" spans="1:11" x14ac:dyDescent="0.3">
      <c r="A1098" s="2">
        <v>42409</v>
      </c>
      <c r="B1098" s="9">
        <f>MONTH(Table1[[#This Row],[Order Date]])</f>
        <v>2</v>
      </c>
      <c r="C1098" s="9">
        <f>YEAR(Table1[[#This Row],[Order Date]])</f>
        <v>2016</v>
      </c>
      <c r="D1098" t="s">
        <v>1206</v>
      </c>
      <c r="E1098" t="s">
        <v>158</v>
      </c>
      <c r="F1098" t="s">
        <v>11</v>
      </c>
      <c r="G1098" t="s">
        <v>63</v>
      </c>
      <c r="H1098" t="s">
        <v>970</v>
      </c>
      <c r="I1098" s="7">
        <v>65.94</v>
      </c>
      <c r="J1098" s="8">
        <v>3</v>
      </c>
      <c r="K1098" s="7">
        <v>30.99</v>
      </c>
    </row>
    <row r="1099" spans="1:11" x14ac:dyDescent="0.3">
      <c r="A1099" s="2">
        <v>42409</v>
      </c>
      <c r="B1099" s="9">
        <f>MONTH(Table1[[#This Row],[Order Date]])</f>
        <v>2</v>
      </c>
      <c r="C1099" s="9">
        <f>YEAR(Table1[[#This Row],[Order Date]])</f>
        <v>2016</v>
      </c>
      <c r="D1099" t="s">
        <v>1055</v>
      </c>
      <c r="E1099" t="s">
        <v>27</v>
      </c>
      <c r="F1099" t="s">
        <v>34</v>
      </c>
      <c r="G1099" t="s">
        <v>47</v>
      </c>
      <c r="H1099" t="s">
        <v>121</v>
      </c>
      <c r="I1099" s="7">
        <v>94.68</v>
      </c>
      <c r="J1099" s="8">
        <v>9</v>
      </c>
      <c r="K1099" s="7">
        <v>31.24</v>
      </c>
    </row>
    <row r="1100" spans="1:11" x14ac:dyDescent="0.3">
      <c r="A1100" s="2">
        <v>42409</v>
      </c>
      <c r="B1100" s="9">
        <f>MONTH(Table1[[#This Row],[Order Date]])</f>
        <v>2</v>
      </c>
      <c r="C1100" s="9">
        <f>YEAR(Table1[[#This Row],[Order Date]])</f>
        <v>2016</v>
      </c>
      <c r="D1100" t="s">
        <v>1055</v>
      </c>
      <c r="E1100" t="s">
        <v>27</v>
      </c>
      <c r="F1100" t="s">
        <v>11</v>
      </c>
      <c r="G1100" t="s">
        <v>24</v>
      </c>
      <c r="H1100" t="s">
        <v>568</v>
      </c>
      <c r="I1100" s="7">
        <v>18.690000000000001</v>
      </c>
      <c r="J1100" s="8">
        <v>7</v>
      </c>
      <c r="K1100" s="7">
        <v>5.23</v>
      </c>
    </row>
    <row r="1101" spans="1:11" x14ac:dyDescent="0.3">
      <c r="A1101" s="2">
        <v>42410</v>
      </c>
      <c r="B1101" s="9">
        <f>MONTH(Table1[[#This Row],[Order Date]])</f>
        <v>2</v>
      </c>
      <c r="C1101" s="9">
        <f>YEAR(Table1[[#This Row],[Order Date]])</f>
        <v>2016</v>
      </c>
      <c r="D1101" t="s">
        <v>1540</v>
      </c>
      <c r="E1101" t="s">
        <v>126</v>
      </c>
      <c r="F1101" t="s">
        <v>39</v>
      </c>
      <c r="G1101" t="s">
        <v>590</v>
      </c>
      <c r="H1101" t="s">
        <v>2495</v>
      </c>
      <c r="I1101" s="7">
        <v>17499.95</v>
      </c>
      <c r="J1101" s="8">
        <v>5</v>
      </c>
      <c r="K1101" s="7">
        <v>8399.98</v>
      </c>
    </row>
    <row r="1102" spans="1:11" x14ac:dyDescent="0.3">
      <c r="A1102" s="2">
        <v>42410</v>
      </c>
      <c r="B1102" s="9">
        <f>MONTH(Table1[[#This Row],[Order Date]])</f>
        <v>2</v>
      </c>
      <c r="C1102" s="9">
        <f>YEAR(Table1[[#This Row],[Order Date]])</f>
        <v>2016</v>
      </c>
      <c r="D1102" t="s">
        <v>1540</v>
      </c>
      <c r="E1102" t="s">
        <v>126</v>
      </c>
      <c r="F1102" t="s">
        <v>11</v>
      </c>
      <c r="G1102" t="s">
        <v>24</v>
      </c>
      <c r="H1102" t="s">
        <v>2374</v>
      </c>
      <c r="I1102" s="7">
        <v>33.96</v>
      </c>
      <c r="J1102" s="8">
        <v>2</v>
      </c>
      <c r="K1102" s="7">
        <v>9.51</v>
      </c>
    </row>
    <row r="1103" spans="1:11" x14ac:dyDescent="0.3">
      <c r="A1103" s="2">
        <v>42412</v>
      </c>
      <c r="B1103" s="9">
        <f>MONTH(Table1[[#This Row],[Order Date]])</f>
        <v>2</v>
      </c>
      <c r="C1103" s="9">
        <f>YEAR(Table1[[#This Row],[Order Date]])</f>
        <v>2016</v>
      </c>
      <c r="D1103" t="s">
        <v>1361</v>
      </c>
      <c r="E1103" t="s">
        <v>27</v>
      </c>
      <c r="F1103" t="s">
        <v>11</v>
      </c>
      <c r="G1103" t="s">
        <v>20</v>
      </c>
      <c r="H1103" t="s">
        <v>1478</v>
      </c>
      <c r="I1103" s="7">
        <v>24.7</v>
      </c>
      <c r="J1103" s="8">
        <v>2</v>
      </c>
      <c r="K1103" s="7">
        <v>9.26</v>
      </c>
    </row>
    <row r="1104" spans="1:11" x14ac:dyDescent="0.3">
      <c r="A1104" s="2">
        <v>42412</v>
      </c>
      <c r="B1104" s="9">
        <f>MONTH(Table1[[#This Row],[Order Date]])</f>
        <v>2</v>
      </c>
      <c r="C1104" s="9">
        <f>YEAR(Table1[[#This Row],[Order Date]])</f>
        <v>2016</v>
      </c>
      <c r="D1104" t="s">
        <v>1361</v>
      </c>
      <c r="E1104" t="s">
        <v>27</v>
      </c>
      <c r="F1104" t="s">
        <v>34</v>
      </c>
      <c r="G1104" t="s">
        <v>47</v>
      </c>
      <c r="H1104" t="s">
        <v>2259</v>
      </c>
      <c r="I1104" s="7">
        <v>14.52</v>
      </c>
      <c r="J1104" s="8">
        <v>3</v>
      </c>
      <c r="K1104" s="7">
        <v>5.66</v>
      </c>
    </row>
    <row r="1105" spans="1:11" x14ac:dyDescent="0.3">
      <c r="A1105" s="2">
        <v>42412</v>
      </c>
      <c r="B1105" s="9">
        <f>MONTH(Table1[[#This Row],[Order Date]])</f>
        <v>2</v>
      </c>
      <c r="C1105" s="9">
        <f>YEAR(Table1[[#This Row],[Order Date]])</f>
        <v>2016</v>
      </c>
      <c r="D1105" t="s">
        <v>161</v>
      </c>
      <c r="E1105" t="s">
        <v>1494</v>
      </c>
      <c r="F1105" t="s">
        <v>11</v>
      </c>
      <c r="G1105" t="s">
        <v>18</v>
      </c>
      <c r="H1105" t="s">
        <v>1913</v>
      </c>
      <c r="I1105" s="7">
        <v>2079.4</v>
      </c>
      <c r="J1105" s="8">
        <v>5</v>
      </c>
      <c r="K1105" s="7">
        <v>582.23</v>
      </c>
    </row>
    <row r="1106" spans="1:11" x14ac:dyDescent="0.3">
      <c r="A1106" s="2">
        <v>42412</v>
      </c>
      <c r="B1106" s="9">
        <f>MONTH(Table1[[#This Row],[Order Date]])</f>
        <v>2</v>
      </c>
      <c r="C1106" s="9">
        <f>YEAR(Table1[[#This Row],[Order Date]])</f>
        <v>2016</v>
      </c>
      <c r="D1106" t="s">
        <v>1585</v>
      </c>
      <c r="E1106" t="s">
        <v>144</v>
      </c>
      <c r="F1106" t="s">
        <v>11</v>
      </c>
      <c r="G1106" t="s">
        <v>20</v>
      </c>
      <c r="H1106" t="s">
        <v>2427</v>
      </c>
      <c r="I1106" s="7">
        <v>415.18</v>
      </c>
      <c r="J1106" s="8">
        <v>3</v>
      </c>
      <c r="K1106" s="7">
        <v>134.93</v>
      </c>
    </row>
    <row r="1107" spans="1:11" x14ac:dyDescent="0.3">
      <c r="A1107" s="2">
        <v>42412</v>
      </c>
      <c r="B1107" s="9">
        <f>MONTH(Table1[[#This Row],[Order Date]])</f>
        <v>2</v>
      </c>
      <c r="C1107" s="9">
        <f>YEAR(Table1[[#This Row],[Order Date]])</f>
        <v>2016</v>
      </c>
      <c r="D1107" t="s">
        <v>565</v>
      </c>
      <c r="E1107" t="s">
        <v>10</v>
      </c>
      <c r="F1107" t="s">
        <v>34</v>
      </c>
      <c r="G1107" t="s">
        <v>74</v>
      </c>
      <c r="H1107" t="s">
        <v>2158</v>
      </c>
      <c r="I1107" s="7">
        <v>781.86</v>
      </c>
      <c r="J1107" s="8">
        <v>10</v>
      </c>
      <c r="K1107" s="7">
        <v>-137.97999999999999</v>
      </c>
    </row>
    <row r="1108" spans="1:11" x14ac:dyDescent="0.3">
      <c r="A1108" s="2">
        <v>42430</v>
      </c>
      <c r="B1108" s="9">
        <f>MONTH(Table1[[#This Row],[Order Date]])</f>
        <v>3</v>
      </c>
      <c r="C1108" s="9">
        <f>YEAR(Table1[[#This Row],[Order Date]])</f>
        <v>2016</v>
      </c>
      <c r="D1108" t="s">
        <v>944</v>
      </c>
      <c r="E1108" t="s">
        <v>10</v>
      </c>
      <c r="F1108" t="s">
        <v>39</v>
      </c>
      <c r="G1108" t="s">
        <v>52</v>
      </c>
      <c r="H1108" t="s">
        <v>660</v>
      </c>
      <c r="I1108" s="7">
        <v>30.08</v>
      </c>
      <c r="J1108" s="8">
        <v>2</v>
      </c>
      <c r="K1108" s="7">
        <v>-5.26</v>
      </c>
    </row>
    <row r="1109" spans="1:11" x14ac:dyDescent="0.3">
      <c r="A1109" s="2">
        <v>42430</v>
      </c>
      <c r="B1109" s="9">
        <f>MONTH(Table1[[#This Row],[Order Date]])</f>
        <v>3</v>
      </c>
      <c r="C1109" s="9">
        <f>YEAR(Table1[[#This Row],[Order Date]])</f>
        <v>2016</v>
      </c>
      <c r="D1109" t="s">
        <v>2386</v>
      </c>
      <c r="E1109" t="s">
        <v>819</v>
      </c>
      <c r="F1109" t="s">
        <v>34</v>
      </c>
      <c r="G1109" t="s">
        <v>140</v>
      </c>
      <c r="H1109" t="s">
        <v>1470</v>
      </c>
      <c r="I1109" s="7">
        <v>1592.85</v>
      </c>
      <c r="J1109" s="8">
        <v>7</v>
      </c>
      <c r="K1109" s="7">
        <v>350.43</v>
      </c>
    </row>
    <row r="1110" spans="1:11" x14ac:dyDescent="0.3">
      <c r="A1110" s="2">
        <v>42432</v>
      </c>
      <c r="B1110" s="9">
        <f>MONTH(Table1[[#This Row],[Order Date]])</f>
        <v>3</v>
      </c>
      <c r="C1110" s="9">
        <f>YEAR(Table1[[#This Row],[Order Date]])</f>
        <v>2016</v>
      </c>
      <c r="D1110" t="s">
        <v>2415</v>
      </c>
      <c r="E1110" t="s">
        <v>10</v>
      </c>
      <c r="F1110" t="s">
        <v>11</v>
      </c>
      <c r="G1110" t="s">
        <v>12</v>
      </c>
      <c r="H1110" t="s">
        <v>2416</v>
      </c>
      <c r="I1110" s="7">
        <v>42.78</v>
      </c>
      <c r="J1110" s="8">
        <v>7</v>
      </c>
      <c r="K1110" s="7">
        <v>15.51</v>
      </c>
    </row>
    <row r="1111" spans="1:11" x14ac:dyDescent="0.3">
      <c r="A1111" s="2">
        <v>42432</v>
      </c>
      <c r="B1111" s="9">
        <f>MONTH(Table1[[#This Row],[Order Date]])</f>
        <v>3</v>
      </c>
      <c r="C1111" s="9">
        <f>YEAR(Table1[[#This Row],[Order Date]])</f>
        <v>2016</v>
      </c>
      <c r="D1111" t="s">
        <v>1787</v>
      </c>
      <c r="E1111" t="s">
        <v>126</v>
      </c>
      <c r="F1111" t="s">
        <v>39</v>
      </c>
      <c r="G1111" t="s">
        <v>40</v>
      </c>
      <c r="H1111" t="s">
        <v>689</v>
      </c>
      <c r="I1111" s="7">
        <v>134.85</v>
      </c>
      <c r="J1111" s="8">
        <v>3</v>
      </c>
      <c r="K1111" s="7">
        <v>37.76</v>
      </c>
    </row>
    <row r="1112" spans="1:11" x14ac:dyDescent="0.3">
      <c r="A1112" s="2">
        <v>42432</v>
      </c>
      <c r="B1112" s="9">
        <f>MONTH(Table1[[#This Row],[Order Date]])</f>
        <v>3</v>
      </c>
      <c r="C1112" s="9">
        <f>YEAR(Table1[[#This Row],[Order Date]])</f>
        <v>2016</v>
      </c>
      <c r="D1112" t="s">
        <v>1243</v>
      </c>
      <c r="E1112" t="s">
        <v>10</v>
      </c>
      <c r="F1112" t="s">
        <v>34</v>
      </c>
      <c r="G1112" t="s">
        <v>140</v>
      </c>
      <c r="H1112" t="s">
        <v>2417</v>
      </c>
      <c r="I1112" s="7">
        <v>637.9</v>
      </c>
      <c r="J1112" s="8">
        <v>3</v>
      </c>
      <c r="K1112" s="7">
        <v>-127.58</v>
      </c>
    </row>
    <row r="1113" spans="1:11" x14ac:dyDescent="0.3">
      <c r="A1113" s="2">
        <v>42432</v>
      </c>
      <c r="B1113" s="9">
        <f>MONTH(Table1[[#This Row],[Order Date]])</f>
        <v>3</v>
      </c>
      <c r="C1113" s="9">
        <f>YEAR(Table1[[#This Row],[Order Date]])</f>
        <v>2016</v>
      </c>
      <c r="D1113" t="s">
        <v>547</v>
      </c>
      <c r="E1113" t="s">
        <v>27</v>
      </c>
      <c r="F1113" t="s">
        <v>11</v>
      </c>
      <c r="G1113" t="s">
        <v>194</v>
      </c>
      <c r="H1113" t="s">
        <v>2207</v>
      </c>
      <c r="I1113" s="7">
        <v>25.35</v>
      </c>
      <c r="J1113" s="8">
        <v>3</v>
      </c>
      <c r="K1113" s="7">
        <v>7.61</v>
      </c>
    </row>
    <row r="1114" spans="1:11" x14ac:dyDescent="0.3">
      <c r="A1114" s="2">
        <v>42432</v>
      </c>
      <c r="B1114" s="9">
        <f>MONTH(Table1[[#This Row],[Order Date]])</f>
        <v>3</v>
      </c>
      <c r="C1114" s="9">
        <f>YEAR(Table1[[#This Row],[Order Date]])</f>
        <v>2016</v>
      </c>
      <c r="D1114" t="s">
        <v>408</v>
      </c>
      <c r="E1114" t="s">
        <v>10</v>
      </c>
      <c r="F1114" t="s">
        <v>11</v>
      </c>
      <c r="G1114" t="s">
        <v>194</v>
      </c>
      <c r="H1114" t="s">
        <v>990</v>
      </c>
      <c r="I1114" s="7">
        <v>3930.07</v>
      </c>
      <c r="J1114" s="8">
        <v>3</v>
      </c>
      <c r="K1114" s="7">
        <v>-786.01</v>
      </c>
    </row>
    <row r="1115" spans="1:11" x14ac:dyDescent="0.3">
      <c r="A1115" s="2">
        <v>42433</v>
      </c>
      <c r="B1115" s="9">
        <f>MONTH(Table1[[#This Row],[Order Date]])</f>
        <v>3</v>
      </c>
      <c r="C1115" s="9">
        <f>YEAR(Table1[[#This Row],[Order Date]])</f>
        <v>2016</v>
      </c>
      <c r="D1115" t="s">
        <v>771</v>
      </c>
      <c r="E1115" t="s">
        <v>23</v>
      </c>
      <c r="F1115" t="s">
        <v>11</v>
      </c>
      <c r="G1115" t="s">
        <v>20</v>
      </c>
      <c r="H1115" t="s">
        <v>1976</v>
      </c>
      <c r="I1115" s="7">
        <v>99.85</v>
      </c>
      <c r="J1115" s="8">
        <v>9</v>
      </c>
      <c r="K1115" s="7">
        <v>-83.21</v>
      </c>
    </row>
    <row r="1116" spans="1:11" x14ac:dyDescent="0.3">
      <c r="A1116" s="2">
        <v>42434</v>
      </c>
      <c r="B1116" s="9">
        <f>MONTH(Table1[[#This Row],[Order Date]])</f>
        <v>3</v>
      </c>
      <c r="C1116" s="9">
        <f>YEAR(Table1[[#This Row],[Order Date]])</f>
        <v>2016</v>
      </c>
      <c r="D1116" t="s">
        <v>2274</v>
      </c>
      <c r="E1116" t="s">
        <v>15</v>
      </c>
      <c r="F1116" t="s">
        <v>11</v>
      </c>
      <c r="G1116" t="s">
        <v>24</v>
      </c>
      <c r="H1116" t="s">
        <v>1927</v>
      </c>
      <c r="I1116" s="7">
        <v>27.38</v>
      </c>
      <c r="J1116" s="8">
        <v>7</v>
      </c>
      <c r="K1116" s="7">
        <v>2.74</v>
      </c>
    </row>
    <row r="1117" spans="1:11" x14ac:dyDescent="0.3">
      <c r="A1117" s="2">
        <v>42434</v>
      </c>
      <c r="B1117" s="9">
        <f>MONTH(Table1[[#This Row],[Order Date]])</f>
        <v>3</v>
      </c>
      <c r="C1117" s="9">
        <f>YEAR(Table1[[#This Row],[Order Date]])</f>
        <v>2016</v>
      </c>
      <c r="D1117" t="s">
        <v>2473</v>
      </c>
      <c r="E1117" t="s">
        <v>78</v>
      </c>
      <c r="F1117" t="s">
        <v>34</v>
      </c>
      <c r="G1117" t="s">
        <v>47</v>
      </c>
      <c r="H1117" t="s">
        <v>1331</v>
      </c>
      <c r="I1117" s="7">
        <v>51.97</v>
      </c>
      <c r="J1117" s="8">
        <v>2</v>
      </c>
      <c r="K1117" s="7">
        <v>10.39</v>
      </c>
    </row>
    <row r="1118" spans="1:11" x14ac:dyDescent="0.3">
      <c r="A1118" s="2">
        <v>42434</v>
      </c>
      <c r="B1118" s="9">
        <f>MONTH(Table1[[#This Row],[Order Date]])</f>
        <v>3</v>
      </c>
      <c r="C1118" s="9">
        <f>YEAR(Table1[[#This Row],[Order Date]])</f>
        <v>2016</v>
      </c>
      <c r="D1118" t="s">
        <v>2473</v>
      </c>
      <c r="E1118" t="s">
        <v>78</v>
      </c>
      <c r="F1118" t="s">
        <v>39</v>
      </c>
      <c r="G1118" t="s">
        <v>293</v>
      </c>
      <c r="H1118" t="s">
        <v>2474</v>
      </c>
      <c r="I1118" s="7">
        <v>224.94</v>
      </c>
      <c r="J1118" s="8">
        <v>3</v>
      </c>
      <c r="K1118" s="7">
        <v>-164.95</v>
      </c>
    </row>
    <row r="1119" spans="1:11" x14ac:dyDescent="0.3">
      <c r="A1119" s="2">
        <v>42434</v>
      </c>
      <c r="B1119" s="9">
        <f>MONTH(Table1[[#This Row],[Order Date]])</f>
        <v>3</v>
      </c>
      <c r="C1119" s="9">
        <f>YEAR(Table1[[#This Row],[Order Date]])</f>
        <v>2016</v>
      </c>
      <c r="D1119" t="s">
        <v>2473</v>
      </c>
      <c r="E1119" t="s">
        <v>78</v>
      </c>
      <c r="F1119" t="s">
        <v>11</v>
      </c>
      <c r="G1119" t="s">
        <v>16</v>
      </c>
      <c r="H1119" t="s">
        <v>2475</v>
      </c>
      <c r="I1119" s="7">
        <v>6</v>
      </c>
      <c r="J1119" s="8">
        <v>2</v>
      </c>
      <c r="K1119" s="7">
        <v>2.1</v>
      </c>
    </row>
    <row r="1120" spans="1:11" x14ac:dyDescent="0.3">
      <c r="A1120" s="2">
        <v>42435</v>
      </c>
      <c r="B1120" s="9">
        <f>MONTH(Table1[[#This Row],[Order Date]])</f>
        <v>3</v>
      </c>
      <c r="C1120" s="9">
        <f>YEAR(Table1[[#This Row],[Order Date]])</f>
        <v>2016</v>
      </c>
      <c r="D1120" t="s">
        <v>312</v>
      </c>
      <c r="E1120" t="s">
        <v>27</v>
      </c>
      <c r="F1120" t="s">
        <v>34</v>
      </c>
      <c r="G1120" t="s">
        <v>140</v>
      </c>
      <c r="H1120" t="s">
        <v>1786</v>
      </c>
      <c r="I1120" s="7">
        <v>71.09</v>
      </c>
      <c r="J1120" s="8">
        <v>2</v>
      </c>
      <c r="K1120" s="7">
        <v>-1.78</v>
      </c>
    </row>
    <row r="1121" spans="1:11" x14ac:dyDescent="0.3">
      <c r="A1121" s="2">
        <v>42436</v>
      </c>
      <c r="B1121" s="9">
        <f>MONTH(Table1[[#This Row],[Order Date]])</f>
        <v>3</v>
      </c>
      <c r="C1121" s="9">
        <f>YEAR(Table1[[#This Row],[Order Date]])</f>
        <v>2016</v>
      </c>
      <c r="D1121" t="s">
        <v>282</v>
      </c>
      <c r="E1121" t="s">
        <v>144</v>
      </c>
      <c r="F1121" t="s">
        <v>11</v>
      </c>
      <c r="G1121" t="s">
        <v>92</v>
      </c>
      <c r="H1121" t="s">
        <v>2530</v>
      </c>
      <c r="I1121" s="7">
        <v>706.86</v>
      </c>
      <c r="J1121" s="8">
        <v>7</v>
      </c>
      <c r="K1121" s="7">
        <v>197.92</v>
      </c>
    </row>
    <row r="1122" spans="1:11" x14ac:dyDescent="0.3">
      <c r="A1122" s="2">
        <v>42436</v>
      </c>
      <c r="B1122" s="9">
        <f>MONTH(Table1[[#This Row],[Order Date]])</f>
        <v>3</v>
      </c>
      <c r="C1122" s="9">
        <f>YEAR(Table1[[#This Row],[Order Date]])</f>
        <v>2016</v>
      </c>
      <c r="D1122" t="s">
        <v>275</v>
      </c>
      <c r="E1122" t="s">
        <v>23</v>
      </c>
      <c r="F1122" t="s">
        <v>11</v>
      </c>
      <c r="G1122" t="s">
        <v>12</v>
      </c>
      <c r="H1122" t="s">
        <v>1102</v>
      </c>
      <c r="I1122" s="7">
        <v>123.92</v>
      </c>
      <c r="J1122" s="8">
        <v>5</v>
      </c>
      <c r="K1122" s="7">
        <v>38.729999999999997</v>
      </c>
    </row>
    <row r="1123" spans="1:11" x14ac:dyDescent="0.3">
      <c r="A1123" s="2">
        <v>42437</v>
      </c>
      <c r="B1123" s="9">
        <f>MONTH(Table1[[#This Row],[Order Date]])</f>
        <v>3</v>
      </c>
      <c r="C1123" s="9">
        <f>YEAR(Table1[[#This Row],[Order Date]])</f>
        <v>2016</v>
      </c>
      <c r="D1123" t="s">
        <v>2547</v>
      </c>
      <c r="E1123" t="s">
        <v>819</v>
      </c>
      <c r="F1123" t="s">
        <v>39</v>
      </c>
      <c r="G1123" t="s">
        <v>52</v>
      </c>
      <c r="H1123" t="s">
        <v>2548</v>
      </c>
      <c r="I1123" s="7">
        <v>167.28</v>
      </c>
      <c r="J1123" s="8">
        <v>12</v>
      </c>
      <c r="K1123" s="7">
        <v>23.42</v>
      </c>
    </row>
    <row r="1124" spans="1:11" x14ac:dyDescent="0.3">
      <c r="A1124" s="2">
        <v>42438</v>
      </c>
      <c r="B1124" s="9">
        <f>MONTH(Table1[[#This Row],[Order Date]])</f>
        <v>3</v>
      </c>
      <c r="C1124" s="9">
        <f>YEAR(Table1[[#This Row],[Order Date]])</f>
        <v>2016</v>
      </c>
      <c r="D1124" t="s">
        <v>1511</v>
      </c>
      <c r="E1124" t="s">
        <v>15</v>
      </c>
      <c r="F1124" t="s">
        <v>34</v>
      </c>
      <c r="G1124" t="s">
        <v>47</v>
      </c>
      <c r="H1124" t="s">
        <v>1994</v>
      </c>
      <c r="I1124" s="7">
        <v>83.95</v>
      </c>
      <c r="J1124" s="8">
        <v>3</v>
      </c>
      <c r="K1124" s="7">
        <v>-90.25</v>
      </c>
    </row>
    <row r="1125" spans="1:11" x14ac:dyDescent="0.3">
      <c r="A1125" s="2">
        <v>42438</v>
      </c>
      <c r="B1125" s="9">
        <f>MONTH(Table1[[#This Row],[Order Date]])</f>
        <v>3</v>
      </c>
      <c r="C1125" s="9">
        <f>YEAR(Table1[[#This Row],[Order Date]])</f>
        <v>2016</v>
      </c>
      <c r="D1125" t="s">
        <v>1892</v>
      </c>
      <c r="E1125" t="s">
        <v>152</v>
      </c>
      <c r="F1125" t="s">
        <v>11</v>
      </c>
      <c r="G1125" t="s">
        <v>18</v>
      </c>
      <c r="H1125" t="s">
        <v>344</v>
      </c>
      <c r="I1125" s="7">
        <v>54.5</v>
      </c>
      <c r="J1125" s="8">
        <v>5</v>
      </c>
      <c r="K1125" s="7">
        <v>14.17</v>
      </c>
    </row>
    <row r="1126" spans="1:11" x14ac:dyDescent="0.3">
      <c r="A1126" s="2">
        <v>42438</v>
      </c>
      <c r="B1126" s="9">
        <f>MONTH(Table1[[#This Row],[Order Date]])</f>
        <v>3</v>
      </c>
      <c r="C1126" s="9">
        <f>YEAR(Table1[[#This Row],[Order Date]])</f>
        <v>2016</v>
      </c>
      <c r="D1126" t="s">
        <v>2469</v>
      </c>
      <c r="E1126" t="s">
        <v>15</v>
      </c>
      <c r="F1126" t="s">
        <v>34</v>
      </c>
      <c r="G1126" t="s">
        <v>74</v>
      </c>
      <c r="H1126" t="s">
        <v>2562</v>
      </c>
      <c r="I1126" s="7">
        <v>198.74</v>
      </c>
      <c r="J1126" s="8">
        <v>4</v>
      </c>
      <c r="K1126" s="7">
        <v>0</v>
      </c>
    </row>
    <row r="1127" spans="1:11" x14ac:dyDescent="0.3">
      <c r="A1127" s="2">
        <v>42438</v>
      </c>
      <c r="B1127" s="9">
        <f>MONTH(Table1[[#This Row],[Order Date]])</f>
        <v>3</v>
      </c>
      <c r="C1127" s="9">
        <f>YEAR(Table1[[#This Row],[Order Date]])</f>
        <v>2016</v>
      </c>
      <c r="D1127" t="s">
        <v>2340</v>
      </c>
      <c r="E1127" t="s">
        <v>78</v>
      </c>
      <c r="F1127" t="s">
        <v>11</v>
      </c>
      <c r="G1127" t="s">
        <v>12</v>
      </c>
      <c r="H1127" t="s">
        <v>1324</v>
      </c>
      <c r="I1127" s="7">
        <v>30.96</v>
      </c>
      <c r="J1127" s="8">
        <v>6</v>
      </c>
      <c r="K1127" s="7">
        <v>11.22</v>
      </c>
    </row>
    <row r="1128" spans="1:11" x14ac:dyDescent="0.3">
      <c r="A1128" s="2">
        <v>42439</v>
      </c>
      <c r="B1128" s="9">
        <f>MONTH(Table1[[#This Row],[Order Date]])</f>
        <v>3</v>
      </c>
      <c r="C1128" s="9">
        <f>YEAR(Table1[[#This Row],[Order Date]])</f>
        <v>2016</v>
      </c>
      <c r="D1128" t="s">
        <v>609</v>
      </c>
      <c r="E1128" t="s">
        <v>144</v>
      </c>
      <c r="F1128" t="s">
        <v>34</v>
      </c>
      <c r="G1128" t="s">
        <v>35</v>
      </c>
      <c r="H1128" t="s">
        <v>2088</v>
      </c>
      <c r="I1128" s="7">
        <v>599.29</v>
      </c>
      <c r="J1128" s="8">
        <v>6</v>
      </c>
      <c r="K1128" s="7">
        <v>93.22</v>
      </c>
    </row>
    <row r="1129" spans="1:11" x14ac:dyDescent="0.3">
      <c r="A1129" s="2">
        <v>42439</v>
      </c>
      <c r="B1129" s="9">
        <f>MONTH(Table1[[#This Row],[Order Date]])</f>
        <v>3</v>
      </c>
      <c r="C1129" s="9">
        <f>YEAR(Table1[[#This Row],[Order Date]])</f>
        <v>2016</v>
      </c>
      <c r="D1129" t="s">
        <v>1886</v>
      </c>
      <c r="E1129" t="s">
        <v>10</v>
      </c>
      <c r="F1129" t="s">
        <v>34</v>
      </c>
      <c r="G1129" t="s">
        <v>47</v>
      </c>
      <c r="H1129" t="s">
        <v>301</v>
      </c>
      <c r="I1129" s="7">
        <v>38.08</v>
      </c>
      <c r="J1129" s="8">
        <v>5</v>
      </c>
      <c r="K1129" s="7">
        <v>-29.51</v>
      </c>
    </row>
    <row r="1130" spans="1:11" x14ac:dyDescent="0.3">
      <c r="A1130" s="2">
        <v>42439</v>
      </c>
      <c r="B1130" s="9">
        <f>MONTH(Table1[[#This Row],[Order Date]])</f>
        <v>3</v>
      </c>
      <c r="C1130" s="9">
        <f>YEAR(Table1[[#This Row],[Order Date]])</f>
        <v>2016</v>
      </c>
      <c r="D1130" t="s">
        <v>1476</v>
      </c>
      <c r="E1130" t="s">
        <v>27</v>
      </c>
      <c r="F1130" t="s">
        <v>11</v>
      </c>
      <c r="G1130" t="s">
        <v>12</v>
      </c>
      <c r="H1130" t="s">
        <v>1281</v>
      </c>
      <c r="I1130" s="7">
        <v>8.56</v>
      </c>
      <c r="J1130" s="8">
        <v>2</v>
      </c>
      <c r="K1130" s="7">
        <v>3.85</v>
      </c>
    </row>
    <row r="1131" spans="1:11" x14ac:dyDescent="0.3">
      <c r="A1131" s="2">
        <v>42440</v>
      </c>
      <c r="B1131" s="9">
        <f>MONTH(Table1[[#This Row],[Order Date]])</f>
        <v>3</v>
      </c>
      <c r="C1131" s="9">
        <f>YEAR(Table1[[#This Row],[Order Date]])</f>
        <v>2016</v>
      </c>
      <c r="D1131" t="s">
        <v>1784</v>
      </c>
      <c r="E1131" t="s">
        <v>158</v>
      </c>
      <c r="F1131" t="s">
        <v>11</v>
      </c>
      <c r="G1131" t="s">
        <v>24</v>
      </c>
      <c r="H1131" t="s">
        <v>1779</v>
      </c>
      <c r="I1131" s="7">
        <v>8.82</v>
      </c>
      <c r="J1131" s="8">
        <v>3</v>
      </c>
      <c r="K1131" s="7">
        <v>2.38</v>
      </c>
    </row>
    <row r="1132" spans="1:11" x14ac:dyDescent="0.3">
      <c r="A1132" s="2">
        <v>42440</v>
      </c>
      <c r="B1132" s="9">
        <f>MONTH(Table1[[#This Row],[Order Date]])</f>
        <v>3</v>
      </c>
      <c r="C1132" s="9">
        <f>YEAR(Table1[[#This Row],[Order Date]])</f>
        <v>2016</v>
      </c>
      <c r="D1132" t="s">
        <v>2528</v>
      </c>
      <c r="E1132" t="s">
        <v>27</v>
      </c>
      <c r="F1132" t="s">
        <v>34</v>
      </c>
      <c r="G1132" t="s">
        <v>35</v>
      </c>
      <c r="H1132" t="s">
        <v>2403</v>
      </c>
      <c r="I1132" s="7">
        <v>217.58</v>
      </c>
      <c r="J1132" s="8">
        <v>2</v>
      </c>
      <c r="K1132" s="7">
        <v>-29.92</v>
      </c>
    </row>
    <row r="1133" spans="1:11" x14ac:dyDescent="0.3">
      <c r="A1133" s="2">
        <v>42440</v>
      </c>
      <c r="B1133" s="9">
        <f>MONTH(Table1[[#This Row],[Order Date]])</f>
        <v>3</v>
      </c>
      <c r="C1133" s="9">
        <f>YEAR(Table1[[#This Row],[Order Date]])</f>
        <v>2016</v>
      </c>
      <c r="D1133" t="s">
        <v>2528</v>
      </c>
      <c r="E1133" t="s">
        <v>27</v>
      </c>
      <c r="F1133" t="s">
        <v>39</v>
      </c>
      <c r="G1133" t="s">
        <v>52</v>
      </c>
      <c r="H1133" t="s">
        <v>2210</v>
      </c>
      <c r="I1133" s="7">
        <v>82.95</v>
      </c>
      <c r="J1133" s="8">
        <v>5</v>
      </c>
      <c r="K1133" s="7">
        <v>29.03</v>
      </c>
    </row>
    <row r="1134" spans="1:11" x14ac:dyDescent="0.3">
      <c r="A1134" s="2">
        <v>42440</v>
      </c>
      <c r="B1134" s="9">
        <f>MONTH(Table1[[#This Row],[Order Date]])</f>
        <v>3</v>
      </c>
      <c r="C1134" s="9">
        <f>YEAR(Table1[[#This Row],[Order Date]])</f>
        <v>2016</v>
      </c>
      <c r="D1134" t="s">
        <v>2528</v>
      </c>
      <c r="E1134" t="s">
        <v>27</v>
      </c>
      <c r="F1134" t="s">
        <v>11</v>
      </c>
      <c r="G1134" t="s">
        <v>92</v>
      </c>
      <c r="H1134" t="s">
        <v>2293</v>
      </c>
      <c r="I1134" s="7">
        <v>1101.48</v>
      </c>
      <c r="J1134" s="8">
        <v>4</v>
      </c>
      <c r="K1134" s="7">
        <v>429.58</v>
      </c>
    </row>
    <row r="1135" spans="1:11" x14ac:dyDescent="0.3">
      <c r="A1135" s="2">
        <v>42440</v>
      </c>
      <c r="B1135" s="9">
        <f>MONTH(Table1[[#This Row],[Order Date]])</f>
        <v>3</v>
      </c>
      <c r="C1135" s="9">
        <f>YEAR(Table1[[#This Row],[Order Date]])</f>
        <v>2016</v>
      </c>
      <c r="D1135" t="s">
        <v>1125</v>
      </c>
      <c r="E1135" t="s">
        <v>33</v>
      </c>
      <c r="F1135" t="s">
        <v>34</v>
      </c>
      <c r="G1135" t="s">
        <v>47</v>
      </c>
      <c r="H1135" t="s">
        <v>2257</v>
      </c>
      <c r="I1135" s="7">
        <v>24.1</v>
      </c>
      <c r="J1135" s="8">
        <v>5</v>
      </c>
      <c r="K1135" s="7">
        <v>9.16</v>
      </c>
    </row>
    <row r="1136" spans="1:11" x14ac:dyDescent="0.3">
      <c r="A1136" s="2">
        <v>42440</v>
      </c>
      <c r="B1136" s="9">
        <f>MONTH(Table1[[#This Row],[Order Date]])</f>
        <v>3</v>
      </c>
      <c r="C1136" s="9">
        <f>YEAR(Table1[[#This Row],[Order Date]])</f>
        <v>2016</v>
      </c>
      <c r="D1136" t="s">
        <v>1125</v>
      </c>
      <c r="E1136" t="s">
        <v>33</v>
      </c>
      <c r="F1136" t="s">
        <v>11</v>
      </c>
      <c r="G1136" t="s">
        <v>24</v>
      </c>
      <c r="H1136" t="s">
        <v>804</v>
      </c>
      <c r="I1136" s="7">
        <v>8.75</v>
      </c>
      <c r="J1136" s="8">
        <v>1</v>
      </c>
      <c r="K1136" s="7">
        <v>2.63</v>
      </c>
    </row>
    <row r="1137" spans="1:11" x14ac:dyDescent="0.3">
      <c r="A1137" s="2">
        <v>42440</v>
      </c>
      <c r="B1137" s="9">
        <f>MONTH(Table1[[#This Row],[Order Date]])</f>
        <v>3</v>
      </c>
      <c r="C1137" s="9">
        <f>YEAR(Table1[[#This Row],[Order Date]])</f>
        <v>2016</v>
      </c>
      <c r="D1137" t="s">
        <v>1125</v>
      </c>
      <c r="E1137" t="s">
        <v>33</v>
      </c>
      <c r="F1137" t="s">
        <v>34</v>
      </c>
      <c r="G1137" t="s">
        <v>140</v>
      </c>
      <c r="H1137" t="s">
        <v>2477</v>
      </c>
      <c r="I1137" s="7">
        <v>842.94</v>
      </c>
      <c r="J1137" s="8">
        <v>3</v>
      </c>
      <c r="K1137" s="7">
        <v>160.16</v>
      </c>
    </row>
    <row r="1138" spans="1:11" x14ac:dyDescent="0.3">
      <c r="A1138" s="2">
        <v>42440</v>
      </c>
      <c r="B1138" s="9">
        <f>MONTH(Table1[[#This Row],[Order Date]])</f>
        <v>3</v>
      </c>
      <c r="C1138" s="9">
        <f>YEAR(Table1[[#This Row],[Order Date]])</f>
        <v>2016</v>
      </c>
      <c r="D1138" t="s">
        <v>107</v>
      </c>
      <c r="E1138" t="s">
        <v>27</v>
      </c>
      <c r="F1138" t="s">
        <v>11</v>
      </c>
      <c r="G1138" t="s">
        <v>92</v>
      </c>
      <c r="H1138" t="s">
        <v>1799</v>
      </c>
      <c r="I1138" s="7">
        <v>43.32</v>
      </c>
      <c r="J1138" s="8">
        <v>2</v>
      </c>
      <c r="K1138" s="7">
        <v>14.3</v>
      </c>
    </row>
    <row r="1139" spans="1:11" x14ac:dyDescent="0.3">
      <c r="A1139" s="2">
        <v>42440</v>
      </c>
      <c r="B1139" s="9">
        <f>MONTH(Table1[[#This Row],[Order Date]])</f>
        <v>3</v>
      </c>
      <c r="C1139" s="9">
        <f>YEAR(Table1[[#This Row],[Order Date]])</f>
        <v>2016</v>
      </c>
      <c r="D1139" t="s">
        <v>107</v>
      </c>
      <c r="E1139" t="s">
        <v>27</v>
      </c>
      <c r="F1139" t="s">
        <v>11</v>
      </c>
      <c r="G1139" t="s">
        <v>12</v>
      </c>
      <c r="H1139" t="s">
        <v>810</v>
      </c>
      <c r="I1139" s="7">
        <v>116.28</v>
      </c>
      <c r="J1139" s="8">
        <v>3</v>
      </c>
      <c r="K1139" s="7">
        <v>56.98</v>
      </c>
    </row>
    <row r="1140" spans="1:11" x14ac:dyDescent="0.3">
      <c r="A1140" s="2">
        <v>42440</v>
      </c>
      <c r="B1140" s="9">
        <f>MONTH(Table1[[#This Row],[Order Date]])</f>
        <v>3</v>
      </c>
      <c r="C1140" s="9">
        <f>YEAR(Table1[[#This Row],[Order Date]])</f>
        <v>2016</v>
      </c>
      <c r="D1140" t="s">
        <v>107</v>
      </c>
      <c r="E1140" t="s">
        <v>27</v>
      </c>
      <c r="F1140" t="s">
        <v>11</v>
      </c>
      <c r="G1140" t="s">
        <v>20</v>
      </c>
      <c r="H1140" t="s">
        <v>413</v>
      </c>
      <c r="I1140" s="7">
        <v>9.3000000000000007</v>
      </c>
      <c r="J1140" s="8">
        <v>2</v>
      </c>
      <c r="K1140" s="7">
        <v>3.02</v>
      </c>
    </row>
    <row r="1141" spans="1:11" x14ac:dyDescent="0.3">
      <c r="A1141" s="2">
        <v>42440</v>
      </c>
      <c r="B1141" s="9">
        <f>MONTH(Table1[[#This Row],[Order Date]])</f>
        <v>3</v>
      </c>
      <c r="C1141" s="9">
        <f>YEAR(Table1[[#This Row],[Order Date]])</f>
        <v>2016</v>
      </c>
      <c r="D1141" t="s">
        <v>107</v>
      </c>
      <c r="E1141" t="s">
        <v>27</v>
      </c>
      <c r="F1141" t="s">
        <v>11</v>
      </c>
      <c r="G1141" t="s">
        <v>12</v>
      </c>
      <c r="H1141" t="s">
        <v>1876</v>
      </c>
      <c r="I1141" s="7">
        <v>19.440000000000001</v>
      </c>
      <c r="J1141" s="8">
        <v>3</v>
      </c>
      <c r="K1141" s="7">
        <v>9.33</v>
      </c>
    </row>
    <row r="1142" spans="1:11" x14ac:dyDescent="0.3">
      <c r="A1142" s="2">
        <v>42440</v>
      </c>
      <c r="B1142" s="9">
        <f>MONTH(Table1[[#This Row],[Order Date]])</f>
        <v>3</v>
      </c>
      <c r="C1142" s="9">
        <f>YEAR(Table1[[#This Row],[Order Date]])</f>
        <v>2016</v>
      </c>
      <c r="D1142" t="s">
        <v>107</v>
      </c>
      <c r="E1142" t="s">
        <v>27</v>
      </c>
      <c r="F1142" t="s">
        <v>11</v>
      </c>
      <c r="G1142" t="s">
        <v>12</v>
      </c>
      <c r="H1142" t="s">
        <v>1627</v>
      </c>
      <c r="I1142" s="7">
        <v>314.55</v>
      </c>
      <c r="J1142" s="8">
        <v>3</v>
      </c>
      <c r="K1142" s="7">
        <v>150.97999999999999</v>
      </c>
    </row>
    <row r="1143" spans="1:11" x14ac:dyDescent="0.3">
      <c r="A1143" s="2">
        <v>42440</v>
      </c>
      <c r="B1143" s="9">
        <f>MONTH(Table1[[#This Row],[Order Date]])</f>
        <v>3</v>
      </c>
      <c r="C1143" s="9">
        <f>YEAR(Table1[[#This Row],[Order Date]])</f>
        <v>2016</v>
      </c>
      <c r="D1143" t="s">
        <v>828</v>
      </c>
      <c r="E1143" t="s">
        <v>91</v>
      </c>
      <c r="F1143" t="s">
        <v>39</v>
      </c>
      <c r="G1143" t="s">
        <v>293</v>
      </c>
      <c r="H1143" t="s">
        <v>2593</v>
      </c>
      <c r="I1143" s="7">
        <v>179.99</v>
      </c>
      <c r="J1143" s="8">
        <v>3</v>
      </c>
      <c r="K1143" s="7">
        <v>-251.99</v>
      </c>
    </row>
    <row r="1144" spans="1:11" x14ac:dyDescent="0.3">
      <c r="A1144" s="2">
        <v>42440</v>
      </c>
      <c r="B1144" s="9">
        <f>MONTH(Table1[[#This Row],[Order Date]])</f>
        <v>3</v>
      </c>
      <c r="C1144" s="9">
        <f>YEAR(Table1[[#This Row],[Order Date]])</f>
        <v>2016</v>
      </c>
      <c r="D1144" t="s">
        <v>1338</v>
      </c>
      <c r="E1144" t="s">
        <v>23</v>
      </c>
      <c r="F1144" t="s">
        <v>34</v>
      </c>
      <c r="G1144" t="s">
        <v>35</v>
      </c>
      <c r="H1144" t="s">
        <v>561</v>
      </c>
      <c r="I1144" s="7">
        <v>470.16</v>
      </c>
      <c r="J1144" s="8">
        <v>7</v>
      </c>
      <c r="K1144" s="7">
        <v>-13.43</v>
      </c>
    </row>
    <row r="1145" spans="1:11" x14ac:dyDescent="0.3">
      <c r="A1145" s="2">
        <v>42441</v>
      </c>
      <c r="B1145" s="9">
        <f>MONTH(Table1[[#This Row],[Order Date]])</f>
        <v>3</v>
      </c>
      <c r="C1145" s="9">
        <f>YEAR(Table1[[#This Row],[Order Date]])</f>
        <v>2016</v>
      </c>
      <c r="D1145" t="s">
        <v>2269</v>
      </c>
      <c r="E1145" t="s">
        <v>144</v>
      </c>
      <c r="F1145" t="s">
        <v>11</v>
      </c>
      <c r="G1145" t="s">
        <v>18</v>
      </c>
      <c r="H1145" t="s">
        <v>538</v>
      </c>
      <c r="I1145" s="7">
        <v>33.630000000000003</v>
      </c>
      <c r="J1145" s="8">
        <v>3</v>
      </c>
      <c r="K1145" s="7">
        <v>10.09</v>
      </c>
    </row>
    <row r="1146" spans="1:11" x14ac:dyDescent="0.3">
      <c r="A1146" s="2">
        <v>42441</v>
      </c>
      <c r="B1146" s="9">
        <f>MONTH(Table1[[#This Row],[Order Date]])</f>
        <v>3</v>
      </c>
      <c r="C1146" s="9">
        <f>YEAR(Table1[[#This Row],[Order Date]])</f>
        <v>2016</v>
      </c>
      <c r="D1146" t="s">
        <v>2184</v>
      </c>
      <c r="E1146" t="s">
        <v>27</v>
      </c>
      <c r="F1146" t="s">
        <v>34</v>
      </c>
      <c r="G1146" t="s">
        <v>47</v>
      </c>
      <c r="H1146" t="s">
        <v>1944</v>
      </c>
      <c r="I1146" s="7">
        <v>111.9</v>
      </c>
      <c r="J1146" s="8">
        <v>6</v>
      </c>
      <c r="K1146" s="7">
        <v>51.47</v>
      </c>
    </row>
    <row r="1147" spans="1:11" x14ac:dyDescent="0.3">
      <c r="A1147" s="2">
        <v>42441</v>
      </c>
      <c r="B1147" s="9">
        <f>MONTH(Table1[[#This Row],[Order Date]])</f>
        <v>3</v>
      </c>
      <c r="C1147" s="9">
        <f>YEAR(Table1[[#This Row],[Order Date]])</f>
        <v>2016</v>
      </c>
      <c r="D1147" t="s">
        <v>960</v>
      </c>
      <c r="E1147" t="s">
        <v>27</v>
      </c>
      <c r="F1147" t="s">
        <v>34</v>
      </c>
      <c r="G1147" t="s">
        <v>140</v>
      </c>
      <c r="H1147" t="s">
        <v>853</v>
      </c>
      <c r="I1147" s="7">
        <v>268.7</v>
      </c>
      <c r="J1147" s="8">
        <v>3</v>
      </c>
      <c r="K1147" s="7">
        <v>6.72</v>
      </c>
    </row>
    <row r="1148" spans="1:11" x14ac:dyDescent="0.3">
      <c r="A1148" s="2">
        <v>42463</v>
      </c>
      <c r="B1148" s="9">
        <f>MONTH(Table1[[#This Row],[Order Date]])</f>
        <v>4</v>
      </c>
      <c r="C1148" s="9">
        <f>YEAR(Table1[[#This Row],[Order Date]])</f>
        <v>2016</v>
      </c>
      <c r="D1148" t="s">
        <v>1820</v>
      </c>
      <c r="E1148" t="s">
        <v>27</v>
      </c>
      <c r="F1148" t="s">
        <v>11</v>
      </c>
      <c r="G1148" t="s">
        <v>24</v>
      </c>
      <c r="H1148" t="s">
        <v>2418</v>
      </c>
      <c r="I1148" s="7">
        <v>16.989999999999998</v>
      </c>
      <c r="J1148" s="8">
        <v>1</v>
      </c>
      <c r="K1148" s="7">
        <v>4.93</v>
      </c>
    </row>
    <row r="1149" spans="1:11" x14ac:dyDescent="0.3">
      <c r="A1149" s="2">
        <v>42464</v>
      </c>
      <c r="B1149" s="9">
        <f>MONTH(Table1[[#This Row],[Order Date]])</f>
        <v>4</v>
      </c>
      <c r="C1149" s="9">
        <f>YEAR(Table1[[#This Row],[Order Date]])</f>
        <v>2016</v>
      </c>
      <c r="D1149" t="s">
        <v>32</v>
      </c>
      <c r="E1149" t="s">
        <v>55</v>
      </c>
      <c r="F1149" t="s">
        <v>39</v>
      </c>
      <c r="G1149" t="s">
        <v>40</v>
      </c>
      <c r="H1149" t="s">
        <v>2408</v>
      </c>
      <c r="I1149" s="7">
        <v>149.97</v>
      </c>
      <c r="J1149" s="8">
        <v>3</v>
      </c>
      <c r="K1149" s="7">
        <v>6</v>
      </c>
    </row>
    <row r="1150" spans="1:11" x14ac:dyDescent="0.3">
      <c r="A1150" s="2">
        <v>42466</v>
      </c>
      <c r="B1150" s="9">
        <f>MONTH(Table1[[#This Row],[Order Date]])</f>
        <v>4</v>
      </c>
      <c r="C1150" s="9">
        <f>YEAR(Table1[[#This Row],[Order Date]])</f>
        <v>2016</v>
      </c>
      <c r="D1150" t="s">
        <v>988</v>
      </c>
      <c r="E1150" t="s">
        <v>15</v>
      </c>
      <c r="F1150" t="s">
        <v>34</v>
      </c>
      <c r="G1150" t="s">
        <v>47</v>
      </c>
      <c r="H1150" t="s">
        <v>2332</v>
      </c>
      <c r="I1150" s="7">
        <v>419.68</v>
      </c>
      <c r="J1150" s="8">
        <v>5</v>
      </c>
      <c r="K1150" s="7">
        <v>-356.73</v>
      </c>
    </row>
    <row r="1151" spans="1:11" x14ac:dyDescent="0.3">
      <c r="A1151" s="2">
        <v>42466</v>
      </c>
      <c r="B1151" s="9">
        <f>MONTH(Table1[[#This Row],[Order Date]])</f>
        <v>4</v>
      </c>
      <c r="C1151" s="9">
        <f>YEAR(Table1[[#This Row],[Order Date]])</f>
        <v>2016</v>
      </c>
      <c r="D1151" t="s">
        <v>988</v>
      </c>
      <c r="E1151" t="s">
        <v>15</v>
      </c>
      <c r="F1151" t="s">
        <v>39</v>
      </c>
      <c r="G1151" t="s">
        <v>40</v>
      </c>
      <c r="H1151" t="s">
        <v>1942</v>
      </c>
      <c r="I1151" s="7">
        <v>31.98</v>
      </c>
      <c r="J1151" s="8">
        <v>2</v>
      </c>
      <c r="K1151" s="7">
        <v>11.19</v>
      </c>
    </row>
    <row r="1152" spans="1:11" x14ac:dyDescent="0.3">
      <c r="A1152" s="2">
        <v>42466</v>
      </c>
      <c r="B1152" s="9">
        <f>MONTH(Table1[[#This Row],[Order Date]])</f>
        <v>4</v>
      </c>
      <c r="C1152" s="9">
        <f>YEAR(Table1[[#This Row],[Order Date]])</f>
        <v>2016</v>
      </c>
      <c r="D1152" t="s">
        <v>988</v>
      </c>
      <c r="E1152" t="s">
        <v>15</v>
      </c>
      <c r="F1152" t="s">
        <v>34</v>
      </c>
      <c r="G1152" t="s">
        <v>47</v>
      </c>
      <c r="H1152" t="s">
        <v>1589</v>
      </c>
      <c r="I1152" s="7">
        <v>4.04</v>
      </c>
      <c r="J1152" s="8">
        <v>3</v>
      </c>
      <c r="K1152" s="7">
        <v>-2.83</v>
      </c>
    </row>
    <row r="1153" spans="1:11" x14ac:dyDescent="0.3">
      <c r="A1153" s="2">
        <v>42466</v>
      </c>
      <c r="B1153" s="9">
        <f>MONTH(Table1[[#This Row],[Order Date]])</f>
        <v>4</v>
      </c>
      <c r="C1153" s="9">
        <f>YEAR(Table1[[#This Row],[Order Date]])</f>
        <v>2016</v>
      </c>
      <c r="D1153" t="s">
        <v>2044</v>
      </c>
      <c r="E1153" t="s">
        <v>144</v>
      </c>
      <c r="F1153" t="s">
        <v>39</v>
      </c>
      <c r="G1153" t="s">
        <v>293</v>
      </c>
      <c r="H1153" t="s">
        <v>2503</v>
      </c>
      <c r="I1153" s="7">
        <v>1349.85</v>
      </c>
      <c r="J1153" s="8">
        <v>3</v>
      </c>
      <c r="K1153" s="7">
        <v>364.46</v>
      </c>
    </row>
    <row r="1154" spans="1:11" x14ac:dyDescent="0.3">
      <c r="A1154" s="2">
        <v>42466</v>
      </c>
      <c r="B1154" s="9">
        <f>MONTH(Table1[[#This Row],[Order Date]])</f>
        <v>4</v>
      </c>
      <c r="C1154" s="9">
        <f>YEAR(Table1[[#This Row],[Order Date]])</f>
        <v>2016</v>
      </c>
      <c r="D1154" t="s">
        <v>2044</v>
      </c>
      <c r="E1154" t="s">
        <v>144</v>
      </c>
      <c r="F1154" t="s">
        <v>34</v>
      </c>
      <c r="G1154" t="s">
        <v>74</v>
      </c>
      <c r="H1154" t="s">
        <v>703</v>
      </c>
      <c r="I1154" s="7">
        <v>136.78</v>
      </c>
      <c r="J1154" s="8">
        <v>1</v>
      </c>
      <c r="K1154" s="7">
        <v>5.13</v>
      </c>
    </row>
    <row r="1155" spans="1:11" x14ac:dyDescent="0.3">
      <c r="A1155" s="2">
        <v>42467</v>
      </c>
      <c r="B1155" s="9">
        <f>MONTH(Table1[[#This Row],[Order Date]])</f>
        <v>4</v>
      </c>
      <c r="C1155" s="9">
        <f>YEAR(Table1[[#This Row],[Order Date]])</f>
        <v>2016</v>
      </c>
      <c r="D1155" t="s">
        <v>292</v>
      </c>
      <c r="E1155" t="s">
        <v>158</v>
      </c>
      <c r="F1155" t="s">
        <v>39</v>
      </c>
      <c r="G1155" t="s">
        <v>40</v>
      </c>
      <c r="H1155" t="s">
        <v>2331</v>
      </c>
      <c r="I1155" s="7">
        <v>177.48</v>
      </c>
      <c r="J1155" s="8">
        <v>3</v>
      </c>
      <c r="K1155" s="7">
        <v>19.97</v>
      </c>
    </row>
    <row r="1156" spans="1:11" x14ac:dyDescent="0.3">
      <c r="A1156" s="2">
        <v>42467</v>
      </c>
      <c r="B1156" s="9">
        <f>MONTH(Table1[[#This Row],[Order Date]])</f>
        <v>4</v>
      </c>
      <c r="C1156" s="9">
        <f>YEAR(Table1[[#This Row],[Order Date]])</f>
        <v>2016</v>
      </c>
      <c r="D1156" t="s">
        <v>292</v>
      </c>
      <c r="E1156" t="s">
        <v>158</v>
      </c>
      <c r="F1156" t="s">
        <v>39</v>
      </c>
      <c r="G1156" t="s">
        <v>40</v>
      </c>
      <c r="H1156" t="s">
        <v>2245</v>
      </c>
      <c r="I1156" s="7">
        <v>71.98</v>
      </c>
      <c r="J1156" s="8">
        <v>3</v>
      </c>
      <c r="K1156" s="7">
        <v>9</v>
      </c>
    </row>
    <row r="1157" spans="1:11" x14ac:dyDescent="0.3">
      <c r="A1157" s="2">
        <v>42468</v>
      </c>
      <c r="B1157" s="9">
        <f>MONTH(Table1[[#This Row],[Order Date]])</f>
        <v>4</v>
      </c>
      <c r="C1157" s="9">
        <f>YEAR(Table1[[#This Row],[Order Date]])</f>
        <v>2016</v>
      </c>
      <c r="D1157" t="s">
        <v>2549</v>
      </c>
      <c r="E1157" t="s">
        <v>55</v>
      </c>
      <c r="F1157" t="s">
        <v>11</v>
      </c>
      <c r="G1157" t="s">
        <v>16</v>
      </c>
      <c r="H1157" t="s">
        <v>2550</v>
      </c>
      <c r="I1157" s="7">
        <v>9.82</v>
      </c>
      <c r="J1157" s="8">
        <v>2</v>
      </c>
      <c r="K1157" s="7">
        <v>4.8099999999999996</v>
      </c>
    </row>
    <row r="1158" spans="1:11" x14ac:dyDescent="0.3">
      <c r="A1158" s="2">
        <v>42468</v>
      </c>
      <c r="B1158" s="9">
        <f>MONTH(Table1[[#This Row],[Order Date]])</f>
        <v>4</v>
      </c>
      <c r="C1158" s="9">
        <f>YEAR(Table1[[#This Row],[Order Date]])</f>
        <v>2016</v>
      </c>
      <c r="D1158" t="s">
        <v>206</v>
      </c>
      <c r="E1158" t="s">
        <v>27</v>
      </c>
      <c r="F1158" t="s">
        <v>11</v>
      </c>
      <c r="G1158" t="s">
        <v>20</v>
      </c>
      <c r="H1158" t="s">
        <v>145</v>
      </c>
      <c r="I1158" s="7">
        <v>11.78</v>
      </c>
      <c r="J1158" s="8">
        <v>3</v>
      </c>
      <c r="K1158" s="7">
        <v>3.98</v>
      </c>
    </row>
    <row r="1159" spans="1:11" x14ac:dyDescent="0.3">
      <c r="A1159" s="2">
        <v>42469</v>
      </c>
      <c r="B1159" s="9">
        <f>MONTH(Table1[[#This Row],[Order Date]])</f>
        <v>4</v>
      </c>
      <c r="C1159" s="9">
        <f>YEAR(Table1[[#This Row],[Order Date]])</f>
        <v>2016</v>
      </c>
      <c r="D1159" t="s">
        <v>385</v>
      </c>
      <c r="E1159" t="s">
        <v>144</v>
      </c>
      <c r="F1159" t="s">
        <v>11</v>
      </c>
      <c r="G1159" t="s">
        <v>20</v>
      </c>
      <c r="H1159" t="s">
        <v>1472</v>
      </c>
      <c r="I1159" s="7">
        <v>60.6</v>
      </c>
      <c r="J1159" s="8">
        <v>5</v>
      </c>
      <c r="K1159" s="7">
        <v>20.45</v>
      </c>
    </row>
    <row r="1160" spans="1:11" x14ac:dyDescent="0.3">
      <c r="A1160" s="2">
        <v>42469</v>
      </c>
      <c r="B1160" s="9">
        <f>MONTH(Table1[[#This Row],[Order Date]])</f>
        <v>4</v>
      </c>
      <c r="C1160" s="9">
        <f>YEAR(Table1[[#This Row],[Order Date]])</f>
        <v>2016</v>
      </c>
      <c r="D1160" t="s">
        <v>385</v>
      </c>
      <c r="E1160" t="s">
        <v>144</v>
      </c>
      <c r="F1160" t="s">
        <v>11</v>
      </c>
      <c r="G1160" t="s">
        <v>194</v>
      </c>
      <c r="H1160" t="s">
        <v>2563</v>
      </c>
      <c r="I1160" s="7">
        <v>22.72</v>
      </c>
      <c r="J1160" s="8">
        <v>4</v>
      </c>
      <c r="K1160" s="7">
        <v>6.59</v>
      </c>
    </row>
    <row r="1161" spans="1:11" x14ac:dyDescent="0.3">
      <c r="A1161" s="2">
        <v>42469</v>
      </c>
      <c r="B1161" s="9">
        <f>MONTH(Table1[[#This Row],[Order Date]])</f>
        <v>4</v>
      </c>
      <c r="C1161" s="9">
        <f>YEAR(Table1[[#This Row],[Order Date]])</f>
        <v>2016</v>
      </c>
      <c r="D1161" t="s">
        <v>122</v>
      </c>
      <c r="E1161" t="s">
        <v>27</v>
      </c>
      <c r="F1161" t="s">
        <v>34</v>
      </c>
      <c r="G1161" t="s">
        <v>47</v>
      </c>
      <c r="H1161" t="s">
        <v>2564</v>
      </c>
      <c r="I1161" s="7">
        <v>24.27</v>
      </c>
      <c r="J1161" s="8">
        <v>3</v>
      </c>
      <c r="K1161" s="7">
        <v>8.74</v>
      </c>
    </row>
    <row r="1162" spans="1:11" x14ac:dyDescent="0.3">
      <c r="A1162" s="2">
        <v>42470</v>
      </c>
      <c r="B1162" s="9">
        <f>MONTH(Table1[[#This Row],[Order Date]])</f>
        <v>4</v>
      </c>
      <c r="C1162" s="9">
        <f>YEAR(Table1[[#This Row],[Order Date]])</f>
        <v>2016</v>
      </c>
      <c r="D1162" t="s">
        <v>1668</v>
      </c>
      <c r="E1162" t="s">
        <v>10</v>
      </c>
      <c r="F1162" t="s">
        <v>11</v>
      </c>
      <c r="G1162" t="s">
        <v>63</v>
      </c>
      <c r="H1162" t="s">
        <v>1674</v>
      </c>
      <c r="I1162" s="7">
        <v>59.75</v>
      </c>
      <c r="J1162" s="8">
        <v>7</v>
      </c>
      <c r="K1162" s="7">
        <v>19.420000000000002</v>
      </c>
    </row>
    <row r="1163" spans="1:11" x14ac:dyDescent="0.3">
      <c r="A1163" s="2">
        <v>42470</v>
      </c>
      <c r="B1163" s="9">
        <f>MONTH(Table1[[#This Row],[Order Date]])</f>
        <v>4</v>
      </c>
      <c r="C1163" s="9">
        <f>YEAR(Table1[[#This Row],[Order Date]])</f>
        <v>2016</v>
      </c>
      <c r="D1163" t="s">
        <v>389</v>
      </c>
      <c r="E1163" t="s">
        <v>1494</v>
      </c>
      <c r="F1163" t="s">
        <v>11</v>
      </c>
      <c r="G1163" t="s">
        <v>20</v>
      </c>
      <c r="H1163" t="s">
        <v>687</v>
      </c>
      <c r="I1163" s="7">
        <v>30.4</v>
      </c>
      <c r="J1163" s="8">
        <v>1</v>
      </c>
      <c r="K1163" s="7">
        <v>13.98</v>
      </c>
    </row>
    <row r="1164" spans="1:11" x14ac:dyDescent="0.3">
      <c r="A1164" s="2">
        <v>42470</v>
      </c>
      <c r="B1164" s="9">
        <f>MONTH(Table1[[#This Row],[Order Date]])</f>
        <v>4</v>
      </c>
      <c r="C1164" s="9">
        <f>YEAR(Table1[[#This Row],[Order Date]])</f>
        <v>2016</v>
      </c>
      <c r="D1164" t="s">
        <v>389</v>
      </c>
      <c r="E1164" t="s">
        <v>1494</v>
      </c>
      <c r="F1164" t="s">
        <v>11</v>
      </c>
      <c r="G1164" t="s">
        <v>18</v>
      </c>
      <c r="H1164" t="s">
        <v>2583</v>
      </c>
      <c r="I1164" s="7">
        <v>119.1</v>
      </c>
      <c r="J1164" s="8">
        <v>3</v>
      </c>
      <c r="K1164" s="7">
        <v>34.54</v>
      </c>
    </row>
    <row r="1165" spans="1:11" x14ac:dyDescent="0.3">
      <c r="A1165" s="2">
        <v>42470</v>
      </c>
      <c r="B1165" s="9">
        <f>MONTH(Table1[[#This Row],[Order Date]])</f>
        <v>4</v>
      </c>
      <c r="C1165" s="9">
        <f>YEAR(Table1[[#This Row],[Order Date]])</f>
        <v>2016</v>
      </c>
      <c r="D1165" t="s">
        <v>50</v>
      </c>
      <c r="E1165" t="s">
        <v>517</v>
      </c>
      <c r="F1165" t="s">
        <v>34</v>
      </c>
      <c r="G1165" t="s">
        <v>140</v>
      </c>
      <c r="H1165" t="s">
        <v>2360</v>
      </c>
      <c r="I1165" s="7">
        <v>239.37</v>
      </c>
      <c r="J1165" s="8">
        <v>2</v>
      </c>
      <c r="K1165" s="7">
        <v>-23.94</v>
      </c>
    </row>
    <row r="1166" spans="1:11" x14ac:dyDescent="0.3">
      <c r="A1166" s="2">
        <v>42471</v>
      </c>
      <c r="B1166" s="9">
        <f>MONTH(Table1[[#This Row],[Order Date]])</f>
        <v>4</v>
      </c>
      <c r="C1166" s="9">
        <f>YEAR(Table1[[#This Row],[Order Date]])</f>
        <v>2016</v>
      </c>
      <c r="D1166" t="s">
        <v>1701</v>
      </c>
      <c r="E1166" t="s">
        <v>33</v>
      </c>
      <c r="F1166" t="s">
        <v>11</v>
      </c>
      <c r="G1166" t="s">
        <v>43</v>
      </c>
      <c r="H1166" t="s">
        <v>1012</v>
      </c>
      <c r="I1166" s="7">
        <v>10.74</v>
      </c>
      <c r="J1166" s="8">
        <v>3</v>
      </c>
      <c r="K1166" s="7">
        <v>5.26</v>
      </c>
    </row>
    <row r="1167" spans="1:11" x14ac:dyDescent="0.3">
      <c r="A1167" s="2">
        <v>42471</v>
      </c>
      <c r="B1167" s="9">
        <f>MONTH(Table1[[#This Row],[Order Date]])</f>
        <v>4</v>
      </c>
      <c r="C1167" s="9">
        <f>YEAR(Table1[[#This Row],[Order Date]])</f>
        <v>2016</v>
      </c>
      <c r="D1167" t="s">
        <v>1886</v>
      </c>
      <c r="E1167" t="s">
        <v>91</v>
      </c>
      <c r="F1167" t="s">
        <v>11</v>
      </c>
      <c r="G1167" t="s">
        <v>194</v>
      </c>
      <c r="H1167" t="s">
        <v>1483</v>
      </c>
      <c r="I1167" s="7">
        <v>17.579999999999998</v>
      </c>
      <c r="J1167" s="8">
        <v>7</v>
      </c>
      <c r="K1167" s="7">
        <v>-4.18</v>
      </c>
    </row>
    <row r="1168" spans="1:11" x14ac:dyDescent="0.3">
      <c r="A1168" s="2">
        <v>42471</v>
      </c>
      <c r="B1168" s="9">
        <f>MONTH(Table1[[#This Row],[Order Date]])</f>
        <v>4</v>
      </c>
      <c r="C1168" s="9">
        <f>YEAR(Table1[[#This Row],[Order Date]])</f>
        <v>2016</v>
      </c>
      <c r="D1168" t="s">
        <v>1886</v>
      </c>
      <c r="E1168" t="s">
        <v>91</v>
      </c>
      <c r="F1168" t="s">
        <v>11</v>
      </c>
      <c r="G1168" t="s">
        <v>12</v>
      </c>
      <c r="H1168" t="s">
        <v>297</v>
      </c>
      <c r="I1168" s="7">
        <v>15.18</v>
      </c>
      <c r="J1168" s="8">
        <v>1</v>
      </c>
      <c r="K1168" s="7">
        <v>5.31</v>
      </c>
    </row>
    <row r="1169" spans="1:11" x14ac:dyDescent="0.3">
      <c r="A1169" s="2">
        <v>42471</v>
      </c>
      <c r="B1169" s="9">
        <f>MONTH(Table1[[#This Row],[Order Date]])</f>
        <v>4</v>
      </c>
      <c r="C1169" s="9">
        <f>YEAR(Table1[[#This Row],[Order Date]])</f>
        <v>2016</v>
      </c>
      <c r="D1169" t="s">
        <v>2371</v>
      </c>
      <c r="E1169" t="s">
        <v>237</v>
      </c>
      <c r="F1169" t="s">
        <v>34</v>
      </c>
      <c r="G1169" t="s">
        <v>140</v>
      </c>
      <c r="H1169" t="s">
        <v>1613</v>
      </c>
      <c r="I1169" s="7">
        <v>876.3</v>
      </c>
      <c r="J1169" s="8">
        <v>10</v>
      </c>
      <c r="K1169" s="7">
        <v>-292.10000000000002</v>
      </c>
    </row>
    <row r="1170" spans="1:11" x14ac:dyDescent="0.3">
      <c r="A1170" s="2">
        <v>42471</v>
      </c>
      <c r="B1170" s="9">
        <f>MONTH(Table1[[#This Row],[Order Date]])</f>
        <v>4</v>
      </c>
      <c r="C1170" s="9">
        <f>YEAR(Table1[[#This Row],[Order Date]])</f>
        <v>2016</v>
      </c>
      <c r="D1170" t="s">
        <v>2371</v>
      </c>
      <c r="E1170" t="s">
        <v>237</v>
      </c>
      <c r="F1170" t="s">
        <v>11</v>
      </c>
      <c r="G1170" t="s">
        <v>194</v>
      </c>
      <c r="H1170" t="s">
        <v>2465</v>
      </c>
      <c r="I1170" s="7">
        <v>185.38</v>
      </c>
      <c r="J1170" s="8">
        <v>2</v>
      </c>
      <c r="K1170" s="7">
        <v>-34.76</v>
      </c>
    </row>
    <row r="1171" spans="1:11" x14ac:dyDescent="0.3">
      <c r="A1171" s="2">
        <v>42471</v>
      </c>
      <c r="B1171" s="9">
        <f>MONTH(Table1[[#This Row],[Order Date]])</f>
        <v>4</v>
      </c>
      <c r="C1171" s="9">
        <f>YEAR(Table1[[#This Row],[Order Date]])</f>
        <v>2016</v>
      </c>
      <c r="D1171" t="s">
        <v>659</v>
      </c>
      <c r="E1171" t="s">
        <v>27</v>
      </c>
      <c r="F1171" t="s">
        <v>39</v>
      </c>
      <c r="G1171" t="s">
        <v>293</v>
      </c>
      <c r="H1171" t="s">
        <v>2594</v>
      </c>
      <c r="I1171" s="7">
        <v>686.4</v>
      </c>
      <c r="J1171" s="8">
        <v>2</v>
      </c>
      <c r="K1171" s="7">
        <v>77.22</v>
      </c>
    </row>
    <row r="1172" spans="1:11" x14ac:dyDescent="0.3">
      <c r="A1172" s="2">
        <v>42472</v>
      </c>
      <c r="B1172" s="9">
        <f>MONTH(Table1[[#This Row],[Order Date]])</f>
        <v>4</v>
      </c>
      <c r="C1172" s="9">
        <f>YEAR(Table1[[#This Row],[Order Date]])</f>
        <v>2016</v>
      </c>
      <c r="D1172" t="s">
        <v>1206</v>
      </c>
      <c r="E1172" t="s">
        <v>144</v>
      </c>
      <c r="F1172" t="s">
        <v>11</v>
      </c>
      <c r="G1172" t="s">
        <v>20</v>
      </c>
      <c r="H1172" t="s">
        <v>1607</v>
      </c>
      <c r="I1172" s="7">
        <v>1.73</v>
      </c>
      <c r="J1172" s="8">
        <v>1</v>
      </c>
      <c r="K1172" s="7">
        <v>0.6</v>
      </c>
    </row>
    <row r="1173" spans="1:11" x14ac:dyDescent="0.3">
      <c r="A1173" s="2">
        <v>42472</v>
      </c>
      <c r="B1173" s="9">
        <f>MONTH(Table1[[#This Row],[Order Date]])</f>
        <v>4</v>
      </c>
      <c r="C1173" s="9">
        <f>YEAR(Table1[[#This Row],[Order Date]])</f>
        <v>2016</v>
      </c>
      <c r="D1173" t="s">
        <v>1206</v>
      </c>
      <c r="E1173" t="s">
        <v>144</v>
      </c>
      <c r="F1173" t="s">
        <v>11</v>
      </c>
      <c r="G1173" t="s">
        <v>18</v>
      </c>
      <c r="H1173" t="s">
        <v>2301</v>
      </c>
      <c r="I1173" s="7">
        <v>182.94</v>
      </c>
      <c r="J1173" s="8">
        <v>3</v>
      </c>
      <c r="K1173" s="7">
        <v>3.66</v>
      </c>
    </row>
    <row r="1174" spans="1:11" x14ac:dyDescent="0.3">
      <c r="A1174" s="2">
        <v>42472</v>
      </c>
      <c r="B1174" s="9">
        <f>MONTH(Table1[[#This Row],[Order Date]])</f>
        <v>4</v>
      </c>
      <c r="C1174" s="9">
        <f>YEAR(Table1[[#This Row],[Order Date]])</f>
        <v>2016</v>
      </c>
      <c r="D1174" t="s">
        <v>1206</v>
      </c>
      <c r="E1174" t="s">
        <v>144</v>
      </c>
      <c r="F1174" t="s">
        <v>11</v>
      </c>
      <c r="G1174" t="s">
        <v>18</v>
      </c>
      <c r="H1174" t="s">
        <v>2585</v>
      </c>
      <c r="I1174" s="7">
        <v>193.86</v>
      </c>
      <c r="J1174" s="8">
        <v>2</v>
      </c>
      <c r="K1174" s="7">
        <v>11.63</v>
      </c>
    </row>
    <row r="1175" spans="1:11" x14ac:dyDescent="0.3">
      <c r="A1175" s="2">
        <v>42472</v>
      </c>
      <c r="B1175" s="9">
        <f>MONTH(Table1[[#This Row],[Order Date]])</f>
        <v>4</v>
      </c>
      <c r="C1175" s="9">
        <f>YEAR(Table1[[#This Row],[Order Date]])</f>
        <v>2016</v>
      </c>
      <c r="D1175" t="s">
        <v>720</v>
      </c>
      <c r="E1175" t="s">
        <v>144</v>
      </c>
      <c r="F1175" t="s">
        <v>11</v>
      </c>
      <c r="G1175" t="s">
        <v>18</v>
      </c>
      <c r="H1175" t="s">
        <v>2620</v>
      </c>
      <c r="I1175" s="7">
        <v>212.88</v>
      </c>
      <c r="J1175" s="8">
        <v>6</v>
      </c>
      <c r="K1175" s="7">
        <v>0</v>
      </c>
    </row>
    <row r="1176" spans="1:11" x14ac:dyDescent="0.3">
      <c r="A1176" s="2">
        <v>42472</v>
      </c>
      <c r="B1176" s="9">
        <f>MONTH(Table1[[#This Row],[Order Date]])</f>
        <v>4</v>
      </c>
      <c r="C1176" s="9">
        <f>YEAR(Table1[[#This Row],[Order Date]])</f>
        <v>2016</v>
      </c>
      <c r="D1176" t="s">
        <v>857</v>
      </c>
      <c r="E1176" t="s">
        <v>144</v>
      </c>
      <c r="F1176" t="s">
        <v>11</v>
      </c>
      <c r="G1176" t="s">
        <v>20</v>
      </c>
      <c r="H1176" t="s">
        <v>1336</v>
      </c>
      <c r="I1176" s="7">
        <v>15.53</v>
      </c>
      <c r="J1176" s="8">
        <v>3</v>
      </c>
      <c r="K1176" s="7">
        <v>5.82</v>
      </c>
    </row>
    <row r="1177" spans="1:11" x14ac:dyDescent="0.3">
      <c r="A1177" s="2">
        <v>42472</v>
      </c>
      <c r="B1177" s="9">
        <f>MONTH(Table1[[#This Row],[Order Date]])</f>
        <v>4</v>
      </c>
      <c r="C1177" s="9">
        <f>YEAR(Table1[[#This Row],[Order Date]])</f>
        <v>2016</v>
      </c>
      <c r="D1177" t="s">
        <v>1226</v>
      </c>
      <c r="E1177" t="s">
        <v>27</v>
      </c>
      <c r="F1177" t="s">
        <v>11</v>
      </c>
      <c r="G1177" t="s">
        <v>12</v>
      </c>
      <c r="H1177" t="s">
        <v>2198</v>
      </c>
      <c r="I1177" s="7">
        <v>104.85</v>
      </c>
      <c r="J1177" s="8">
        <v>1</v>
      </c>
      <c r="K1177" s="7">
        <v>50.33</v>
      </c>
    </row>
    <row r="1178" spans="1:11" x14ac:dyDescent="0.3">
      <c r="A1178" s="2">
        <v>42491</v>
      </c>
      <c r="B1178" s="9">
        <f>MONTH(Table1[[#This Row],[Order Date]])</f>
        <v>5</v>
      </c>
      <c r="C1178" s="9">
        <f>YEAR(Table1[[#This Row],[Order Date]])</f>
        <v>2016</v>
      </c>
      <c r="D1178" t="s">
        <v>656</v>
      </c>
      <c r="E1178" t="s">
        <v>120</v>
      </c>
      <c r="F1178" t="s">
        <v>11</v>
      </c>
      <c r="G1178" t="s">
        <v>24</v>
      </c>
      <c r="H1178" t="s">
        <v>2389</v>
      </c>
      <c r="I1178" s="7">
        <v>5.25</v>
      </c>
      <c r="J1178" s="8">
        <v>2</v>
      </c>
      <c r="K1178" s="7">
        <v>0.59</v>
      </c>
    </row>
    <row r="1179" spans="1:11" x14ac:dyDescent="0.3">
      <c r="A1179" s="2">
        <v>42492</v>
      </c>
      <c r="B1179" s="9">
        <f>MONTH(Table1[[#This Row],[Order Date]])</f>
        <v>5</v>
      </c>
      <c r="C1179" s="9">
        <f>YEAR(Table1[[#This Row],[Order Date]])</f>
        <v>2016</v>
      </c>
      <c r="D1179" t="s">
        <v>1152</v>
      </c>
      <c r="E1179" t="s">
        <v>30</v>
      </c>
      <c r="F1179" t="s">
        <v>11</v>
      </c>
      <c r="G1179" t="s">
        <v>43</v>
      </c>
      <c r="H1179" t="s">
        <v>1280</v>
      </c>
      <c r="I1179" s="7">
        <v>9.4499999999999993</v>
      </c>
      <c r="J1179" s="8">
        <v>5</v>
      </c>
      <c r="K1179" s="7">
        <v>0.19</v>
      </c>
    </row>
    <row r="1180" spans="1:11" x14ac:dyDescent="0.3">
      <c r="A1180" s="2">
        <v>42492</v>
      </c>
      <c r="B1180" s="9">
        <f>MONTH(Table1[[#This Row],[Order Date]])</f>
        <v>5</v>
      </c>
      <c r="C1180" s="9">
        <f>YEAR(Table1[[#This Row],[Order Date]])</f>
        <v>2016</v>
      </c>
      <c r="D1180" t="s">
        <v>1152</v>
      </c>
      <c r="E1180" t="s">
        <v>30</v>
      </c>
      <c r="F1180" t="s">
        <v>34</v>
      </c>
      <c r="G1180" t="s">
        <v>74</v>
      </c>
      <c r="H1180" t="s">
        <v>1596</v>
      </c>
      <c r="I1180" s="7">
        <v>239.98</v>
      </c>
      <c r="J1180" s="8">
        <v>2</v>
      </c>
      <c r="K1180" s="7">
        <v>52.8</v>
      </c>
    </row>
    <row r="1181" spans="1:11" x14ac:dyDescent="0.3">
      <c r="A1181" s="2">
        <v>42492</v>
      </c>
      <c r="B1181" s="9">
        <f>MONTH(Table1[[#This Row],[Order Date]])</f>
        <v>5</v>
      </c>
      <c r="C1181" s="9">
        <f>YEAR(Table1[[#This Row],[Order Date]])</f>
        <v>2016</v>
      </c>
      <c r="D1181" t="s">
        <v>1152</v>
      </c>
      <c r="E1181" t="s">
        <v>30</v>
      </c>
      <c r="F1181" t="s">
        <v>11</v>
      </c>
      <c r="G1181" t="s">
        <v>63</v>
      </c>
      <c r="H1181" t="s">
        <v>1588</v>
      </c>
      <c r="I1181" s="7">
        <v>167.96</v>
      </c>
      <c r="J1181" s="8">
        <v>2</v>
      </c>
      <c r="K1181" s="7">
        <v>78.94</v>
      </c>
    </row>
    <row r="1182" spans="1:11" x14ac:dyDescent="0.3">
      <c r="A1182" s="2">
        <v>42492</v>
      </c>
      <c r="B1182" s="9">
        <f>MONTH(Table1[[#This Row],[Order Date]])</f>
        <v>5</v>
      </c>
      <c r="C1182" s="9">
        <f>YEAR(Table1[[#This Row],[Order Date]])</f>
        <v>2016</v>
      </c>
      <c r="D1182" t="s">
        <v>1152</v>
      </c>
      <c r="E1182" t="s">
        <v>30</v>
      </c>
      <c r="F1182" t="s">
        <v>11</v>
      </c>
      <c r="G1182" t="s">
        <v>12</v>
      </c>
      <c r="H1182" t="s">
        <v>1943</v>
      </c>
      <c r="I1182" s="7">
        <v>122.97</v>
      </c>
      <c r="J1182" s="8">
        <v>3</v>
      </c>
      <c r="K1182" s="7">
        <v>60.26</v>
      </c>
    </row>
    <row r="1183" spans="1:11" x14ac:dyDescent="0.3">
      <c r="A1183" s="2">
        <v>42492</v>
      </c>
      <c r="B1183" s="9">
        <f>MONTH(Table1[[#This Row],[Order Date]])</f>
        <v>5</v>
      </c>
      <c r="C1183" s="9">
        <f>YEAR(Table1[[#This Row],[Order Date]])</f>
        <v>2016</v>
      </c>
      <c r="D1183" t="s">
        <v>1152</v>
      </c>
      <c r="E1183" t="s">
        <v>30</v>
      </c>
      <c r="F1183" t="s">
        <v>11</v>
      </c>
      <c r="G1183" t="s">
        <v>12</v>
      </c>
      <c r="H1183" t="s">
        <v>2318</v>
      </c>
      <c r="I1183" s="7">
        <v>342.37</v>
      </c>
      <c r="J1183" s="8">
        <v>7</v>
      </c>
      <c r="K1183" s="7">
        <v>160.91</v>
      </c>
    </row>
    <row r="1184" spans="1:11" x14ac:dyDescent="0.3">
      <c r="A1184" s="2">
        <v>42492</v>
      </c>
      <c r="B1184" s="9">
        <f>MONTH(Table1[[#This Row],[Order Date]])</f>
        <v>5</v>
      </c>
      <c r="C1184" s="9">
        <f>YEAR(Table1[[#This Row],[Order Date]])</f>
        <v>2016</v>
      </c>
      <c r="D1184" t="s">
        <v>318</v>
      </c>
      <c r="E1184" t="s">
        <v>27</v>
      </c>
      <c r="F1184" t="s">
        <v>11</v>
      </c>
      <c r="G1184" t="s">
        <v>18</v>
      </c>
      <c r="H1184" t="s">
        <v>1367</v>
      </c>
      <c r="I1184" s="7">
        <v>186.54</v>
      </c>
      <c r="J1184" s="8">
        <v>3</v>
      </c>
      <c r="K1184" s="7">
        <v>50.37</v>
      </c>
    </row>
    <row r="1185" spans="1:11" x14ac:dyDescent="0.3">
      <c r="A1185" s="2">
        <v>42494</v>
      </c>
      <c r="B1185" s="9">
        <f>MONTH(Table1[[#This Row],[Order Date]])</f>
        <v>5</v>
      </c>
      <c r="C1185" s="9">
        <f>YEAR(Table1[[#This Row],[Order Date]])</f>
        <v>2016</v>
      </c>
      <c r="D1185" t="s">
        <v>2034</v>
      </c>
      <c r="E1185" t="s">
        <v>23</v>
      </c>
      <c r="F1185" t="s">
        <v>39</v>
      </c>
      <c r="G1185" t="s">
        <v>40</v>
      </c>
      <c r="H1185" t="s">
        <v>2439</v>
      </c>
      <c r="I1185" s="7">
        <v>118.78</v>
      </c>
      <c r="J1185" s="8">
        <v>3</v>
      </c>
      <c r="K1185" s="7">
        <v>-27.72</v>
      </c>
    </row>
    <row r="1186" spans="1:11" x14ac:dyDescent="0.3">
      <c r="A1186" s="2">
        <v>42494</v>
      </c>
      <c r="B1186" s="9">
        <f>MONTH(Table1[[#This Row],[Order Date]])</f>
        <v>5</v>
      </c>
      <c r="C1186" s="9">
        <f>YEAR(Table1[[#This Row],[Order Date]])</f>
        <v>2016</v>
      </c>
      <c r="D1186" t="s">
        <v>2034</v>
      </c>
      <c r="E1186" t="s">
        <v>23</v>
      </c>
      <c r="F1186" t="s">
        <v>11</v>
      </c>
      <c r="G1186" t="s">
        <v>194</v>
      </c>
      <c r="H1186" t="s">
        <v>1484</v>
      </c>
      <c r="I1186" s="7">
        <v>769.18</v>
      </c>
      <c r="J1186" s="8">
        <v>4</v>
      </c>
      <c r="K1186" s="7">
        <v>-163.44999999999999</v>
      </c>
    </row>
    <row r="1187" spans="1:11" x14ac:dyDescent="0.3">
      <c r="A1187" s="2">
        <v>42495</v>
      </c>
      <c r="B1187" s="9">
        <f>MONTH(Table1[[#This Row],[Order Date]])</f>
        <v>5</v>
      </c>
      <c r="C1187" s="9">
        <f>YEAR(Table1[[#This Row],[Order Date]])</f>
        <v>2016</v>
      </c>
      <c r="D1187" t="s">
        <v>717</v>
      </c>
      <c r="E1187" t="s">
        <v>117</v>
      </c>
      <c r="F1187" t="s">
        <v>11</v>
      </c>
      <c r="G1187" t="s">
        <v>12</v>
      </c>
      <c r="H1187" t="s">
        <v>964</v>
      </c>
      <c r="I1187" s="7">
        <v>14.35</v>
      </c>
      <c r="J1187" s="8">
        <v>3</v>
      </c>
      <c r="K1187" s="7">
        <v>5.2</v>
      </c>
    </row>
    <row r="1188" spans="1:11" x14ac:dyDescent="0.3">
      <c r="A1188" s="2">
        <v>42495</v>
      </c>
      <c r="B1188" s="9">
        <f>MONTH(Table1[[#This Row],[Order Date]])</f>
        <v>5</v>
      </c>
      <c r="C1188" s="9">
        <f>YEAR(Table1[[#This Row],[Order Date]])</f>
        <v>2016</v>
      </c>
      <c r="D1188" t="s">
        <v>1346</v>
      </c>
      <c r="E1188" t="s">
        <v>27</v>
      </c>
      <c r="F1188" t="s">
        <v>39</v>
      </c>
      <c r="G1188" t="s">
        <v>40</v>
      </c>
      <c r="H1188" t="s">
        <v>2364</v>
      </c>
      <c r="I1188" s="7">
        <v>246.17</v>
      </c>
      <c r="J1188" s="8">
        <v>3</v>
      </c>
      <c r="K1188" s="7">
        <v>21.54</v>
      </c>
    </row>
    <row r="1189" spans="1:11" x14ac:dyDescent="0.3">
      <c r="A1189" s="2">
        <v>42495</v>
      </c>
      <c r="B1189" s="9">
        <f>MONTH(Table1[[#This Row],[Order Date]])</f>
        <v>5</v>
      </c>
      <c r="C1189" s="9">
        <f>YEAR(Table1[[#This Row],[Order Date]])</f>
        <v>2016</v>
      </c>
      <c r="D1189" t="s">
        <v>1276</v>
      </c>
      <c r="E1189" t="s">
        <v>27</v>
      </c>
      <c r="F1189" t="s">
        <v>11</v>
      </c>
      <c r="G1189" t="s">
        <v>20</v>
      </c>
      <c r="H1189" t="s">
        <v>1453</v>
      </c>
      <c r="I1189" s="7">
        <v>6.72</v>
      </c>
      <c r="J1189" s="8">
        <v>5</v>
      </c>
      <c r="K1189" s="7">
        <v>2.35</v>
      </c>
    </row>
    <row r="1190" spans="1:11" x14ac:dyDescent="0.3">
      <c r="A1190" s="2">
        <v>42495</v>
      </c>
      <c r="B1190" s="9">
        <f>MONTH(Table1[[#This Row],[Order Date]])</f>
        <v>5</v>
      </c>
      <c r="C1190" s="9">
        <f>YEAR(Table1[[#This Row],[Order Date]])</f>
        <v>2016</v>
      </c>
      <c r="D1190" t="s">
        <v>292</v>
      </c>
      <c r="E1190" t="s">
        <v>120</v>
      </c>
      <c r="F1190" t="s">
        <v>11</v>
      </c>
      <c r="G1190" t="s">
        <v>12</v>
      </c>
      <c r="H1190" t="s">
        <v>2478</v>
      </c>
      <c r="I1190" s="7">
        <v>93.25</v>
      </c>
      <c r="J1190" s="8">
        <v>4</v>
      </c>
      <c r="K1190" s="7">
        <v>31.47</v>
      </c>
    </row>
    <row r="1191" spans="1:11" x14ac:dyDescent="0.3">
      <c r="A1191" s="2">
        <v>42496</v>
      </c>
      <c r="B1191" s="9">
        <f>MONTH(Table1[[#This Row],[Order Date]])</f>
        <v>5</v>
      </c>
      <c r="C1191" s="9">
        <f>YEAR(Table1[[#This Row],[Order Date]])</f>
        <v>2016</v>
      </c>
      <c r="D1191" t="s">
        <v>592</v>
      </c>
      <c r="E1191" t="s">
        <v>23</v>
      </c>
      <c r="F1191" t="s">
        <v>11</v>
      </c>
      <c r="G1191" t="s">
        <v>18</v>
      </c>
      <c r="H1191" t="s">
        <v>1450</v>
      </c>
      <c r="I1191" s="7">
        <v>124.61</v>
      </c>
      <c r="J1191" s="8">
        <v>4</v>
      </c>
      <c r="K1191" s="7">
        <v>-23.36</v>
      </c>
    </row>
    <row r="1192" spans="1:11" x14ac:dyDescent="0.3">
      <c r="A1192" s="2">
        <v>42498</v>
      </c>
      <c r="B1192" s="9">
        <f>MONTH(Table1[[#This Row],[Order Date]])</f>
        <v>5</v>
      </c>
      <c r="C1192" s="9">
        <f>YEAR(Table1[[#This Row],[Order Date]])</f>
        <v>2016</v>
      </c>
      <c r="D1192" t="s">
        <v>1823</v>
      </c>
      <c r="E1192" t="s">
        <v>474</v>
      </c>
      <c r="F1192" t="s">
        <v>11</v>
      </c>
      <c r="G1192" t="s">
        <v>24</v>
      </c>
      <c r="H1192" t="s">
        <v>2091</v>
      </c>
      <c r="I1192" s="7">
        <v>197.05</v>
      </c>
      <c r="J1192" s="8">
        <v>7</v>
      </c>
      <c r="K1192" s="7">
        <v>59.12</v>
      </c>
    </row>
    <row r="1193" spans="1:11" x14ac:dyDescent="0.3">
      <c r="A1193" s="2">
        <v>42499</v>
      </c>
      <c r="B1193" s="9">
        <f>MONTH(Table1[[#This Row],[Order Date]])</f>
        <v>5</v>
      </c>
      <c r="C1193" s="9">
        <f>YEAR(Table1[[#This Row],[Order Date]])</f>
        <v>2016</v>
      </c>
      <c r="D1193" t="s">
        <v>1557</v>
      </c>
      <c r="E1193" t="s">
        <v>108</v>
      </c>
      <c r="F1193" t="s">
        <v>11</v>
      </c>
      <c r="G1193" t="s">
        <v>18</v>
      </c>
      <c r="H1193" t="s">
        <v>2319</v>
      </c>
      <c r="I1193" s="7">
        <v>194.94</v>
      </c>
      <c r="J1193" s="8">
        <v>3</v>
      </c>
      <c r="K1193" s="7">
        <v>23.39</v>
      </c>
    </row>
    <row r="1194" spans="1:11" x14ac:dyDescent="0.3">
      <c r="A1194" s="2">
        <v>42499</v>
      </c>
      <c r="B1194" s="9">
        <f>MONTH(Table1[[#This Row],[Order Date]])</f>
        <v>5</v>
      </c>
      <c r="C1194" s="9">
        <f>YEAR(Table1[[#This Row],[Order Date]])</f>
        <v>2016</v>
      </c>
      <c r="D1194" t="s">
        <v>1557</v>
      </c>
      <c r="E1194" t="s">
        <v>108</v>
      </c>
      <c r="F1194" t="s">
        <v>11</v>
      </c>
      <c r="G1194" t="s">
        <v>18</v>
      </c>
      <c r="H1194" t="s">
        <v>977</v>
      </c>
      <c r="I1194" s="7">
        <v>70.95</v>
      </c>
      <c r="J1194" s="8">
        <v>3</v>
      </c>
      <c r="K1194" s="7">
        <v>20.58</v>
      </c>
    </row>
    <row r="1195" spans="1:11" x14ac:dyDescent="0.3">
      <c r="A1195" s="2">
        <v>42499</v>
      </c>
      <c r="B1195" s="9">
        <f>MONTH(Table1[[#This Row],[Order Date]])</f>
        <v>5</v>
      </c>
      <c r="C1195" s="9">
        <f>YEAR(Table1[[#This Row],[Order Date]])</f>
        <v>2016</v>
      </c>
      <c r="D1195" t="s">
        <v>143</v>
      </c>
      <c r="E1195" t="s">
        <v>23</v>
      </c>
      <c r="F1195" t="s">
        <v>11</v>
      </c>
      <c r="G1195" t="s">
        <v>20</v>
      </c>
      <c r="H1195" t="s">
        <v>361</v>
      </c>
      <c r="I1195" s="7">
        <v>9.56</v>
      </c>
      <c r="J1195" s="8">
        <v>5</v>
      </c>
      <c r="K1195" s="7">
        <v>-7.33</v>
      </c>
    </row>
    <row r="1196" spans="1:11" x14ac:dyDescent="0.3">
      <c r="A1196" s="2">
        <v>42499</v>
      </c>
      <c r="B1196" s="9">
        <f>MONTH(Table1[[#This Row],[Order Date]])</f>
        <v>5</v>
      </c>
      <c r="C1196" s="9">
        <f>YEAR(Table1[[#This Row],[Order Date]])</f>
        <v>2016</v>
      </c>
      <c r="D1196" t="s">
        <v>1276</v>
      </c>
      <c r="E1196" t="s">
        <v>117</v>
      </c>
      <c r="F1196" t="s">
        <v>39</v>
      </c>
      <c r="G1196" t="s">
        <v>40</v>
      </c>
      <c r="H1196" t="s">
        <v>688</v>
      </c>
      <c r="I1196" s="7">
        <v>108.78</v>
      </c>
      <c r="J1196" s="8">
        <v>2</v>
      </c>
      <c r="K1196" s="7">
        <v>6.8</v>
      </c>
    </row>
    <row r="1197" spans="1:11" x14ac:dyDescent="0.3">
      <c r="A1197" s="2">
        <v>42499</v>
      </c>
      <c r="B1197" s="9">
        <f>MONTH(Table1[[#This Row],[Order Date]])</f>
        <v>5</v>
      </c>
      <c r="C1197" s="9">
        <f>YEAR(Table1[[#This Row],[Order Date]])</f>
        <v>2016</v>
      </c>
      <c r="D1197" t="s">
        <v>1078</v>
      </c>
      <c r="E1197" t="s">
        <v>27</v>
      </c>
      <c r="F1197" t="s">
        <v>11</v>
      </c>
      <c r="G1197" t="s">
        <v>12</v>
      </c>
      <c r="H1197" t="s">
        <v>2565</v>
      </c>
      <c r="I1197" s="7">
        <v>96.08</v>
      </c>
      <c r="J1197" s="8">
        <v>2</v>
      </c>
      <c r="K1197" s="7">
        <v>46.12</v>
      </c>
    </row>
    <row r="1198" spans="1:11" x14ac:dyDescent="0.3">
      <c r="A1198" s="2">
        <v>42499</v>
      </c>
      <c r="B1198" s="9">
        <f>MONTH(Table1[[#This Row],[Order Date]])</f>
        <v>5</v>
      </c>
      <c r="C1198" s="9">
        <f>YEAR(Table1[[#This Row],[Order Date]])</f>
        <v>2016</v>
      </c>
      <c r="D1198" t="s">
        <v>1078</v>
      </c>
      <c r="E1198" t="s">
        <v>27</v>
      </c>
      <c r="F1198" t="s">
        <v>11</v>
      </c>
      <c r="G1198" t="s">
        <v>43</v>
      </c>
      <c r="H1198" t="s">
        <v>940</v>
      </c>
      <c r="I1198" s="7">
        <v>4.3600000000000003</v>
      </c>
      <c r="J1198" s="8">
        <v>2</v>
      </c>
      <c r="K1198" s="7">
        <v>1.79</v>
      </c>
    </row>
    <row r="1199" spans="1:11" x14ac:dyDescent="0.3">
      <c r="A1199" s="2">
        <v>42499</v>
      </c>
      <c r="B1199" s="9">
        <f>MONTH(Table1[[#This Row],[Order Date]])</f>
        <v>5</v>
      </c>
      <c r="C1199" s="9">
        <f>YEAR(Table1[[#This Row],[Order Date]])</f>
        <v>2016</v>
      </c>
      <c r="D1199" t="s">
        <v>2341</v>
      </c>
      <c r="E1199" t="s">
        <v>15</v>
      </c>
      <c r="F1199" t="s">
        <v>11</v>
      </c>
      <c r="G1199" t="s">
        <v>12</v>
      </c>
      <c r="H1199" t="s">
        <v>2250</v>
      </c>
      <c r="I1199" s="7">
        <v>9.25</v>
      </c>
      <c r="J1199" s="8">
        <v>2</v>
      </c>
      <c r="K1199" s="7">
        <v>3.35</v>
      </c>
    </row>
    <row r="1200" spans="1:11" x14ac:dyDescent="0.3">
      <c r="A1200" s="2">
        <v>42499</v>
      </c>
      <c r="B1200" s="9">
        <f>MONTH(Table1[[#This Row],[Order Date]])</f>
        <v>5</v>
      </c>
      <c r="C1200" s="9">
        <f>YEAR(Table1[[#This Row],[Order Date]])</f>
        <v>2016</v>
      </c>
      <c r="D1200" t="s">
        <v>1535</v>
      </c>
      <c r="E1200" t="s">
        <v>78</v>
      </c>
      <c r="F1200" t="s">
        <v>11</v>
      </c>
      <c r="G1200" t="s">
        <v>20</v>
      </c>
      <c r="H1200" t="s">
        <v>1781</v>
      </c>
      <c r="I1200" s="7">
        <v>8.9499999999999993</v>
      </c>
      <c r="J1200" s="8">
        <v>2</v>
      </c>
      <c r="K1200" s="7">
        <v>-7.46</v>
      </c>
    </row>
    <row r="1201" spans="1:11" x14ac:dyDescent="0.3">
      <c r="A1201" s="2">
        <v>42499</v>
      </c>
      <c r="B1201" s="9">
        <f>MONTH(Table1[[#This Row],[Order Date]])</f>
        <v>5</v>
      </c>
      <c r="C1201" s="9">
        <f>YEAR(Table1[[#This Row],[Order Date]])</f>
        <v>2016</v>
      </c>
      <c r="D1201" t="s">
        <v>1924</v>
      </c>
      <c r="E1201" t="s">
        <v>23</v>
      </c>
      <c r="F1201" t="s">
        <v>34</v>
      </c>
      <c r="G1201" t="s">
        <v>35</v>
      </c>
      <c r="H1201" t="s">
        <v>2566</v>
      </c>
      <c r="I1201" s="7">
        <v>71.25</v>
      </c>
      <c r="J1201" s="8">
        <v>2</v>
      </c>
      <c r="K1201" s="7">
        <v>-19.34</v>
      </c>
    </row>
    <row r="1202" spans="1:11" x14ac:dyDescent="0.3">
      <c r="A1202" s="2">
        <v>42499</v>
      </c>
      <c r="B1202" s="9">
        <f>MONTH(Table1[[#This Row],[Order Date]])</f>
        <v>5</v>
      </c>
      <c r="C1202" s="9">
        <f>YEAR(Table1[[#This Row],[Order Date]])</f>
        <v>2016</v>
      </c>
      <c r="D1202" t="s">
        <v>1924</v>
      </c>
      <c r="E1202" t="s">
        <v>23</v>
      </c>
      <c r="F1202" t="s">
        <v>34</v>
      </c>
      <c r="G1202" t="s">
        <v>35</v>
      </c>
      <c r="H1202" t="s">
        <v>1999</v>
      </c>
      <c r="I1202" s="7">
        <v>887.27</v>
      </c>
      <c r="J1202" s="8">
        <v>3</v>
      </c>
      <c r="K1202" s="7">
        <v>-63.38</v>
      </c>
    </row>
    <row r="1203" spans="1:11" x14ac:dyDescent="0.3">
      <c r="A1203" s="2">
        <v>42501</v>
      </c>
      <c r="B1203" s="9">
        <f>MONTH(Table1[[#This Row],[Order Date]])</f>
        <v>5</v>
      </c>
      <c r="C1203" s="9">
        <f>YEAR(Table1[[#This Row],[Order Date]])</f>
        <v>2016</v>
      </c>
      <c r="D1203" t="s">
        <v>1350</v>
      </c>
      <c r="E1203" t="s">
        <v>27</v>
      </c>
      <c r="F1203" t="s">
        <v>11</v>
      </c>
      <c r="G1203" t="s">
        <v>20</v>
      </c>
      <c r="H1203" t="s">
        <v>2296</v>
      </c>
      <c r="I1203" s="7">
        <v>29.12</v>
      </c>
      <c r="J1203" s="8">
        <v>5</v>
      </c>
      <c r="K1203" s="7">
        <v>9.83</v>
      </c>
    </row>
    <row r="1204" spans="1:11" x14ac:dyDescent="0.3">
      <c r="A1204" s="2">
        <v>42501</v>
      </c>
      <c r="B1204" s="9">
        <f>MONTH(Table1[[#This Row],[Order Date]])</f>
        <v>5</v>
      </c>
      <c r="C1204" s="9">
        <f>YEAR(Table1[[#This Row],[Order Date]])</f>
        <v>2016</v>
      </c>
      <c r="D1204" t="s">
        <v>2493</v>
      </c>
      <c r="E1204" t="s">
        <v>23</v>
      </c>
      <c r="F1204" t="s">
        <v>39</v>
      </c>
      <c r="G1204" t="s">
        <v>40</v>
      </c>
      <c r="H1204" t="s">
        <v>2200</v>
      </c>
      <c r="I1204" s="7">
        <v>23.99</v>
      </c>
      <c r="J1204" s="8">
        <v>2</v>
      </c>
      <c r="K1204" s="7">
        <v>-15.99</v>
      </c>
    </row>
    <row r="1205" spans="1:11" x14ac:dyDescent="0.3">
      <c r="A1205" s="2">
        <v>42501</v>
      </c>
      <c r="B1205" s="9">
        <f>MONTH(Table1[[#This Row],[Order Date]])</f>
        <v>5</v>
      </c>
      <c r="C1205" s="9">
        <f>YEAR(Table1[[#This Row],[Order Date]])</f>
        <v>2016</v>
      </c>
      <c r="D1205" t="s">
        <v>893</v>
      </c>
      <c r="E1205" t="s">
        <v>10</v>
      </c>
      <c r="F1205" t="s">
        <v>34</v>
      </c>
      <c r="G1205" t="s">
        <v>74</v>
      </c>
      <c r="H1205" t="s">
        <v>2153</v>
      </c>
      <c r="I1205" s="7">
        <v>956.66</v>
      </c>
      <c r="J1205" s="8">
        <v>7</v>
      </c>
      <c r="K1205" s="7">
        <v>-225.1</v>
      </c>
    </row>
    <row r="1206" spans="1:11" x14ac:dyDescent="0.3">
      <c r="A1206" s="2">
        <v>42501</v>
      </c>
      <c r="B1206" s="9">
        <f>MONTH(Table1[[#This Row],[Order Date]])</f>
        <v>5</v>
      </c>
      <c r="C1206" s="9">
        <f>YEAR(Table1[[#This Row],[Order Date]])</f>
        <v>2016</v>
      </c>
      <c r="D1206" t="s">
        <v>893</v>
      </c>
      <c r="E1206" t="s">
        <v>10</v>
      </c>
      <c r="F1206" t="s">
        <v>11</v>
      </c>
      <c r="G1206" t="s">
        <v>20</v>
      </c>
      <c r="H1206" t="s">
        <v>1099</v>
      </c>
      <c r="I1206" s="7">
        <v>12.59</v>
      </c>
      <c r="J1206" s="8">
        <v>3</v>
      </c>
      <c r="K1206" s="7">
        <v>-20.14</v>
      </c>
    </row>
    <row r="1207" spans="1:11" x14ac:dyDescent="0.3">
      <c r="A1207" s="2">
        <v>42501</v>
      </c>
      <c r="B1207" s="9">
        <f>MONTH(Table1[[#This Row],[Order Date]])</f>
        <v>5</v>
      </c>
      <c r="C1207" s="9">
        <f>YEAR(Table1[[#This Row],[Order Date]])</f>
        <v>2016</v>
      </c>
      <c r="D1207" t="s">
        <v>893</v>
      </c>
      <c r="E1207" t="s">
        <v>10</v>
      </c>
      <c r="F1207" t="s">
        <v>39</v>
      </c>
      <c r="G1207" t="s">
        <v>52</v>
      </c>
      <c r="H1207" t="s">
        <v>2595</v>
      </c>
      <c r="I1207" s="7">
        <v>171.96</v>
      </c>
      <c r="J1207" s="8">
        <v>5</v>
      </c>
      <c r="K1207" s="7">
        <v>45.14</v>
      </c>
    </row>
    <row r="1208" spans="1:11" x14ac:dyDescent="0.3">
      <c r="A1208" s="2">
        <v>42501</v>
      </c>
      <c r="B1208" s="9">
        <f>MONTH(Table1[[#This Row],[Order Date]])</f>
        <v>5</v>
      </c>
      <c r="C1208" s="9">
        <f>YEAR(Table1[[#This Row],[Order Date]])</f>
        <v>2016</v>
      </c>
      <c r="D1208" t="s">
        <v>1078</v>
      </c>
      <c r="E1208" t="s">
        <v>27</v>
      </c>
      <c r="F1208" t="s">
        <v>11</v>
      </c>
      <c r="G1208" t="s">
        <v>20</v>
      </c>
      <c r="H1208" t="s">
        <v>2029</v>
      </c>
      <c r="I1208" s="7">
        <v>53.25</v>
      </c>
      <c r="J1208" s="8">
        <v>2</v>
      </c>
      <c r="K1208" s="7">
        <v>19.97</v>
      </c>
    </row>
    <row r="1209" spans="1:11" x14ac:dyDescent="0.3">
      <c r="A1209" s="2">
        <v>42501</v>
      </c>
      <c r="B1209" s="9">
        <f>MONTH(Table1[[#This Row],[Order Date]])</f>
        <v>5</v>
      </c>
      <c r="C1209" s="9">
        <f>YEAR(Table1[[#This Row],[Order Date]])</f>
        <v>2016</v>
      </c>
      <c r="D1209" t="s">
        <v>1183</v>
      </c>
      <c r="E1209" t="s">
        <v>158</v>
      </c>
      <c r="F1209" t="s">
        <v>39</v>
      </c>
      <c r="G1209" t="s">
        <v>52</v>
      </c>
      <c r="H1209" t="s">
        <v>2596</v>
      </c>
      <c r="I1209" s="7">
        <v>479.72</v>
      </c>
      <c r="J1209" s="8">
        <v>4</v>
      </c>
      <c r="K1209" s="7">
        <v>52.77</v>
      </c>
    </row>
    <row r="1210" spans="1:11" x14ac:dyDescent="0.3">
      <c r="A1210" s="2">
        <v>42501</v>
      </c>
      <c r="B1210" s="9">
        <f>MONTH(Table1[[#This Row],[Order Date]])</f>
        <v>5</v>
      </c>
      <c r="C1210" s="9">
        <f>YEAR(Table1[[#This Row],[Order Date]])</f>
        <v>2016</v>
      </c>
      <c r="D1210" t="s">
        <v>1732</v>
      </c>
      <c r="E1210" t="s">
        <v>27</v>
      </c>
      <c r="F1210" t="s">
        <v>34</v>
      </c>
      <c r="G1210" t="s">
        <v>35</v>
      </c>
      <c r="H1210" t="s">
        <v>1777</v>
      </c>
      <c r="I1210" s="7">
        <v>113.89</v>
      </c>
      <c r="J1210" s="8">
        <v>2</v>
      </c>
      <c r="K1210" s="7">
        <v>9.9700000000000006</v>
      </c>
    </row>
    <row r="1211" spans="1:11" x14ac:dyDescent="0.3">
      <c r="A1211" s="2">
        <v>42501</v>
      </c>
      <c r="B1211" s="9">
        <f>MONTH(Table1[[#This Row],[Order Date]])</f>
        <v>5</v>
      </c>
      <c r="C1211" s="9">
        <f>YEAR(Table1[[#This Row],[Order Date]])</f>
        <v>2016</v>
      </c>
      <c r="D1211" t="s">
        <v>1247</v>
      </c>
      <c r="E1211" t="s">
        <v>55</v>
      </c>
      <c r="F1211" t="s">
        <v>34</v>
      </c>
      <c r="G1211" t="s">
        <v>47</v>
      </c>
      <c r="H1211" t="s">
        <v>2543</v>
      </c>
      <c r="I1211" s="7">
        <v>756.8</v>
      </c>
      <c r="J1211" s="8">
        <v>5</v>
      </c>
      <c r="K1211" s="7">
        <v>75.680000000000007</v>
      </c>
    </row>
    <row r="1212" spans="1:11" x14ac:dyDescent="0.3">
      <c r="A1212" s="2">
        <v>42502</v>
      </c>
      <c r="B1212" s="9">
        <f>MONTH(Table1[[#This Row],[Order Date]])</f>
        <v>5</v>
      </c>
      <c r="C1212" s="9">
        <f>YEAR(Table1[[#This Row],[Order Date]])</f>
        <v>2016</v>
      </c>
      <c r="D1212" t="s">
        <v>1759</v>
      </c>
      <c r="E1212" t="s">
        <v>158</v>
      </c>
      <c r="F1212" t="s">
        <v>11</v>
      </c>
      <c r="G1212" t="s">
        <v>20</v>
      </c>
      <c r="H1212" t="s">
        <v>514</v>
      </c>
      <c r="I1212" s="7">
        <v>407.98</v>
      </c>
      <c r="J1212" s="8">
        <v>3</v>
      </c>
      <c r="K1212" s="7">
        <v>132.59</v>
      </c>
    </row>
    <row r="1213" spans="1:11" x14ac:dyDescent="0.3">
      <c r="A1213" s="2">
        <v>42502</v>
      </c>
      <c r="B1213" s="9">
        <f>MONTH(Table1[[#This Row],[Order Date]])</f>
        <v>5</v>
      </c>
      <c r="C1213" s="9">
        <f>YEAR(Table1[[#This Row],[Order Date]])</f>
        <v>2016</v>
      </c>
      <c r="D1213" t="s">
        <v>560</v>
      </c>
      <c r="E1213" t="s">
        <v>422</v>
      </c>
      <c r="F1213" t="s">
        <v>34</v>
      </c>
      <c r="G1213" t="s">
        <v>74</v>
      </c>
      <c r="H1213" t="s">
        <v>2384</v>
      </c>
      <c r="I1213" s="7">
        <v>81.94</v>
      </c>
      <c r="J1213" s="8">
        <v>1</v>
      </c>
      <c r="K1213" s="7">
        <v>20.49</v>
      </c>
    </row>
    <row r="1214" spans="1:11" x14ac:dyDescent="0.3">
      <c r="A1214" s="2">
        <v>42502</v>
      </c>
      <c r="B1214" s="9">
        <f>MONTH(Table1[[#This Row],[Order Date]])</f>
        <v>5</v>
      </c>
      <c r="C1214" s="9">
        <f>YEAR(Table1[[#This Row],[Order Date]])</f>
        <v>2016</v>
      </c>
      <c r="D1214" t="s">
        <v>2404</v>
      </c>
      <c r="E1214" t="s">
        <v>59</v>
      </c>
      <c r="F1214" t="s">
        <v>11</v>
      </c>
      <c r="G1214" t="s">
        <v>63</v>
      </c>
      <c r="H1214" t="s">
        <v>1321</v>
      </c>
      <c r="I1214" s="7">
        <v>109.69</v>
      </c>
      <c r="J1214" s="8">
        <v>7</v>
      </c>
      <c r="K1214" s="7">
        <v>51.55</v>
      </c>
    </row>
    <row r="1215" spans="1:11" x14ac:dyDescent="0.3">
      <c r="A1215" s="2">
        <v>42524</v>
      </c>
      <c r="B1215" s="9">
        <f>MONTH(Table1[[#This Row],[Order Date]])</f>
        <v>6</v>
      </c>
      <c r="C1215" s="9">
        <f>YEAR(Table1[[#This Row],[Order Date]])</f>
        <v>2016</v>
      </c>
      <c r="D1215" t="s">
        <v>2011</v>
      </c>
      <c r="E1215" t="s">
        <v>23</v>
      </c>
      <c r="F1215" t="s">
        <v>39</v>
      </c>
      <c r="G1215" t="s">
        <v>40</v>
      </c>
      <c r="H1215" t="s">
        <v>732</v>
      </c>
      <c r="I1215" s="7">
        <v>68.239999999999995</v>
      </c>
      <c r="J1215" s="8">
        <v>3</v>
      </c>
      <c r="K1215" s="7">
        <v>-12.51</v>
      </c>
    </row>
    <row r="1216" spans="1:11" x14ac:dyDescent="0.3">
      <c r="A1216" s="2">
        <v>42524</v>
      </c>
      <c r="B1216" s="9">
        <f>MONTH(Table1[[#This Row],[Order Date]])</f>
        <v>6</v>
      </c>
      <c r="C1216" s="9">
        <f>YEAR(Table1[[#This Row],[Order Date]])</f>
        <v>2016</v>
      </c>
      <c r="D1216" t="s">
        <v>2014</v>
      </c>
      <c r="E1216" t="s">
        <v>15</v>
      </c>
      <c r="F1216" t="s">
        <v>34</v>
      </c>
      <c r="G1216" t="s">
        <v>47</v>
      </c>
      <c r="H1216" t="s">
        <v>1669</v>
      </c>
      <c r="I1216" s="7">
        <v>159.04</v>
      </c>
      <c r="J1216" s="8">
        <v>5</v>
      </c>
      <c r="K1216" s="7">
        <v>-194.82</v>
      </c>
    </row>
    <row r="1217" spans="1:11" x14ac:dyDescent="0.3">
      <c r="A1217" s="2">
        <v>42525</v>
      </c>
      <c r="B1217" s="9">
        <f>MONTH(Table1[[#This Row],[Order Date]])</f>
        <v>6</v>
      </c>
      <c r="C1217" s="9">
        <f>YEAR(Table1[[#This Row],[Order Date]])</f>
        <v>2016</v>
      </c>
      <c r="D1217" t="s">
        <v>478</v>
      </c>
      <c r="E1217" t="s">
        <v>2278</v>
      </c>
      <c r="F1217" t="s">
        <v>39</v>
      </c>
      <c r="G1217" t="s">
        <v>40</v>
      </c>
      <c r="H1217" t="s">
        <v>1857</v>
      </c>
      <c r="I1217" s="7">
        <v>1294.75</v>
      </c>
      <c r="J1217" s="8">
        <v>5</v>
      </c>
      <c r="K1217" s="7">
        <v>336.64</v>
      </c>
    </row>
    <row r="1218" spans="1:11" x14ac:dyDescent="0.3">
      <c r="A1218" s="2">
        <v>42526</v>
      </c>
      <c r="B1218" s="9">
        <f>MONTH(Table1[[#This Row],[Order Date]])</f>
        <v>6</v>
      </c>
      <c r="C1218" s="9">
        <f>YEAR(Table1[[#This Row],[Order Date]])</f>
        <v>2016</v>
      </c>
      <c r="D1218" t="s">
        <v>2130</v>
      </c>
      <c r="E1218" t="s">
        <v>78</v>
      </c>
      <c r="F1218" t="s">
        <v>11</v>
      </c>
      <c r="G1218" t="s">
        <v>43</v>
      </c>
      <c r="H1218" t="s">
        <v>1762</v>
      </c>
      <c r="I1218" s="7">
        <v>7.22</v>
      </c>
      <c r="J1218" s="8">
        <v>2</v>
      </c>
      <c r="K1218" s="7">
        <v>1.71</v>
      </c>
    </row>
    <row r="1219" spans="1:11" x14ac:dyDescent="0.3">
      <c r="A1219" s="2">
        <v>42526</v>
      </c>
      <c r="B1219" s="9">
        <f>MONTH(Table1[[#This Row],[Order Date]])</f>
        <v>6</v>
      </c>
      <c r="C1219" s="9">
        <f>YEAR(Table1[[#This Row],[Order Date]])</f>
        <v>2016</v>
      </c>
      <c r="D1219" t="s">
        <v>2130</v>
      </c>
      <c r="E1219" t="s">
        <v>78</v>
      </c>
      <c r="F1219" t="s">
        <v>34</v>
      </c>
      <c r="G1219" t="s">
        <v>47</v>
      </c>
      <c r="H1219" t="s">
        <v>2479</v>
      </c>
      <c r="I1219" s="7">
        <v>54.71</v>
      </c>
      <c r="J1219" s="8">
        <v>7</v>
      </c>
      <c r="K1219" s="7">
        <v>11.63</v>
      </c>
    </row>
    <row r="1220" spans="1:11" x14ac:dyDescent="0.3">
      <c r="A1220" s="2">
        <v>42526</v>
      </c>
      <c r="B1220" s="9">
        <f>MONTH(Table1[[#This Row],[Order Date]])</f>
        <v>6</v>
      </c>
      <c r="C1220" s="9">
        <f>YEAR(Table1[[#This Row],[Order Date]])</f>
        <v>2016</v>
      </c>
      <c r="D1220" t="s">
        <v>1080</v>
      </c>
      <c r="E1220" t="s">
        <v>27</v>
      </c>
      <c r="F1220" t="s">
        <v>34</v>
      </c>
      <c r="G1220" t="s">
        <v>47</v>
      </c>
      <c r="H1220" t="s">
        <v>2480</v>
      </c>
      <c r="I1220" s="7">
        <v>41.6</v>
      </c>
      <c r="J1220" s="8">
        <v>4</v>
      </c>
      <c r="K1220" s="7">
        <v>14.14</v>
      </c>
    </row>
    <row r="1221" spans="1:11" x14ac:dyDescent="0.3">
      <c r="A1221" s="2">
        <v>42527</v>
      </c>
      <c r="B1221" s="9">
        <f>MONTH(Table1[[#This Row],[Order Date]])</f>
        <v>6</v>
      </c>
      <c r="C1221" s="9">
        <f>YEAR(Table1[[#This Row],[Order Date]])</f>
        <v>2016</v>
      </c>
      <c r="D1221" t="s">
        <v>1796</v>
      </c>
      <c r="E1221" t="s">
        <v>100</v>
      </c>
      <c r="F1221" t="s">
        <v>39</v>
      </c>
      <c r="G1221" t="s">
        <v>52</v>
      </c>
      <c r="H1221" t="s">
        <v>66</v>
      </c>
      <c r="I1221" s="7">
        <v>323.37</v>
      </c>
      <c r="J1221" s="8">
        <v>3</v>
      </c>
      <c r="K1221" s="7">
        <v>129.35</v>
      </c>
    </row>
    <row r="1222" spans="1:11" x14ac:dyDescent="0.3">
      <c r="A1222" s="2">
        <v>42527</v>
      </c>
      <c r="B1222" s="9">
        <f>MONTH(Table1[[#This Row],[Order Date]])</f>
        <v>6</v>
      </c>
      <c r="C1222" s="9">
        <f>YEAR(Table1[[#This Row],[Order Date]])</f>
        <v>2016</v>
      </c>
      <c r="D1222" t="s">
        <v>1796</v>
      </c>
      <c r="E1222" t="s">
        <v>100</v>
      </c>
      <c r="F1222" t="s">
        <v>11</v>
      </c>
      <c r="G1222" t="s">
        <v>12</v>
      </c>
      <c r="H1222" t="s">
        <v>2157</v>
      </c>
      <c r="I1222" s="7">
        <v>59.94</v>
      </c>
      <c r="J1222" s="8">
        <v>3</v>
      </c>
      <c r="K1222" s="7">
        <v>28.17</v>
      </c>
    </row>
    <row r="1223" spans="1:11" x14ac:dyDescent="0.3">
      <c r="A1223" s="2">
        <v>42527</v>
      </c>
      <c r="B1223" s="9">
        <f>MONTH(Table1[[#This Row],[Order Date]])</f>
        <v>6</v>
      </c>
      <c r="C1223" s="9">
        <f>YEAR(Table1[[#This Row],[Order Date]])</f>
        <v>2016</v>
      </c>
      <c r="D1223" t="s">
        <v>1796</v>
      </c>
      <c r="E1223" t="s">
        <v>100</v>
      </c>
      <c r="F1223" t="s">
        <v>11</v>
      </c>
      <c r="G1223" t="s">
        <v>20</v>
      </c>
      <c r="H1223" t="s">
        <v>1282</v>
      </c>
      <c r="I1223" s="7">
        <v>64.14</v>
      </c>
      <c r="J1223" s="8">
        <v>3</v>
      </c>
      <c r="K1223" s="7">
        <v>30.79</v>
      </c>
    </row>
    <row r="1224" spans="1:11" x14ac:dyDescent="0.3">
      <c r="A1224" s="2">
        <v>42527</v>
      </c>
      <c r="B1224" s="9">
        <f>MONTH(Table1[[#This Row],[Order Date]])</f>
        <v>6</v>
      </c>
      <c r="C1224" s="9">
        <f>YEAR(Table1[[#This Row],[Order Date]])</f>
        <v>2016</v>
      </c>
      <c r="D1224" t="s">
        <v>1796</v>
      </c>
      <c r="E1224" t="s">
        <v>100</v>
      </c>
      <c r="F1224" t="s">
        <v>11</v>
      </c>
      <c r="G1224" t="s">
        <v>20</v>
      </c>
      <c r="H1224" t="s">
        <v>1748</v>
      </c>
      <c r="I1224" s="7">
        <v>11.67</v>
      </c>
      <c r="J1224" s="8">
        <v>3</v>
      </c>
      <c r="K1224" s="7">
        <v>5.6</v>
      </c>
    </row>
    <row r="1225" spans="1:11" x14ac:dyDescent="0.3">
      <c r="A1225" s="2">
        <v>42527</v>
      </c>
      <c r="B1225" s="9">
        <f>MONTH(Table1[[#This Row],[Order Date]])</f>
        <v>6</v>
      </c>
      <c r="C1225" s="9">
        <f>YEAR(Table1[[#This Row],[Order Date]])</f>
        <v>2016</v>
      </c>
      <c r="D1225" t="s">
        <v>1796</v>
      </c>
      <c r="E1225" t="s">
        <v>100</v>
      </c>
      <c r="F1225" t="s">
        <v>11</v>
      </c>
      <c r="G1225" t="s">
        <v>12</v>
      </c>
      <c r="H1225" t="s">
        <v>2505</v>
      </c>
      <c r="I1225" s="7">
        <v>12.96</v>
      </c>
      <c r="J1225" s="8">
        <v>2</v>
      </c>
      <c r="K1225" s="7">
        <v>6.22</v>
      </c>
    </row>
    <row r="1226" spans="1:11" x14ac:dyDescent="0.3">
      <c r="A1226" s="2">
        <v>42527</v>
      </c>
      <c r="B1226" s="9">
        <f>MONTH(Table1[[#This Row],[Order Date]])</f>
        <v>6</v>
      </c>
      <c r="C1226" s="9">
        <f>YEAR(Table1[[#This Row],[Order Date]])</f>
        <v>2016</v>
      </c>
      <c r="D1226" t="s">
        <v>750</v>
      </c>
      <c r="E1226" t="s">
        <v>27</v>
      </c>
      <c r="F1226" t="s">
        <v>11</v>
      </c>
      <c r="G1226" t="s">
        <v>12</v>
      </c>
      <c r="H1226" t="s">
        <v>2506</v>
      </c>
      <c r="I1226" s="7">
        <v>99.9</v>
      </c>
      <c r="J1226" s="8">
        <v>5</v>
      </c>
      <c r="K1226" s="7">
        <v>46.95</v>
      </c>
    </row>
    <row r="1227" spans="1:11" x14ac:dyDescent="0.3">
      <c r="A1227" s="2">
        <v>42527</v>
      </c>
      <c r="B1227" s="9">
        <f>MONTH(Table1[[#This Row],[Order Date]])</f>
        <v>6</v>
      </c>
      <c r="C1227" s="9">
        <f>YEAR(Table1[[#This Row],[Order Date]])</f>
        <v>2016</v>
      </c>
      <c r="D1227" t="s">
        <v>32</v>
      </c>
      <c r="E1227" t="s">
        <v>27</v>
      </c>
      <c r="F1227" t="s">
        <v>39</v>
      </c>
      <c r="G1227" t="s">
        <v>40</v>
      </c>
      <c r="H1227" t="s">
        <v>575</v>
      </c>
      <c r="I1227" s="7">
        <v>3023.93</v>
      </c>
      <c r="J1227" s="8">
        <v>9</v>
      </c>
      <c r="K1227" s="7">
        <v>226.79</v>
      </c>
    </row>
    <row r="1228" spans="1:11" x14ac:dyDescent="0.3">
      <c r="A1228" s="2">
        <v>42527</v>
      </c>
      <c r="B1228" s="9">
        <f>MONTH(Table1[[#This Row],[Order Date]])</f>
        <v>6</v>
      </c>
      <c r="C1228" s="9">
        <f>YEAR(Table1[[#This Row],[Order Date]])</f>
        <v>2016</v>
      </c>
      <c r="D1228" t="s">
        <v>2507</v>
      </c>
      <c r="E1228" t="s">
        <v>78</v>
      </c>
      <c r="F1228" t="s">
        <v>34</v>
      </c>
      <c r="G1228" t="s">
        <v>47</v>
      </c>
      <c r="H1228" t="s">
        <v>657</v>
      </c>
      <c r="I1228" s="7">
        <v>466.32</v>
      </c>
      <c r="J1228" s="8">
        <v>3</v>
      </c>
      <c r="K1228" s="7">
        <v>34.97</v>
      </c>
    </row>
    <row r="1229" spans="1:11" x14ac:dyDescent="0.3">
      <c r="A1229" s="2">
        <v>42527</v>
      </c>
      <c r="B1229" s="9">
        <f>MONTH(Table1[[#This Row],[Order Date]])</f>
        <v>6</v>
      </c>
      <c r="C1229" s="9">
        <f>YEAR(Table1[[#This Row],[Order Date]])</f>
        <v>2016</v>
      </c>
      <c r="D1229" t="s">
        <v>2507</v>
      </c>
      <c r="E1229" t="s">
        <v>78</v>
      </c>
      <c r="F1229" t="s">
        <v>34</v>
      </c>
      <c r="G1229" t="s">
        <v>47</v>
      </c>
      <c r="H1229" t="s">
        <v>1852</v>
      </c>
      <c r="I1229" s="7">
        <v>82.64</v>
      </c>
      <c r="J1229" s="8">
        <v>2</v>
      </c>
      <c r="K1229" s="7">
        <v>0</v>
      </c>
    </row>
    <row r="1230" spans="1:11" x14ac:dyDescent="0.3">
      <c r="A1230" s="2">
        <v>42530</v>
      </c>
      <c r="B1230" s="9">
        <f>MONTH(Table1[[#This Row],[Order Date]])</f>
        <v>6</v>
      </c>
      <c r="C1230" s="9">
        <f>YEAR(Table1[[#This Row],[Order Date]])</f>
        <v>2016</v>
      </c>
      <c r="D1230" t="s">
        <v>2371</v>
      </c>
      <c r="E1230" t="s">
        <v>308</v>
      </c>
      <c r="F1230" t="s">
        <v>11</v>
      </c>
      <c r="G1230" t="s">
        <v>92</v>
      </c>
      <c r="H1230" t="s">
        <v>1320</v>
      </c>
      <c r="I1230" s="7">
        <v>77.88</v>
      </c>
      <c r="J1230" s="8">
        <v>6</v>
      </c>
      <c r="K1230" s="7">
        <v>22.59</v>
      </c>
    </row>
    <row r="1231" spans="1:11" x14ac:dyDescent="0.3">
      <c r="A1231" s="2">
        <v>42530</v>
      </c>
      <c r="B1231" s="9">
        <f>MONTH(Table1[[#This Row],[Order Date]])</f>
        <v>6</v>
      </c>
      <c r="C1231" s="9">
        <f>YEAR(Table1[[#This Row],[Order Date]])</f>
        <v>2016</v>
      </c>
      <c r="D1231" t="s">
        <v>1598</v>
      </c>
      <c r="E1231" t="s">
        <v>10</v>
      </c>
      <c r="F1231" t="s">
        <v>39</v>
      </c>
      <c r="G1231" t="s">
        <v>40</v>
      </c>
      <c r="H1231" t="s">
        <v>2567</v>
      </c>
      <c r="I1231" s="7">
        <v>329.58</v>
      </c>
      <c r="J1231" s="8">
        <v>2</v>
      </c>
      <c r="K1231" s="7">
        <v>37.08</v>
      </c>
    </row>
    <row r="1232" spans="1:11" x14ac:dyDescent="0.3">
      <c r="A1232" s="2">
        <v>42531</v>
      </c>
      <c r="B1232" s="9">
        <f>MONTH(Table1[[#This Row],[Order Date]])</f>
        <v>6</v>
      </c>
      <c r="C1232" s="9">
        <f>YEAR(Table1[[#This Row],[Order Date]])</f>
        <v>2016</v>
      </c>
      <c r="D1232" t="s">
        <v>549</v>
      </c>
      <c r="E1232" t="s">
        <v>269</v>
      </c>
      <c r="F1232" t="s">
        <v>39</v>
      </c>
      <c r="G1232" t="s">
        <v>293</v>
      </c>
      <c r="H1232" t="s">
        <v>2584</v>
      </c>
      <c r="I1232" s="7">
        <v>703.71</v>
      </c>
      <c r="J1232" s="8">
        <v>6</v>
      </c>
      <c r="K1232" s="7">
        <v>-938.28</v>
      </c>
    </row>
    <row r="1233" spans="1:11" x14ac:dyDescent="0.3">
      <c r="A1233" s="2">
        <v>42531</v>
      </c>
      <c r="B1233" s="9">
        <f>MONTH(Table1[[#This Row],[Order Date]])</f>
        <v>6</v>
      </c>
      <c r="C1233" s="9">
        <f>YEAR(Table1[[#This Row],[Order Date]])</f>
        <v>2016</v>
      </c>
      <c r="D1233" t="s">
        <v>549</v>
      </c>
      <c r="E1233" t="s">
        <v>269</v>
      </c>
      <c r="F1233" t="s">
        <v>11</v>
      </c>
      <c r="G1233" t="s">
        <v>20</v>
      </c>
      <c r="H1233" t="s">
        <v>1489</v>
      </c>
      <c r="I1233" s="7">
        <v>11.98</v>
      </c>
      <c r="J1233" s="8">
        <v>4</v>
      </c>
      <c r="K1233" s="7">
        <v>-9.18</v>
      </c>
    </row>
    <row r="1234" spans="1:11" x14ac:dyDescent="0.3">
      <c r="A1234" s="2">
        <v>42532</v>
      </c>
      <c r="B1234" s="9">
        <f>MONTH(Table1[[#This Row],[Order Date]])</f>
        <v>6</v>
      </c>
      <c r="C1234" s="9">
        <f>YEAR(Table1[[#This Row],[Order Date]])</f>
        <v>2016</v>
      </c>
      <c r="D1234" t="s">
        <v>798</v>
      </c>
      <c r="E1234" t="s">
        <v>120</v>
      </c>
      <c r="F1234" t="s">
        <v>11</v>
      </c>
      <c r="G1234" t="s">
        <v>12</v>
      </c>
      <c r="H1234" t="s">
        <v>2467</v>
      </c>
      <c r="I1234" s="7">
        <v>36.11</v>
      </c>
      <c r="J1234" s="8">
        <v>2</v>
      </c>
      <c r="K1234" s="7">
        <v>12.64</v>
      </c>
    </row>
    <row r="1235" spans="1:11" x14ac:dyDescent="0.3">
      <c r="A1235" s="2">
        <v>42533</v>
      </c>
      <c r="B1235" s="9">
        <f>MONTH(Table1[[#This Row],[Order Date]])</f>
        <v>6</v>
      </c>
      <c r="C1235" s="9">
        <f>YEAR(Table1[[#This Row],[Order Date]])</f>
        <v>2016</v>
      </c>
      <c r="D1235" t="s">
        <v>694</v>
      </c>
      <c r="E1235" t="s">
        <v>158</v>
      </c>
      <c r="F1235" t="s">
        <v>39</v>
      </c>
      <c r="G1235" t="s">
        <v>40</v>
      </c>
      <c r="H1235" t="s">
        <v>1980</v>
      </c>
      <c r="I1235" s="7">
        <v>156.79</v>
      </c>
      <c r="J1235" s="8">
        <v>1</v>
      </c>
      <c r="K1235" s="7">
        <v>13.72</v>
      </c>
    </row>
    <row r="1236" spans="1:11" x14ac:dyDescent="0.3">
      <c r="A1236" s="2">
        <v>42533</v>
      </c>
      <c r="B1236" s="9">
        <f>MONTH(Table1[[#This Row],[Order Date]])</f>
        <v>6</v>
      </c>
      <c r="C1236" s="9">
        <f>YEAR(Table1[[#This Row],[Order Date]])</f>
        <v>2016</v>
      </c>
      <c r="D1236" t="s">
        <v>694</v>
      </c>
      <c r="E1236" t="s">
        <v>158</v>
      </c>
      <c r="F1236" t="s">
        <v>39</v>
      </c>
      <c r="G1236" t="s">
        <v>40</v>
      </c>
      <c r="H1236" t="s">
        <v>1873</v>
      </c>
      <c r="I1236" s="7">
        <v>431.98</v>
      </c>
      <c r="J1236" s="8">
        <v>3</v>
      </c>
      <c r="K1236" s="7">
        <v>27</v>
      </c>
    </row>
    <row r="1237" spans="1:11" x14ac:dyDescent="0.3">
      <c r="A1237" s="2">
        <v>42533</v>
      </c>
      <c r="B1237" s="9">
        <f>MONTH(Table1[[#This Row],[Order Date]])</f>
        <v>6</v>
      </c>
      <c r="C1237" s="9">
        <f>YEAR(Table1[[#This Row],[Order Date]])</f>
        <v>2016</v>
      </c>
      <c r="D1237" t="s">
        <v>694</v>
      </c>
      <c r="E1237" t="s">
        <v>158</v>
      </c>
      <c r="F1237" t="s">
        <v>11</v>
      </c>
      <c r="G1237" t="s">
        <v>20</v>
      </c>
      <c r="H1237" t="s">
        <v>419</v>
      </c>
      <c r="I1237" s="7">
        <v>47.21</v>
      </c>
      <c r="J1237" s="8">
        <v>7</v>
      </c>
      <c r="K1237" s="7">
        <v>15.34</v>
      </c>
    </row>
    <row r="1238" spans="1:11" x14ac:dyDescent="0.3">
      <c r="A1238" s="2">
        <v>42533</v>
      </c>
      <c r="B1238" s="9">
        <f>MONTH(Table1[[#This Row],[Order Date]])</f>
        <v>6</v>
      </c>
      <c r="C1238" s="9">
        <f>YEAR(Table1[[#This Row],[Order Date]])</f>
        <v>2016</v>
      </c>
      <c r="D1238" t="s">
        <v>694</v>
      </c>
      <c r="E1238" t="s">
        <v>158</v>
      </c>
      <c r="F1238" t="s">
        <v>11</v>
      </c>
      <c r="G1238" t="s">
        <v>12</v>
      </c>
      <c r="H1238" t="s">
        <v>1938</v>
      </c>
      <c r="I1238" s="7">
        <v>248.08</v>
      </c>
      <c r="J1238" s="8">
        <v>7</v>
      </c>
      <c r="K1238" s="7">
        <v>116.6</v>
      </c>
    </row>
    <row r="1239" spans="1:11" x14ac:dyDescent="0.3">
      <c r="A1239" s="2">
        <v>42533</v>
      </c>
      <c r="B1239" s="9">
        <f>MONTH(Table1[[#This Row],[Order Date]])</f>
        <v>6</v>
      </c>
      <c r="C1239" s="9">
        <f>YEAR(Table1[[#This Row],[Order Date]])</f>
        <v>2016</v>
      </c>
      <c r="D1239" t="s">
        <v>238</v>
      </c>
      <c r="E1239" t="s">
        <v>27</v>
      </c>
      <c r="F1239" t="s">
        <v>39</v>
      </c>
      <c r="G1239" t="s">
        <v>40</v>
      </c>
      <c r="H1239" t="s">
        <v>2390</v>
      </c>
      <c r="I1239" s="7">
        <v>271.95999999999998</v>
      </c>
      <c r="J1239" s="8">
        <v>5</v>
      </c>
      <c r="K1239" s="7">
        <v>27.2</v>
      </c>
    </row>
    <row r="1240" spans="1:11" x14ac:dyDescent="0.3">
      <c r="A1240" s="2">
        <v>42533</v>
      </c>
      <c r="B1240" s="9">
        <f>MONTH(Table1[[#This Row],[Order Date]])</f>
        <v>6</v>
      </c>
      <c r="C1240" s="9">
        <f>YEAR(Table1[[#This Row],[Order Date]])</f>
        <v>2016</v>
      </c>
      <c r="D1240" t="s">
        <v>238</v>
      </c>
      <c r="E1240" t="s">
        <v>27</v>
      </c>
      <c r="F1240" t="s">
        <v>11</v>
      </c>
      <c r="G1240" t="s">
        <v>12</v>
      </c>
      <c r="H1240" t="s">
        <v>1935</v>
      </c>
      <c r="I1240" s="7">
        <v>13.36</v>
      </c>
      <c r="J1240" s="8">
        <v>2</v>
      </c>
      <c r="K1240" s="7">
        <v>6.41</v>
      </c>
    </row>
    <row r="1241" spans="1:11" x14ac:dyDescent="0.3">
      <c r="A1241" s="2">
        <v>42552</v>
      </c>
      <c r="B1241" s="9">
        <f>MONTH(Table1[[#This Row],[Order Date]])</f>
        <v>7</v>
      </c>
      <c r="C1241" s="9">
        <f>YEAR(Table1[[#This Row],[Order Date]])</f>
        <v>2016</v>
      </c>
      <c r="D1241" t="s">
        <v>2184</v>
      </c>
      <c r="E1241" t="s">
        <v>10</v>
      </c>
      <c r="F1241" t="s">
        <v>11</v>
      </c>
      <c r="G1241" t="s">
        <v>12</v>
      </c>
      <c r="H1241" t="s">
        <v>2128</v>
      </c>
      <c r="I1241" s="7">
        <v>25.92</v>
      </c>
      <c r="J1241" s="8">
        <v>5</v>
      </c>
      <c r="K1241" s="7">
        <v>9.07</v>
      </c>
    </row>
    <row r="1242" spans="1:11" x14ac:dyDescent="0.3">
      <c r="A1242" s="2">
        <v>42553</v>
      </c>
      <c r="B1242" s="9">
        <f>MONTH(Table1[[#This Row],[Order Date]])</f>
        <v>7</v>
      </c>
      <c r="C1242" s="9">
        <f>YEAR(Table1[[#This Row],[Order Date]])</f>
        <v>2016</v>
      </c>
      <c r="D1242" t="s">
        <v>373</v>
      </c>
      <c r="E1242" t="s">
        <v>55</v>
      </c>
      <c r="F1242" t="s">
        <v>39</v>
      </c>
      <c r="G1242" t="s">
        <v>52</v>
      </c>
      <c r="H1242" t="s">
        <v>2358</v>
      </c>
      <c r="I1242" s="7">
        <v>100</v>
      </c>
      <c r="J1242" s="8">
        <v>4</v>
      </c>
      <c r="K1242" s="7">
        <v>21</v>
      </c>
    </row>
    <row r="1243" spans="1:11" x14ac:dyDescent="0.3">
      <c r="A1243" s="2">
        <v>42553</v>
      </c>
      <c r="B1243" s="9">
        <f>MONTH(Table1[[#This Row],[Order Date]])</f>
        <v>7</v>
      </c>
      <c r="C1243" s="9">
        <f>YEAR(Table1[[#This Row],[Order Date]])</f>
        <v>2016</v>
      </c>
      <c r="D1243" t="s">
        <v>2387</v>
      </c>
      <c r="E1243" t="s">
        <v>27</v>
      </c>
      <c r="F1243" t="s">
        <v>39</v>
      </c>
      <c r="G1243" t="s">
        <v>40</v>
      </c>
      <c r="H1243" t="s">
        <v>2127</v>
      </c>
      <c r="I1243" s="7">
        <v>623.96</v>
      </c>
      <c r="J1243" s="8">
        <v>5</v>
      </c>
      <c r="K1243" s="7">
        <v>39</v>
      </c>
    </row>
    <row r="1244" spans="1:11" x14ac:dyDescent="0.3">
      <c r="A1244" s="2">
        <v>42555</v>
      </c>
      <c r="B1244" s="9">
        <f>MONTH(Table1[[#This Row],[Order Date]])</f>
        <v>7</v>
      </c>
      <c r="C1244" s="9">
        <f>YEAR(Table1[[#This Row],[Order Date]])</f>
        <v>2016</v>
      </c>
      <c r="D1244" t="s">
        <v>1384</v>
      </c>
      <c r="E1244" t="s">
        <v>171</v>
      </c>
      <c r="F1244" t="s">
        <v>11</v>
      </c>
      <c r="G1244" t="s">
        <v>12</v>
      </c>
      <c r="H1244" t="s">
        <v>2443</v>
      </c>
      <c r="I1244" s="7">
        <v>37.94</v>
      </c>
      <c r="J1244" s="8">
        <v>2</v>
      </c>
      <c r="K1244" s="7">
        <v>18.21</v>
      </c>
    </row>
    <row r="1245" spans="1:11" x14ac:dyDescent="0.3">
      <c r="A1245" s="2">
        <v>42555</v>
      </c>
      <c r="B1245" s="9">
        <f>MONTH(Table1[[#This Row],[Order Date]])</f>
        <v>7</v>
      </c>
      <c r="C1245" s="9">
        <f>YEAR(Table1[[#This Row],[Order Date]])</f>
        <v>2016</v>
      </c>
      <c r="D1245" t="s">
        <v>299</v>
      </c>
      <c r="E1245" t="s">
        <v>23</v>
      </c>
      <c r="F1245" t="s">
        <v>11</v>
      </c>
      <c r="G1245" t="s">
        <v>92</v>
      </c>
      <c r="H1245" t="s">
        <v>1794</v>
      </c>
      <c r="I1245" s="7">
        <v>33.53</v>
      </c>
      <c r="J1245" s="8">
        <v>3</v>
      </c>
      <c r="K1245" s="7">
        <v>2.5099999999999998</v>
      </c>
    </row>
    <row r="1246" spans="1:11" x14ac:dyDescent="0.3">
      <c r="A1246" s="2">
        <v>42555</v>
      </c>
      <c r="B1246" s="9">
        <f>MONTH(Table1[[#This Row],[Order Date]])</f>
        <v>7</v>
      </c>
      <c r="C1246" s="9">
        <f>YEAR(Table1[[#This Row],[Order Date]])</f>
        <v>2016</v>
      </c>
      <c r="D1246" t="s">
        <v>299</v>
      </c>
      <c r="E1246" t="s">
        <v>23</v>
      </c>
      <c r="F1246" t="s">
        <v>11</v>
      </c>
      <c r="G1246" t="s">
        <v>18</v>
      </c>
      <c r="H1246" t="s">
        <v>2444</v>
      </c>
      <c r="I1246" s="7">
        <v>36.74</v>
      </c>
      <c r="J1246" s="8">
        <v>3</v>
      </c>
      <c r="K1246" s="7">
        <v>3.67</v>
      </c>
    </row>
    <row r="1247" spans="1:11" x14ac:dyDescent="0.3">
      <c r="A1247" s="2">
        <v>42556</v>
      </c>
      <c r="B1247" s="9">
        <f>MONTH(Table1[[#This Row],[Order Date]])</f>
        <v>7</v>
      </c>
      <c r="C1247" s="9">
        <f>YEAR(Table1[[#This Row],[Order Date]])</f>
        <v>2016</v>
      </c>
      <c r="D1247" t="s">
        <v>2420</v>
      </c>
      <c r="E1247" t="s">
        <v>144</v>
      </c>
      <c r="F1247" t="s">
        <v>39</v>
      </c>
      <c r="G1247" t="s">
        <v>293</v>
      </c>
      <c r="H1247" t="s">
        <v>1859</v>
      </c>
      <c r="I1247" s="7">
        <v>3999.95</v>
      </c>
      <c r="J1247" s="8">
        <v>5</v>
      </c>
      <c r="K1247" s="7">
        <v>1159.99</v>
      </c>
    </row>
    <row r="1248" spans="1:11" x14ac:dyDescent="0.3">
      <c r="A1248" s="2">
        <v>42558</v>
      </c>
      <c r="B1248" s="9">
        <f>MONTH(Table1[[#This Row],[Order Date]])</f>
        <v>7</v>
      </c>
      <c r="C1248" s="9">
        <f>YEAR(Table1[[#This Row],[Order Date]])</f>
        <v>2016</v>
      </c>
      <c r="D1248" t="s">
        <v>196</v>
      </c>
      <c r="E1248" t="s">
        <v>15</v>
      </c>
      <c r="F1248" t="s">
        <v>34</v>
      </c>
      <c r="G1248" t="s">
        <v>47</v>
      </c>
      <c r="H1248" t="s">
        <v>1970</v>
      </c>
      <c r="I1248" s="7">
        <v>60.29</v>
      </c>
      <c r="J1248" s="8">
        <v>8</v>
      </c>
      <c r="K1248" s="7">
        <v>-27.13</v>
      </c>
    </row>
    <row r="1249" spans="1:11" x14ac:dyDescent="0.3">
      <c r="A1249" s="2">
        <v>42558</v>
      </c>
      <c r="B1249" s="9">
        <f>MONTH(Table1[[#This Row],[Order Date]])</f>
        <v>7</v>
      </c>
      <c r="C1249" s="9">
        <f>YEAR(Table1[[#This Row],[Order Date]])</f>
        <v>2016</v>
      </c>
      <c r="D1249" t="s">
        <v>1749</v>
      </c>
      <c r="E1249" t="s">
        <v>23</v>
      </c>
      <c r="F1249" t="s">
        <v>11</v>
      </c>
      <c r="G1249" t="s">
        <v>20</v>
      </c>
      <c r="H1249" t="s">
        <v>562</v>
      </c>
      <c r="I1249" s="7">
        <v>5.72</v>
      </c>
      <c r="J1249" s="8">
        <v>5</v>
      </c>
      <c r="K1249" s="7">
        <v>-4.76</v>
      </c>
    </row>
    <row r="1250" spans="1:11" x14ac:dyDescent="0.3">
      <c r="A1250" s="2">
        <v>42559</v>
      </c>
      <c r="B1250" s="9">
        <f>MONTH(Table1[[#This Row],[Order Date]])</f>
        <v>7</v>
      </c>
      <c r="C1250" s="9">
        <f>YEAR(Table1[[#This Row],[Order Date]])</f>
        <v>2016</v>
      </c>
      <c r="D1250" t="s">
        <v>1136</v>
      </c>
      <c r="E1250" t="s">
        <v>158</v>
      </c>
      <c r="F1250" t="s">
        <v>39</v>
      </c>
      <c r="G1250" t="s">
        <v>52</v>
      </c>
      <c r="H1250" t="s">
        <v>1443</v>
      </c>
      <c r="I1250" s="7">
        <v>179.97</v>
      </c>
      <c r="J1250" s="8">
        <v>3</v>
      </c>
      <c r="K1250" s="7">
        <v>86.39</v>
      </c>
    </row>
    <row r="1251" spans="1:11" x14ac:dyDescent="0.3">
      <c r="A1251" s="2">
        <v>42561</v>
      </c>
      <c r="B1251" s="9">
        <f>MONTH(Table1[[#This Row],[Order Date]])</f>
        <v>7</v>
      </c>
      <c r="C1251" s="9">
        <f>YEAR(Table1[[#This Row],[Order Date]])</f>
        <v>2016</v>
      </c>
      <c r="D1251" t="s">
        <v>930</v>
      </c>
      <c r="E1251" t="s">
        <v>23</v>
      </c>
      <c r="F1251" t="s">
        <v>11</v>
      </c>
      <c r="G1251" t="s">
        <v>16</v>
      </c>
      <c r="H1251" t="s">
        <v>2170</v>
      </c>
      <c r="I1251" s="7">
        <v>4.93</v>
      </c>
      <c r="J1251" s="8">
        <v>2</v>
      </c>
      <c r="K1251" s="7">
        <v>1.72</v>
      </c>
    </row>
    <row r="1252" spans="1:11" x14ac:dyDescent="0.3">
      <c r="A1252" s="2">
        <v>42562</v>
      </c>
      <c r="B1252" s="9">
        <f>MONTH(Table1[[#This Row],[Order Date]])</f>
        <v>7</v>
      </c>
      <c r="C1252" s="9">
        <f>YEAR(Table1[[#This Row],[Order Date]])</f>
        <v>2016</v>
      </c>
      <c r="D1252" t="s">
        <v>2060</v>
      </c>
      <c r="E1252" t="s">
        <v>158</v>
      </c>
      <c r="F1252" t="s">
        <v>11</v>
      </c>
      <c r="G1252" t="s">
        <v>20</v>
      </c>
      <c r="H1252" t="s">
        <v>2073</v>
      </c>
      <c r="I1252" s="7">
        <v>27.68</v>
      </c>
      <c r="J1252" s="8">
        <v>2</v>
      </c>
      <c r="K1252" s="7">
        <v>9.69</v>
      </c>
    </row>
    <row r="1253" spans="1:11" x14ac:dyDescent="0.3">
      <c r="A1253" s="2">
        <v>42562</v>
      </c>
      <c r="B1253" s="9">
        <f>MONTH(Table1[[#This Row],[Order Date]])</f>
        <v>7</v>
      </c>
      <c r="C1253" s="9">
        <f>YEAR(Table1[[#This Row],[Order Date]])</f>
        <v>2016</v>
      </c>
      <c r="D1253" t="s">
        <v>1838</v>
      </c>
      <c r="E1253" t="s">
        <v>27</v>
      </c>
      <c r="F1253" t="s">
        <v>34</v>
      </c>
      <c r="G1253" t="s">
        <v>47</v>
      </c>
      <c r="H1253" t="s">
        <v>2446</v>
      </c>
      <c r="I1253" s="7">
        <v>14.82</v>
      </c>
      <c r="J1253" s="8">
        <v>3</v>
      </c>
      <c r="K1253" s="7">
        <v>6.22</v>
      </c>
    </row>
    <row r="1254" spans="1:11" x14ac:dyDescent="0.3">
      <c r="A1254" s="2">
        <v>42562</v>
      </c>
      <c r="B1254" s="9">
        <f>MONTH(Table1[[#This Row],[Order Date]])</f>
        <v>7</v>
      </c>
      <c r="C1254" s="9">
        <f>YEAR(Table1[[#This Row],[Order Date]])</f>
        <v>2016</v>
      </c>
      <c r="D1254" t="s">
        <v>1258</v>
      </c>
      <c r="E1254" t="s">
        <v>144</v>
      </c>
      <c r="F1254" t="s">
        <v>11</v>
      </c>
      <c r="G1254" t="s">
        <v>12</v>
      </c>
      <c r="H1254" t="s">
        <v>1142</v>
      </c>
      <c r="I1254" s="7">
        <v>12.96</v>
      </c>
      <c r="J1254" s="8">
        <v>2</v>
      </c>
      <c r="K1254" s="7">
        <v>6.22</v>
      </c>
    </row>
    <row r="1255" spans="1:11" x14ac:dyDescent="0.3">
      <c r="A1255" s="2">
        <v>42562</v>
      </c>
      <c r="B1255" s="9">
        <f>MONTH(Table1[[#This Row],[Order Date]])</f>
        <v>7</v>
      </c>
      <c r="C1255" s="9">
        <f>YEAR(Table1[[#This Row],[Order Date]])</f>
        <v>2016</v>
      </c>
      <c r="D1255" t="s">
        <v>882</v>
      </c>
      <c r="E1255" t="s">
        <v>10</v>
      </c>
      <c r="F1255" t="s">
        <v>34</v>
      </c>
      <c r="G1255" t="s">
        <v>47</v>
      </c>
      <c r="H1255" t="s">
        <v>2383</v>
      </c>
      <c r="I1255" s="7">
        <v>44.46</v>
      </c>
      <c r="J1255" s="8">
        <v>5</v>
      </c>
      <c r="K1255" s="7">
        <v>-17.78</v>
      </c>
    </row>
    <row r="1256" spans="1:11" x14ac:dyDescent="0.3">
      <c r="A1256" s="2">
        <v>42562</v>
      </c>
      <c r="B1256" s="9">
        <f>MONTH(Table1[[#This Row],[Order Date]])</f>
        <v>7</v>
      </c>
      <c r="C1256" s="9">
        <f>YEAR(Table1[[#This Row],[Order Date]])</f>
        <v>2016</v>
      </c>
      <c r="D1256" t="s">
        <v>882</v>
      </c>
      <c r="E1256" t="s">
        <v>10</v>
      </c>
      <c r="F1256" t="s">
        <v>11</v>
      </c>
      <c r="G1256" t="s">
        <v>18</v>
      </c>
      <c r="H1256" t="s">
        <v>2328</v>
      </c>
      <c r="I1256" s="7">
        <v>314.08999999999997</v>
      </c>
      <c r="J1256" s="8">
        <v>3</v>
      </c>
      <c r="K1256" s="7">
        <v>19.63</v>
      </c>
    </row>
    <row r="1257" spans="1:11" x14ac:dyDescent="0.3">
      <c r="A1257" s="2">
        <v>42562</v>
      </c>
      <c r="B1257" s="9">
        <f>MONTH(Table1[[#This Row],[Order Date]])</f>
        <v>7</v>
      </c>
      <c r="C1257" s="9">
        <f>YEAR(Table1[[#This Row],[Order Date]])</f>
        <v>2016</v>
      </c>
      <c r="D1257" t="s">
        <v>1372</v>
      </c>
      <c r="E1257" t="s">
        <v>27</v>
      </c>
      <c r="F1257" t="s">
        <v>11</v>
      </c>
      <c r="G1257" t="s">
        <v>20</v>
      </c>
      <c r="H1257" t="s">
        <v>303</v>
      </c>
      <c r="I1257" s="7">
        <v>57.58</v>
      </c>
      <c r="J1257" s="8">
        <v>2</v>
      </c>
      <c r="K1257" s="7">
        <v>20.149999999999999</v>
      </c>
    </row>
    <row r="1258" spans="1:11" x14ac:dyDescent="0.3">
      <c r="A1258" s="2">
        <v>42584</v>
      </c>
      <c r="B1258" s="9">
        <f>MONTH(Table1[[#This Row],[Order Date]])</f>
        <v>8</v>
      </c>
      <c r="C1258" s="9">
        <f>YEAR(Table1[[#This Row],[Order Date]])</f>
        <v>2016</v>
      </c>
      <c r="D1258" t="s">
        <v>2087</v>
      </c>
      <c r="E1258" t="s">
        <v>237</v>
      </c>
      <c r="F1258" t="s">
        <v>39</v>
      </c>
      <c r="G1258" t="s">
        <v>40</v>
      </c>
      <c r="H1258" t="s">
        <v>2148</v>
      </c>
      <c r="I1258" s="7">
        <v>1127.98</v>
      </c>
      <c r="J1258" s="8">
        <v>3</v>
      </c>
      <c r="K1258" s="7">
        <v>126.9</v>
      </c>
    </row>
    <row r="1259" spans="1:11" x14ac:dyDescent="0.3">
      <c r="A1259" s="2">
        <v>42585</v>
      </c>
      <c r="B1259" s="9">
        <f>MONTH(Table1[[#This Row],[Order Date]])</f>
        <v>8</v>
      </c>
      <c r="C1259" s="9">
        <f>YEAR(Table1[[#This Row],[Order Date]])</f>
        <v>2016</v>
      </c>
      <c r="D1259" t="s">
        <v>2064</v>
      </c>
      <c r="E1259" t="s">
        <v>144</v>
      </c>
      <c r="F1259" t="s">
        <v>11</v>
      </c>
      <c r="G1259" t="s">
        <v>12</v>
      </c>
      <c r="H1259" t="s">
        <v>1132</v>
      </c>
      <c r="I1259" s="7">
        <v>12.96</v>
      </c>
      <c r="J1259" s="8">
        <v>2</v>
      </c>
      <c r="K1259" s="7">
        <v>6.35</v>
      </c>
    </row>
    <row r="1260" spans="1:11" x14ac:dyDescent="0.3">
      <c r="A1260" s="2">
        <v>42585</v>
      </c>
      <c r="B1260" s="9">
        <f>MONTH(Table1[[#This Row],[Order Date]])</f>
        <v>8</v>
      </c>
      <c r="C1260" s="9">
        <f>YEAR(Table1[[#This Row],[Order Date]])</f>
        <v>2016</v>
      </c>
      <c r="D1260" t="s">
        <v>2214</v>
      </c>
      <c r="E1260" t="s">
        <v>10</v>
      </c>
      <c r="F1260" t="s">
        <v>39</v>
      </c>
      <c r="G1260" t="s">
        <v>52</v>
      </c>
      <c r="H1260" t="s">
        <v>1298</v>
      </c>
      <c r="I1260" s="7">
        <v>27.96</v>
      </c>
      <c r="J1260" s="8">
        <v>5</v>
      </c>
      <c r="K1260" s="7">
        <v>8.39</v>
      </c>
    </row>
    <row r="1261" spans="1:11" x14ac:dyDescent="0.3">
      <c r="A1261" s="2">
        <v>42585</v>
      </c>
      <c r="B1261" s="9">
        <f>MONTH(Table1[[#This Row],[Order Date]])</f>
        <v>8</v>
      </c>
      <c r="C1261" s="9">
        <f>YEAR(Table1[[#This Row],[Order Date]])</f>
        <v>2016</v>
      </c>
      <c r="D1261" t="s">
        <v>2214</v>
      </c>
      <c r="E1261" t="s">
        <v>10</v>
      </c>
      <c r="F1261" t="s">
        <v>11</v>
      </c>
      <c r="G1261" t="s">
        <v>63</v>
      </c>
      <c r="H1261" t="s">
        <v>1292</v>
      </c>
      <c r="I1261" s="7">
        <v>146.35</v>
      </c>
      <c r="J1261" s="8">
        <v>3</v>
      </c>
      <c r="K1261" s="7">
        <v>49.39</v>
      </c>
    </row>
    <row r="1262" spans="1:11" x14ac:dyDescent="0.3">
      <c r="A1262" s="2">
        <v>42585</v>
      </c>
      <c r="B1262" s="9">
        <f>MONTH(Table1[[#This Row],[Order Date]])</f>
        <v>8</v>
      </c>
      <c r="C1262" s="9">
        <f>YEAR(Table1[[#This Row],[Order Date]])</f>
        <v>2016</v>
      </c>
      <c r="D1262" t="s">
        <v>522</v>
      </c>
      <c r="E1262" t="s">
        <v>108</v>
      </c>
      <c r="F1262" t="s">
        <v>11</v>
      </c>
      <c r="G1262" t="s">
        <v>92</v>
      </c>
      <c r="H1262" t="s">
        <v>2410</v>
      </c>
      <c r="I1262" s="7">
        <v>207.14</v>
      </c>
      <c r="J1262" s="8">
        <v>3</v>
      </c>
      <c r="K1262" s="7">
        <v>48.33</v>
      </c>
    </row>
    <row r="1263" spans="1:11" x14ac:dyDescent="0.3">
      <c r="A1263" s="2">
        <v>42586</v>
      </c>
      <c r="B1263" s="9">
        <f>MONTH(Table1[[#This Row],[Order Date]])</f>
        <v>8</v>
      </c>
      <c r="C1263" s="9">
        <f>YEAR(Table1[[#This Row],[Order Date]])</f>
        <v>2016</v>
      </c>
      <c r="D1263" t="s">
        <v>1580</v>
      </c>
      <c r="E1263" t="s">
        <v>144</v>
      </c>
      <c r="F1263" t="s">
        <v>34</v>
      </c>
      <c r="G1263" t="s">
        <v>74</v>
      </c>
      <c r="H1263" t="s">
        <v>2308</v>
      </c>
      <c r="I1263" s="7">
        <v>388.7</v>
      </c>
      <c r="J1263" s="8">
        <v>6</v>
      </c>
      <c r="K1263" s="7">
        <v>-4.8600000000000003</v>
      </c>
    </row>
    <row r="1264" spans="1:11" x14ac:dyDescent="0.3">
      <c r="A1264" s="2">
        <v>42586</v>
      </c>
      <c r="B1264" s="9">
        <f>MONTH(Table1[[#This Row],[Order Date]])</f>
        <v>8</v>
      </c>
      <c r="C1264" s="9">
        <f>YEAR(Table1[[#This Row],[Order Date]])</f>
        <v>2016</v>
      </c>
      <c r="D1264" t="s">
        <v>1235</v>
      </c>
      <c r="E1264" t="s">
        <v>27</v>
      </c>
      <c r="F1264" t="s">
        <v>11</v>
      </c>
      <c r="G1264" t="s">
        <v>12</v>
      </c>
      <c r="H1264" t="s">
        <v>79</v>
      </c>
      <c r="I1264" s="7">
        <v>20.04</v>
      </c>
      <c r="J1264" s="8">
        <v>3</v>
      </c>
      <c r="K1264" s="7">
        <v>9.6199999999999992</v>
      </c>
    </row>
    <row r="1265" spans="1:11" x14ac:dyDescent="0.3">
      <c r="A1265" s="2">
        <v>42586</v>
      </c>
      <c r="B1265" s="9">
        <f>MONTH(Table1[[#This Row],[Order Date]])</f>
        <v>8</v>
      </c>
      <c r="C1265" s="9">
        <f>YEAR(Table1[[#This Row],[Order Date]])</f>
        <v>2016</v>
      </c>
      <c r="D1265" t="s">
        <v>1426</v>
      </c>
      <c r="E1265" t="s">
        <v>10</v>
      </c>
      <c r="F1265" t="s">
        <v>39</v>
      </c>
      <c r="G1265" t="s">
        <v>52</v>
      </c>
      <c r="H1265" t="s">
        <v>2114</v>
      </c>
      <c r="I1265" s="7">
        <v>431.93</v>
      </c>
      <c r="J1265" s="8">
        <v>9</v>
      </c>
      <c r="K1265" s="7">
        <v>64.790000000000006</v>
      </c>
    </row>
    <row r="1266" spans="1:11" x14ac:dyDescent="0.3">
      <c r="A1266" s="2">
        <v>42586</v>
      </c>
      <c r="B1266" s="9">
        <f>MONTH(Table1[[#This Row],[Order Date]])</f>
        <v>8</v>
      </c>
      <c r="C1266" s="9">
        <f>YEAR(Table1[[#This Row],[Order Date]])</f>
        <v>2016</v>
      </c>
      <c r="D1266" t="s">
        <v>1462</v>
      </c>
      <c r="E1266" t="s">
        <v>78</v>
      </c>
      <c r="F1266" t="s">
        <v>11</v>
      </c>
      <c r="G1266" t="s">
        <v>63</v>
      </c>
      <c r="H1266" t="s">
        <v>2445</v>
      </c>
      <c r="I1266" s="7">
        <v>8.8699999999999992</v>
      </c>
      <c r="J1266" s="8">
        <v>1</v>
      </c>
      <c r="K1266" s="7">
        <v>3.22</v>
      </c>
    </row>
    <row r="1267" spans="1:11" x14ac:dyDescent="0.3">
      <c r="A1267" s="2">
        <v>42586</v>
      </c>
      <c r="B1267" s="9">
        <f>MONTH(Table1[[#This Row],[Order Date]])</f>
        <v>8</v>
      </c>
      <c r="C1267" s="9">
        <f>YEAR(Table1[[#This Row],[Order Date]])</f>
        <v>2016</v>
      </c>
      <c r="D1267" t="s">
        <v>622</v>
      </c>
      <c r="E1267" t="s">
        <v>30</v>
      </c>
      <c r="F1267" t="s">
        <v>11</v>
      </c>
      <c r="G1267" t="s">
        <v>63</v>
      </c>
      <c r="H1267" t="s">
        <v>2447</v>
      </c>
      <c r="I1267" s="7">
        <v>17.920000000000002</v>
      </c>
      <c r="J1267" s="8">
        <v>4</v>
      </c>
      <c r="K1267" s="7">
        <v>8.6</v>
      </c>
    </row>
    <row r="1268" spans="1:11" x14ac:dyDescent="0.3">
      <c r="A1268" s="2">
        <v>42586</v>
      </c>
      <c r="B1268" s="9">
        <f>MONTH(Table1[[#This Row],[Order Date]])</f>
        <v>8</v>
      </c>
      <c r="C1268" s="9">
        <f>YEAR(Table1[[#This Row],[Order Date]])</f>
        <v>2016</v>
      </c>
      <c r="D1268" t="s">
        <v>642</v>
      </c>
      <c r="E1268" t="s">
        <v>30</v>
      </c>
      <c r="F1268" t="s">
        <v>34</v>
      </c>
      <c r="G1268" t="s">
        <v>74</v>
      </c>
      <c r="H1268" t="s">
        <v>814</v>
      </c>
      <c r="I1268" s="7">
        <v>354.9</v>
      </c>
      <c r="J1268" s="8">
        <v>5</v>
      </c>
      <c r="K1268" s="7">
        <v>88.73</v>
      </c>
    </row>
    <row r="1269" spans="1:11" x14ac:dyDescent="0.3">
      <c r="A1269" s="2">
        <v>42586</v>
      </c>
      <c r="B1269" s="9">
        <f>MONTH(Table1[[#This Row],[Order Date]])</f>
        <v>8</v>
      </c>
      <c r="C1269" s="9">
        <f>YEAR(Table1[[#This Row],[Order Date]])</f>
        <v>2016</v>
      </c>
      <c r="D1269" t="s">
        <v>284</v>
      </c>
      <c r="E1269" t="s">
        <v>100</v>
      </c>
      <c r="F1269" t="s">
        <v>34</v>
      </c>
      <c r="G1269" t="s">
        <v>47</v>
      </c>
      <c r="H1269" t="s">
        <v>1666</v>
      </c>
      <c r="I1269" s="7">
        <v>159.91999999999999</v>
      </c>
      <c r="J1269" s="8">
        <v>4</v>
      </c>
      <c r="K1269" s="7">
        <v>31.98</v>
      </c>
    </row>
    <row r="1270" spans="1:11" x14ac:dyDescent="0.3">
      <c r="A1270" s="2">
        <v>42587</v>
      </c>
      <c r="B1270" s="9">
        <f>MONTH(Table1[[#This Row],[Order Date]])</f>
        <v>8</v>
      </c>
      <c r="C1270" s="9">
        <f>YEAR(Table1[[#This Row],[Order Date]])</f>
        <v>2016</v>
      </c>
      <c r="D1270" t="s">
        <v>570</v>
      </c>
      <c r="E1270" t="s">
        <v>59</v>
      </c>
      <c r="F1270" t="s">
        <v>34</v>
      </c>
      <c r="G1270" t="s">
        <v>47</v>
      </c>
      <c r="H1270" t="s">
        <v>2151</v>
      </c>
      <c r="I1270" s="7">
        <v>211.96</v>
      </c>
      <c r="J1270" s="8">
        <v>2</v>
      </c>
      <c r="K1270" s="7">
        <v>42.39</v>
      </c>
    </row>
    <row r="1271" spans="1:11" x14ac:dyDescent="0.3">
      <c r="A1271" s="2">
        <v>42589</v>
      </c>
      <c r="B1271" s="9">
        <f>MONTH(Table1[[#This Row],[Order Date]])</f>
        <v>8</v>
      </c>
      <c r="C1271" s="9">
        <f>YEAR(Table1[[#This Row],[Order Date]])</f>
        <v>2016</v>
      </c>
      <c r="D1271" t="s">
        <v>2504</v>
      </c>
      <c r="E1271" t="s">
        <v>10</v>
      </c>
      <c r="F1271" t="s">
        <v>39</v>
      </c>
      <c r="G1271" t="s">
        <v>40</v>
      </c>
      <c r="H1271" t="s">
        <v>2382</v>
      </c>
      <c r="I1271" s="7">
        <v>863.64</v>
      </c>
      <c r="J1271" s="8">
        <v>9</v>
      </c>
      <c r="K1271" s="7">
        <v>107.96</v>
      </c>
    </row>
    <row r="1272" spans="1:11" x14ac:dyDescent="0.3">
      <c r="A1272" s="2">
        <v>42589</v>
      </c>
      <c r="B1272" s="9">
        <f>MONTH(Table1[[#This Row],[Order Date]])</f>
        <v>8</v>
      </c>
      <c r="C1272" s="9">
        <f>YEAR(Table1[[#This Row],[Order Date]])</f>
        <v>2016</v>
      </c>
      <c r="D1272" t="s">
        <v>1243</v>
      </c>
      <c r="E1272" t="s">
        <v>158</v>
      </c>
      <c r="F1272" t="s">
        <v>39</v>
      </c>
      <c r="G1272" t="s">
        <v>40</v>
      </c>
      <c r="H1272" t="s">
        <v>1662</v>
      </c>
      <c r="I1272" s="7">
        <v>107.98</v>
      </c>
      <c r="J1272" s="8">
        <v>1</v>
      </c>
      <c r="K1272" s="7">
        <v>9.4499999999999993</v>
      </c>
    </row>
    <row r="1273" spans="1:11" x14ac:dyDescent="0.3">
      <c r="A1273" s="2">
        <v>42589</v>
      </c>
      <c r="B1273" s="9">
        <f>MONTH(Table1[[#This Row],[Order Date]])</f>
        <v>8</v>
      </c>
      <c r="C1273" s="9">
        <f>YEAR(Table1[[#This Row],[Order Date]])</f>
        <v>2016</v>
      </c>
      <c r="D1273" t="s">
        <v>1155</v>
      </c>
      <c r="E1273" t="s">
        <v>120</v>
      </c>
      <c r="F1273" t="s">
        <v>39</v>
      </c>
      <c r="G1273" t="s">
        <v>40</v>
      </c>
      <c r="H1273" t="s">
        <v>2531</v>
      </c>
      <c r="I1273" s="7">
        <v>823.96</v>
      </c>
      <c r="J1273" s="8">
        <v>5</v>
      </c>
      <c r="K1273" s="7">
        <v>51.5</v>
      </c>
    </row>
    <row r="1274" spans="1:11" x14ac:dyDescent="0.3">
      <c r="A1274" s="2">
        <v>42589</v>
      </c>
      <c r="B1274" s="9">
        <f>MONTH(Table1[[#This Row],[Order Date]])</f>
        <v>8</v>
      </c>
      <c r="C1274" s="9">
        <f>YEAR(Table1[[#This Row],[Order Date]])</f>
        <v>2016</v>
      </c>
      <c r="D1274" t="s">
        <v>1155</v>
      </c>
      <c r="E1274" t="s">
        <v>120</v>
      </c>
      <c r="F1274" t="s">
        <v>11</v>
      </c>
      <c r="G1274" t="s">
        <v>12</v>
      </c>
      <c r="H1274" t="s">
        <v>1139</v>
      </c>
      <c r="I1274" s="7">
        <v>15.98</v>
      </c>
      <c r="J1274" s="8">
        <v>2</v>
      </c>
      <c r="K1274" s="7">
        <v>5</v>
      </c>
    </row>
    <row r="1275" spans="1:11" x14ac:dyDescent="0.3">
      <c r="A1275" s="2">
        <v>42590</v>
      </c>
      <c r="B1275" s="9">
        <f>MONTH(Table1[[#This Row],[Order Date]])</f>
        <v>8</v>
      </c>
      <c r="C1275" s="9">
        <f>YEAR(Table1[[#This Row],[Order Date]])</f>
        <v>2016</v>
      </c>
      <c r="D1275" t="s">
        <v>1414</v>
      </c>
      <c r="E1275" t="s">
        <v>10</v>
      </c>
      <c r="F1275" t="s">
        <v>11</v>
      </c>
      <c r="G1275" t="s">
        <v>12</v>
      </c>
      <c r="H1275" t="s">
        <v>2437</v>
      </c>
      <c r="I1275" s="7">
        <v>53.95</v>
      </c>
      <c r="J1275" s="8">
        <v>3</v>
      </c>
      <c r="K1275" s="7">
        <v>17.53</v>
      </c>
    </row>
    <row r="1276" spans="1:11" x14ac:dyDescent="0.3">
      <c r="A1276" s="2">
        <v>42590</v>
      </c>
      <c r="B1276" s="9">
        <f>MONTH(Table1[[#This Row],[Order Date]])</f>
        <v>8</v>
      </c>
      <c r="C1276" s="9">
        <f>YEAR(Table1[[#This Row],[Order Date]])</f>
        <v>2016</v>
      </c>
      <c r="D1276" t="s">
        <v>2176</v>
      </c>
      <c r="E1276" t="s">
        <v>27</v>
      </c>
      <c r="F1276" t="s">
        <v>34</v>
      </c>
      <c r="G1276" t="s">
        <v>140</v>
      </c>
      <c r="H1276" t="s">
        <v>1769</v>
      </c>
      <c r="I1276" s="7">
        <v>513.02</v>
      </c>
      <c r="J1276" s="8">
        <v>2</v>
      </c>
      <c r="K1276" s="7">
        <v>12.83</v>
      </c>
    </row>
    <row r="1277" spans="1:11" x14ac:dyDescent="0.3">
      <c r="A1277" s="2">
        <v>42590</v>
      </c>
      <c r="B1277" s="9">
        <f>MONTH(Table1[[#This Row],[Order Date]])</f>
        <v>8</v>
      </c>
      <c r="C1277" s="9">
        <f>YEAR(Table1[[#This Row],[Order Date]])</f>
        <v>2016</v>
      </c>
      <c r="D1277" t="s">
        <v>955</v>
      </c>
      <c r="E1277" t="s">
        <v>819</v>
      </c>
      <c r="F1277" t="s">
        <v>11</v>
      </c>
      <c r="G1277" t="s">
        <v>12</v>
      </c>
      <c r="H1277" t="s">
        <v>1344</v>
      </c>
      <c r="I1277" s="7">
        <v>10.56</v>
      </c>
      <c r="J1277" s="8">
        <v>2</v>
      </c>
      <c r="K1277" s="7">
        <v>4.75</v>
      </c>
    </row>
    <row r="1278" spans="1:11" x14ac:dyDescent="0.3">
      <c r="A1278" s="2">
        <v>42591</v>
      </c>
      <c r="B1278" s="9">
        <f>MONTH(Table1[[#This Row],[Order Date]])</f>
        <v>8</v>
      </c>
      <c r="C1278" s="9">
        <f>YEAR(Table1[[#This Row],[Order Date]])</f>
        <v>2016</v>
      </c>
      <c r="D1278" t="s">
        <v>2018</v>
      </c>
      <c r="E1278" t="s">
        <v>10</v>
      </c>
      <c r="F1278" t="s">
        <v>39</v>
      </c>
      <c r="G1278" t="s">
        <v>52</v>
      </c>
      <c r="H1278" t="s">
        <v>847</v>
      </c>
      <c r="I1278" s="7">
        <v>57.58</v>
      </c>
      <c r="J1278" s="8">
        <v>2</v>
      </c>
      <c r="K1278" s="7">
        <v>0.72</v>
      </c>
    </row>
    <row r="1279" spans="1:11" x14ac:dyDescent="0.3">
      <c r="A1279" s="2">
        <v>42591</v>
      </c>
      <c r="B1279" s="9">
        <f>MONTH(Table1[[#This Row],[Order Date]])</f>
        <v>8</v>
      </c>
      <c r="C1279" s="9">
        <f>YEAR(Table1[[#This Row],[Order Date]])</f>
        <v>2016</v>
      </c>
      <c r="D1279" t="s">
        <v>478</v>
      </c>
      <c r="E1279" t="s">
        <v>27</v>
      </c>
      <c r="F1279" t="s">
        <v>11</v>
      </c>
      <c r="G1279" t="s">
        <v>20</v>
      </c>
      <c r="H1279" t="s">
        <v>1147</v>
      </c>
      <c r="I1279" s="7">
        <v>33.020000000000003</v>
      </c>
      <c r="J1279" s="8">
        <v>2</v>
      </c>
      <c r="K1279" s="7">
        <v>11.56</v>
      </c>
    </row>
    <row r="1280" spans="1:11" x14ac:dyDescent="0.3">
      <c r="A1280" s="2">
        <v>42591</v>
      </c>
      <c r="B1280" s="9">
        <f>MONTH(Table1[[#This Row],[Order Date]])</f>
        <v>8</v>
      </c>
      <c r="C1280" s="9">
        <f>YEAR(Table1[[#This Row],[Order Date]])</f>
        <v>2016</v>
      </c>
      <c r="D1280" t="s">
        <v>238</v>
      </c>
      <c r="E1280" t="s">
        <v>422</v>
      </c>
      <c r="F1280" t="s">
        <v>11</v>
      </c>
      <c r="G1280" t="s">
        <v>16</v>
      </c>
      <c r="H1280" t="s">
        <v>1659</v>
      </c>
      <c r="I1280" s="7">
        <v>14.76</v>
      </c>
      <c r="J1280" s="8">
        <v>4</v>
      </c>
      <c r="K1280" s="7">
        <v>6.94</v>
      </c>
    </row>
    <row r="1281" spans="1:11" x14ac:dyDescent="0.3">
      <c r="A1281" s="2">
        <v>42591</v>
      </c>
      <c r="B1281" s="9">
        <f>MONTH(Table1[[#This Row],[Order Date]])</f>
        <v>8</v>
      </c>
      <c r="C1281" s="9">
        <f>YEAR(Table1[[#This Row],[Order Date]])</f>
        <v>2016</v>
      </c>
      <c r="D1281" t="s">
        <v>214</v>
      </c>
      <c r="E1281" t="s">
        <v>144</v>
      </c>
      <c r="F1281" t="s">
        <v>11</v>
      </c>
      <c r="G1281" t="s">
        <v>92</v>
      </c>
      <c r="H1281" t="s">
        <v>2001</v>
      </c>
      <c r="I1281" s="7">
        <v>207.48</v>
      </c>
      <c r="J1281" s="8">
        <v>1</v>
      </c>
      <c r="K1281" s="7">
        <v>62.24</v>
      </c>
    </row>
    <row r="1282" spans="1:11" x14ac:dyDescent="0.3">
      <c r="A1282" s="2">
        <v>42591</v>
      </c>
      <c r="B1282" s="9">
        <f>MONTH(Table1[[#This Row],[Order Date]])</f>
        <v>8</v>
      </c>
      <c r="C1282" s="9">
        <f>YEAR(Table1[[#This Row],[Order Date]])</f>
        <v>2016</v>
      </c>
      <c r="D1282" t="s">
        <v>440</v>
      </c>
      <c r="E1282" t="s">
        <v>10</v>
      </c>
      <c r="F1282" t="s">
        <v>39</v>
      </c>
      <c r="G1282" t="s">
        <v>40</v>
      </c>
      <c r="H1282" t="s">
        <v>2167</v>
      </c>
      <c r="I1282" s="7">
        <v>59.96</v>
      </c>
      <c r="J1282" s="8">
        <v>5</v>
      </c>
      <c r="K1282" s="7">
        <v>21.74</v>
      </c>
    </row>
    <row r="1283" spans="1:11" x14ac:dyDescent="0.3">
      <c r="A1283" s="2">
        <v>42591</v>
      </c>
      <c r="B1283" s="9">
        <f>MONTH(Table1[[#This Row],[Order Date]])</f>
        <v>8</v>
      </c>
      <c r="C1283" s="9">
        <f>YEAR(Table1[[#This Row],[Order Date]])</f>
        <v>2016</v>
      </c>
      <c r="D1283" t="s">
        <v>2453</v>
      </c>
      <c r="E1283" t="s">
        <v>237</v>
      </c>
      <c r="F1283" t="s">
        <v>11</v>
      </c>
      <c r="G1283" t="s">
        <v>12</v>
      </c>
      <c r="H1283" t="s">
        <v>2113</v>
      </c>
      <c r="I1283" s="7">
        <v>64.7</v>
      </c>
      <c r="J1283" s="8">
        <v>3</v>
      </c>
      <c r="K1283" s="7">
        <v>23.46</v>
      </c>
    </row>
    <row r="1284" spans="1:11" x14ac:dyDescent="0.3">
      <c r="A1284" s="2">
        <v>42591</v>
      </c>
      <c r="B1284" s="9">
        <f>MONTH(Table1[[#This Row],[Order Date]])</f>
        <v>8</v>
      </c>
      <c r="C1284" s="9">
        <f>YEAR(Table1[[#This Row],[Order Date]])</f>
        <v>2016</v>
      </c>
      <c r="D1284" t="s">
        <v>473</v>
      </c>
      <c r="E1284" t="s">
        <v>27</v>
      </c>
      <c r="F1284" t="s">
        <v>34</v>
      </c>
      <c r="G1284" t="s">
        <v>140</v>
      </c>
      <c r="H1284" t="s">
        <v>1465</v>
      </c>
      <c r="I1284" s="7">
        <v>146.04</v>
      </c>
      <c r="J1284" s="8">
        <v>1</v>
      </c>
      <c r="K1284" s="7">
        <v>-12.78</v>
      </c>
    </row>
    <row r="1285" spans="1:11" x14ac:dyDescent="0.3">
      <c r="A1285" s="2">
        <v>42591</v>
      </c>
      <c r="B1285" s="9">
        <f>MONTH(Table1[[#This Row],[Order Date]])</f>
        <v>8</v>
      </c>
      <c r="C1285" s="9">
        <f>YEAR(Table1[[#This Row],[Order Date]])</f>
        <v>2016</v>
      </c>
      <c r="D1285" t="s">
        <v>1681</v>
      </c>
      <c r="E1285" t="s">
        <v>158</v>
      </c>
      <c r="F1285" t="s">
        <v>11</v>
      </c>
      <c r="G1285" t="s">
        <v>12</v>
      </c>
      <c r="H1285" t="s">
        <v>1941</v>
      </c>
      <c r="I1285" s="7">
        <v>30.87</v>
      </c>
      <c r="J1285" s="8">
        <v>7</v>
      </c>
      <c r="K1285" s="7">
        <v>14.2</v>
      </c>
    </row>
    <row r="1286" spans="1:11" x14ac:dyDescent="0.3">
      <c r="A1286" s="2">
        <v>42591</v>
      </c>
      <c r="B1286" s="9">
        <f>MONTH(Table1[[#This Row],[Order Date]])</f>
        <v>8</v>
      </c>
      <c r="C1286" s="9">
        <f>YEAR(Table1[[#This Row],[Order Date]])</f>
        <v>2016</v>
      </c>
      <c r="D1286" t="s">
        <v>2507</v>
      </c>
      <c r="E1286" t="s">
        <v>27</v>
      </c>
      <c r="F1286" t="s">
        <v>11</v>
      </c>
      <c r="G1286" t="s">
        <v>24</v>
      </c>
      <c r="H1286" t="s">
        <v>374</v>
      </c>
      <c r="I1286" s="7">
        <v>14.88</v>
      </c>
      <c r="J1286" s="8">
        <v>2</v>
      </c>
      <c r="K1286" s="7">
        <v>3.72</v>
      </c>
    </row>
    <row r="1287" spans="1:11" x14ac:dyDescent="0.3">
      <c r="A1287" s="2">
        <v>42593</v>
      </c>
      <c r="B1287" s="9">
        <f>MONTH(Table1[[#This Row],[Order Date]])</f>
        <v>8</v>
      </c>
      <c r="C1287" s="9">
        <f>YEAR(Table1[[#This Row],[Order Date]])</f>
        <v>2016</v>
      </c>
      <c r="D1287" t="s">
        <v>2241</v>
      </c>
      <c r="E1287" t="s">
        <v>33</v>
      </c>
      <c r="F1287" t="s">
        <v>34</v>
      </c>
      <c r="G1287" t="s">
        <v>74</v>
      </c>
      <c r="H1287" t="s">
        <v>2450</v>
      </c>
      <c r="I1287" s="7">
        <v>261.95999999999998</v>
      </c>
      <c r="J1287" s="8">
        <v>2</v>
      </c>
      <c r="K1287" s="7">
        <v>41.91</v>
      </c>
    </row>
    <row r="1288" spans="1:11" x14ac:dyDescent="0.3">
      <c r="A1288" s="2">
        <v>42594</v>
      </c>
      <c r="B1288" s="9">
        <f>MONTH(Table1[[#This Row],[Order Date]])</f>
        <v>8</v>
      </c>
      <c r="C1288" s="9">
        <f>YEAR(Table1[[#This Row],[Order Date]])</f>
        <v>2016</v>
      </c>
      <c r="D1288" t="s">
        <v>2236</v>
      </c>
      <c r="E1288" t="s">
        <v>10</v>
      </c>
      <c r="F1288" t="s">
        <v>34</v>
      </c>
      <c r="G1288" t="s">
        <v>47</v>
      </c>
      <c r="H1288" t="s">
        <v>2569</v>
      </c>
      <c r="I1288" s="7">
        <v>190.92</v>
      </c>
      <c r="J1288" s="8">
        <v>5</v>
      </c>
      <c r="K1288" s="7">
        <v>-147.96</v>
      </c>
    </row>
    <row r="1289" spans="1:11" x14ac:dyDescent="0.3">
      <c r="A1289" s="2">
        <v>42594</v>
      </c>
      <c r="B1289" s="9">
        <f>MONTH(Table1[[#This Row],[Order Date]])</f>
        <v>8</v>
      </c>
      <c r="C1289" s="9">
        <f>YEAR(Table1[[#This Row],[Order Date]])</f>
        <v>2016</v>
      </c>
      <c r="D1289" t="s">
        <v>327</v>
      </c>
      <c r="E1289" t="s">
        <v>308</v>
      </c>
      <c r="F1289" t="s">
        <v>39</v>
      </c>
      <c r="G1289" t="s">
        <v>40</v>
      </c>
      <c r="H1289" t="s">
        <v>2229</v>
      </c>
      <c r="I1289" s="7">
        <v>114.95</v>
      </c>
      <c r="J1289" s="8">
        <v>5</v>
      </c>
      <c r="K1289" s="7">
        <v>2.2999999999999998</v>
      </c>
    </row>
    <row r="1290" spans="1:11" x14ac:dyDescent="0.3">
      <c r="A1290" s="2">
        <v>42594</v>
      </c>
      <c r="B1290" s="9">
        <f>MONTH(Table1[[#This Row],[Order Date]])</f>
        <v>8</v>
      </c>
      <c r="C1290" s="9">
        <f>YEAR(Table1[[#This Row],[Order Date]])</f>
        <v>2016</v>
      </c>
      <c r="D1290" t="s">
        <v>1221</v>
      </c>
      <c r="E1290" t="s">
        <v>27</v>
      </c>
      <c r="F1290" t="s">
        <v>11</v>
      </c>
      <c r="G1290" t="s">
        <v>24</v>
      </c>
      <c r="H1290" t="s">
        <v>825</v>
      </c>
      <c r="I1290" s="7">
        <v>8.56</v>
      </c>
      <c r="J1290" s="8">
        <v>2</v>
      </c>
      <c r="K1290" s="7">
        <v>2.48</v>
      </c>
    </row>
    <row r="1291" spans="1:11" x14ac:dyDescent="0.3">
      <c r="A1291" s="2">
        <v>42594</v>
      </c>
      <c r="B1291" s="9">
        <f>MONTH(Table1[[#This Row],[Order Date]])</f>
        <v>8</v>
      </c>
      <c r="C1291" s="9">
        <f>YEAR(Table1[[#This Row],[Order Date]])</f>
        <v>2016</v>
      </c>
      <c r="D1291" t="s">
        <v>1221</v>
      </c>
      <c r="E1291" t="s">
        <v>27</v>
      </c>
      <c r="F1291" t="s">
        <v>34</v>
      </c>
      <c r="G1291" t="s">
        <v>140</v>
      </c>
      <c r="H1291" t="s">
        <v>388</v>
      </c>
      <c r="I1291" s="7">
        <v>1421.66</v>
      </c>
      <c r="J1291" s="8">
        <v>6</v>
      </c>
      <c r="K1291" s="7">
        <v>-195.48</v>
      </c>
    </row>
    <row r="1292" spans="1:11" x14ac:dyDescent="0.3">
      <c r="A1292" s="2">
        <v>42594</v>
      </c>
      <c r="B1292" s="9">
        <f>MONTH(Table1[[#This Row],[Order Date]])</f>
        <v>8</v>
      </c>
      <c r="C1292" s="9">
        <f>YEAR(Table1[[#This Row],[Order Date]])</f>
        <v>2016</v>
      </c>
      <c r="D1292" t="s">
        <v>1380</v>
      </c>
      <c r="E1292" t="s">
        <v>27</v>
      </c>
      <c r="F1292" t="s">
        <v>11</v>
      </c>
      <c r="G1292" t="s">
        <v>18</v>
      </c>
      <c r="H1292" t="s">
        <v>1439</v>
      </c>
      <c r="I1292" s="7">
        <v>34.049999999999997</v>
      </c>
      <c r="J1292" s="8">
        <v>3</v>
      </c>
      <c r="K1292" s="7">
        <v>9.5299999999999994</v>
      </c>
    </row>
    <row r="1293" spans="1:11" x14ac:dyDescent="0.3">
      <c r="A1293" s="2">
        <v>42594</v>
      </c>
      <c r="B1293" s="9">
        <f>MONTH(Table1[[#This Row],[Order Date]])</f>
        <v>8</v>
      </c>
      <c r="C1293" s="9">
        <f>YEAR(Table1[[#This Row],[Order Date]])</f>
        <v>2016</v>
      </c>
      <c r="D1293" t="s">
        <v>1112</v>
      </c>
      <c r="E1293" t="s">
        <v>237</v>
      </c>
      <c r="F1293" t="s">
        <v>39</v>
      </c>
      <c r="G1293" t="s">
        <v>52</v>
      </c>
      <c r="H1293" t="s">
        <v>289</v>
      </c>
      <c r="I1293" s="7">
        <v>16.559999999999999</v>
      </c>
      <c r="J1293" s="8">
        <v>3</v>
      </c>
      <c r="K1293" s="7">
        <v>-2.48</v>
      </c>
    </row>
    <row r="1294" spans="1:11" x14ac:dyDescent="0.3">
      <c r="A1294" s="2">
        <v>42614</v>
      </c>
      <c r="B1294" s="9">
        <f>MONTH(Table1[[#This Row],[Order Date]])</f>
        <v>9</v>
      </c>
      <c r="C1294" s="9">
        <f>YEAR(Table1[[#This Row],[Order Date]])</f>
        <v>2016</v>
      </c>
      <c r="D1294" t="s">
        <v>580</v>
      </c>
      <c r="E1294" t="s">
        <v>27</v>
      </c>
      <c r="F1294" t="s">
        <v>39</v>
      </c>
      <c r="G1294" t="s">
        <v>52</v>
      </c>
      <c r="H1294" t="s">
        <v>2391</v>
      </c>
      <c r="I1294" s="7">
        <v>349.95</v>
      </c>
      <c r="J1294" s="8">
        <v>5</v>
      </c>
      <c r="K1294" s="7">
        <v>118.98</v>
      </c>
    </row>
    <row r="1295" spans="1:11" x14ac:dyDescent="0.3">
      <c r="A1295" s="2">
        <v>42616</v>
      </c>
      <c r="B1295" s="9">
        <f>MONTH(Table1[[#This Row],[Order Date]])</f>
        <v>9</v>
      </c>
      <c r="C1295" s="9">
        <f>YEAR(Table1[[#This Row],[Order Date]])</f>
        <v>2016</v>
      </c>
      <c r="D1295" t="s">
        <v>801</v>
      </c>
      <c r="E1295" t="s">
        <v>422</v>
      </c>
      <c r="F1295" t="s">
        <v>11</v>
      </c>
      <c r="G1295" t="s">
        <v>12</v>
      </c>
      <c r="H1295" t="s">
        <v>2213</v>
      </c>
      <c r="I1295" s="7">
        <v>17.940000000000001</v>
      </c>
      <c r="J1295" s="8">
        <v>3</v>
      </c>
      <c r="K1295" s="7">
        <v>8.7899999999999991</v>
      </c>
    </row>
    <row r="1296" spans="1:11" x14ac:dyDescent="0.3">
      <c r="A1296" s="2">
        <v>42617</v>
      </c>
      <c r="B1296" s="9">
        <f>MONTH(Table1[[#This Row],[Order Date]])</f>
        <v>9</v>
      </c>
      <c r="C1296" s="9">
        <f>YEAR(Table1[[#This Row],[Order Date]])</f>
        <v>2016</v>
      </c>
      <c r="D1296" t="s">
        <v>2448</v>
      </c>
      <c r="E1296" t="s">
        <v>108</v>
      </c>
      <c r="F1296" t="s">
        <v>11</v>
      </c>
      <c r="G1296" t="s">
        <v>20</v>
      </c>
      <c r="H1296" t="s">
        <v>2449</v>
      </c>
      <c r="I1296" s="7">
        <v>5.28</v>
      </c>
      <c r="J1296" s="8">
        <v>2</v>
      </c>
      <c r="K1296" s="7">
        <v>2.4300000000000002</v>
      </c>
    </row>
    <row r="1297" spans="1:11" x14ac:dyDescent="0.3">
      <c r="A1297" s="2">
        <v>42618</v>
      </c>
      <c r="B1297" s="9">
        <f>MONTH(Table1[[#This Row],[Order Date]])</f>
        <v>9</v>
      </c>
      <c r="C1297" s="9">
        <f>YEAR(Table1[[#This Row],[Order Date]])</f>
        <v>2016</v>
      </c>
      <c r="D1297" t="s">
        <v>1043</v>
      </c>
      <c r="E1297" t="s">
        <v>158</v>
      </c>
      <c r="F1297" t="s">
        <v>39</v>
      </c>
      <c r="G1297" t="s">
        <v>52</v>
      </c>
      <c r="H1297" t="s">
        <v>2481</v>
      </c>
      <c r="I1297" s="7">
        <v>93.98</v>
      </c>
      <c r="J1297" s="8">
        <v>2</v>
      </c>
      <c r="K1297" s="7">
        <v>13.16</v>
      </c>
    </row>
    <row r="1298" spans="1:11" x14ac:dyDescent="0.3">
      <c r="A1298" s="2">
        <v>42618</v>
      </c>
      <c r="B1298" s="9">
        <f>MONTH(Table1[[#This Row],[Order Date]])</f>
        <v>9</v>
      </c>
      <c r="C1298" s="9">
        <f>YEAR(Table1[[#This Row],[Order Date]])</f>
        <v>2016</v>
      </c>
      <c r="D1298" t="s">
        <v>519</v>
      </c>
      <c r="E1298" t="s">
        <v>144</v>
      </c>
      <c r="F1298" t="s">
        <v>11</v>
      </c>
      <c r="G1298" t="s">
        <v>24</v>
      </c>
      <c r="H1298" t="s">
        <v>2482</v>
      </c>
      <c r="I1298" s="7">
        <v>8</v>
      </c>
      <c r="J1298" s="8">
        <v>5</v>
      </c>
      <c r="K1298" s="7">
        <v>3.44</v>
      </c>
    </row>
    <row r="1299" spans="1:11" x14ac:dyDescent="0.3">
      <c r="A1299" s="2">
        <v>42618</v>
      </c>
      <c r="B1299" s="9">
        <f>MONTH(Table1[[#This Row],[Order Date]])</f>
        <v>9</v>
      </c>
      <c r="C1299" s="9">
        <f>YEAR(Table1[[#This Row],[Order Date]])</f>
        <v>2016</v>
      </c>
      <c r="D1299" t="s">
        <v>1046</v>
      </c>
      <c r="E1299" t="s">
        <v>27</v>
      </c>
      <c r="F1299" t="s">
        <v>11</v>
      </c>
      <c r="G1299" t="s">
        <v>12</v>
      </c>
      <c r="H1299" t="s">
        <v>2483</v>
      </c>
      <c r="I1299" s="7">
        <v>32.04</v>
      </c>
      <c r="J1299" s="8">
        <v>4</v>
      </c>
      <c r="K1299" s="7">
        <v>14.42</v>
      </c>
    </row>
    <row r="1300" spans="1:11" x14ac:dyDescent="0.3">
      <c r="A1300" s="2">
        <v>42618</v>
      </c>
      <c r="B1300" s="9">
        <f>MONTH(Table1[[#This Row],[Order Date]])</f>
        <v>9</v>
      </c>
      <c r="C1300" s="9">
        <f>YEAR(Table1[[#This Row],[Order Date]])</f>
        <v>2016</v>
      </c>
      <c r="D1300" t="s">
        <v>2484</v>
      </c>
      <c r="E1300" t="s">
        <v>10</v>
      </c>
      <c r="F1300" t="s">
        <v>11</v>
      </c>
      <c r="G1300" t="s">
        <v>92</v>
      </c>
      <c r="H1300" t="s">
        <v>2485</v>
      </c>
      <c r="I1300" s="7">
        <v>48.78</v>
      </c>
      <c r="J1300" s="8">
        <v>4</v>
      </c>
      <c r="K1300" s="7">
        <v>-131.72</v>
      </c>
    </row>
    <row r="1301" spans="1:11" x14ac:dyDescent="0.3">
      <c r="A1301" s="2">
        <v>42618</v>
      </c>
      <c r="B1301" s="9">
        <f>MONTH(Table1[[#This Row],[Order Date]])</f>
        <v>9</v>
      </c>
      <c r="C1301" s="9">
        <f>YEAR(Table1[[#This Row],[Order Date]])</f>
        <v>2016</v>
      </c>
      <c r="D1301" t="s">
        <v>2484</v>
      </c>
      <c r="E1301" t="s">
        <v>10</v>
      </c>
      <c r="F1301" t="s">
        <v>11</v>
      </c>
      <c r="G1301" t="s">
        <v>12</v>
      </c>
      <c r="H1301" t="s">
        <v>2457</v>
      </c>
      <c r="I1301" s="7">
        <v>76.64</v>
      </c>
      <c r="J1301" s="8">
        <v>2</v>
      </c>
      <c r="K1301" s="7">
        <v>26.82</v>
      </c>
    </row>
    <row r="1302" spans="1:11" x14ac:dyDescent="0.3">
      <c r="A1302" s="2">
        <v>42619</v>
      </c>
      <c r="B1302" s="9">
        <f>MONTH(Table1[[#This Row],[Order Date]])</f>
        <v>9</v>
      </c>
      <c r="C1302" s="9">
        <f>YEAR(Table1[[#This Row],[Order Date]])</f>
        <v>2016</v>
      </c>
      <c r="D1302" t="s">
        <v>1438</v>
      </c>
      <c r="E1302" t="s">
        <v>120</v>
      </c>
      <c r="F1302" t="s">
        <v>39</v>
      </c>
      <c r="G1302" t="s">
        <v>293</v>
      </c>
      <c r="H1302" t="s">
        <v>2509</v>
      </c>
      <c r="I1302" s="7">
        <v>695.7</v>
      </c>
      <c r="J1302" s="8">
        <v>2</v>
      </c>
      <c r="K1302" s="7">
        <v>-27.83</v>
      </c>
    </row>
    <row r="1303" spans="1:11" x14ac:dyDescent="0.3">
      <c r="A1303" s="2">
        <v>42619</v>
      </c>
      <c r="B1303" s="9">
        <f>MONTH(Table1[[#This Row],[Order Date]])</f>
        <v>9</v>
      </c>
      <c r="C1303" s="9">
        <f>YEAR(Table1[[#This Row],[Order Date]])</f>
        <v>2016</v>
      </c>
      <c r="D1303" t="s">
        <v>1548</v>
      </c>
      <c r="E1303" t="s">
        <v>308</v>
      </c>
      <c r="F1303" t="s">
        <v>34</v>
      </c>
      <c r="G1303" t="s">
        <v>140</v>
      </c>
      <c r="H1303" t="s">
        <v>2510</v>
      </c>
      <c r="I1303" s="7">
        <v>692.94</v>
      </c>
      <c r="J1303" s="8">
        <v>3</v>
      </c>
      <c r="K1303" s="7">
        <v>173.24</v>
      </c>
    </row>
    <row r="1304" spans="1:11" x14ac:dyDescent="0.3">
      <c r="A1304" s="2">
        <v>42621</v>
      </c>
      <c r="B1304" s="9">
        <f>MONTH(Table1[[#This Row],[Order Date]])</f>
        <v>9</v>
      </c>
      <c r="C1304" s="9">
        <f>YEAR(Table1[[#This Row],[Order Date]])</f>
        <v>2016</v>
      </c>
      <c r="D1304" t="s">
        <v>1418</v>
      </c>
      <c r="E1304" t="s">
        <v>237</v>
      </c>
      <c r="F1304" t="s">
        <v>39</v>
      </c>
      <c r="G1304" t="s">
        <v>40</v>
      </c>
      <c r="H1304" t="s">
        <v>2322</v>
      </c>
      <c r="I1304" s="7">
        <v>44.78</v>
      </c>
      <c r="J1304" s="8">
        <v>2</v>
      </c>
      <c r="K1304" s="7">
        <v>4.4800000000000004</v>
      </c>
    </row>
    <row r="1305" spans="1:11" x14ac:dyDescent="0.3">
      <c r="A1305" s="2">
        <v>42621</v>
      </c>
      <c r="B1305" s="9">
        <f>MONTH(Table1[[#This Row],[Order Date]])</f>
        <v>9</v>
      </c>
      <c r="C1305" s="9">
        <f>YEAR(Table1[[#This Row],[Order Date]])</f>
        <v>2016</v>
      </c>
      <c r="D1305" t="s">
        <v>903</v>
      </c>
      <c r="E1305" t="s">
        <v>117</v>
      </c>
      <c r="F1305" t="s">
        <v>11</v>
      </c>
      <c r="G1305" t="s">
        <v>20</v>
      </c>
      <c r="H1305" t="s">
        <v>2435</v>
      </c>
      <c r="I1305" s="7">
        <v>11.88</v>
      </c>
      <c r="J1305" s="8">
        <v>5</v>
      </c>
      <c r="K1305" s="7">
        <v>-7.92</v>
      </c>
    </row>
    <row r="1306" spans="1:11" x14ac:dyDescent="0.3">
      <c r="A1306" s="2">
        <v>42622</v>
      </c>
      <c r="B1306" s="9">
        <f>MONTH(Table1[[#This Row],[Order Date]])</f>
        <v>9</v>
      </c>
      <c r="C1306" s="9">
        <f>YEAR(Table1[[#This Row],[Order Date]])</f>
        <v>2016</v>
      </c>
      <c r="D1306" t="s">
        <v>1476</v>
      </c>
      <c r="E1306" t="s">
        <v>10</v>
      </c>
      <c r="F1306" t="s">
        <v>34</v>
      </c>
      <c r="G1306" t="s">
        <v>47</v>
      </c>
      <c r="H1306" t="s">
        <v>1931</v>
      </c>
      <c r="I1306" s="7">
        <v>15.01</v>
      </c>
      <c r="J1306" s="8">
        <v>4</v>
      </c>
      <c r="K1306" s="7">
        <v>-12.01</v>
      </c>
    </row>
    <row r="1307" spans="1:11" x14ac:dyDescent="0.3">
      <c r="A1307" s="2">
        <v>42623</v>
      </c>
      <c r="B1307" s="9">
        <f>MONTH(Table1[[#This Row],[Order Date]])</f>
        <v>9</v>
      </c>
      <c r="C1307" s="9">
        <f>YEAR(Table1[[#This Row],[Order Date]])</f>
        <v>2016</v>
      </c>
      <c r="D1307" t="s">
        <v>1988</v>
      </c>
      <c r="E1307" t="s">
        <v>78</v>
      </c>
      <c r="F1307" t="s">
        <v>39</v>
      </c>
      <c r="G1307" t="s">
        <v>40</v>
      </c>
      <c r="H1307" t="s">
        <v>1819</v>
      </c>
      <c r="I1307" s="7">
        <v>23.98</v>
      </c>
      <c r="J1307" s="8">
        <v>4</v>
      </c>
      <c r="K1307" s="7">
        <v>-15.58</v>
      </c>
    </row>
    <row r="1308" spans="1:11" x14ac:dyDescent="0.3">
      <c r="A1308" s="2">
        <v>42623</v>
      </c>
      <c r="B1308" s="9">
        <f>MONTH(Table1[[#This Row],[Order Date]])</f>
        <v>9</v>
      </c>
      <c r="C1308" s="9">
        <f>YEAR(Table1[[#This Row],[Order Date]])</f>
        <v>2016</v>
      </c>
      <c r="D1308" t="s">
        <v>1430</v>
      </c>
      <c r="E1308" t="s">
        <v>23</v>
      </c>
      <c r="F1308" t="s">
        <v>34</v>
      </c>
      <c r="G1308" t="s">
        <v>47</v>
      </c>
      <c r="H1308" t="s">
        <v>822</v>
      </c>
      <c r="I1308" s="7">
        <v>332.83</v>
      </c>
      <c r="J1308" s="8">
        <v>4</v>
      </c>
      <c r="K1308" s="7">
        <v>-24.96</v>
      </c>
    </row>
    <row r="1309" spans="1:11" x14ac:dyDescent="0.3">
      <c r="A1309" s="2">
        <v>42625</v>
      </c>
      <c r="B1309" s="9">
        <f>MONTH(Table1[[#This Row],[Order Date]])</f>
        <v>9</v>
      </c>
      <c r="C1309" s="9">
        <f>YEAR(Table1[[#This Row],[Order Date]])</f>
        <v>2016</v>
      </c>
      <c r="D1309" t="s">
        <v>440</v>
      </c>
      <c r="E1309" t="s">
        <v>973</v>
      </c>
      <c r="F1309" t="s">
        <v>11</v>
      </c>
      <c r="G1309" t="s">
        <v>24</v>
      </c>
      <c r="H1309" t="s">
        <v>2621</v>
      </c>
      <c r="I1309" s="7">
        <v>19.46</v>
      </c>
      <c r="J1309" s="8">
        <v>7</v>
      </c>
      <c r="K1309" s="7">
        <v>5.0599999999999996</v>
      </c>
    </row>
    <row r="1310" spans="1:11" x14ac:dyDescent="0.3">
      <c r="A1310" s="2">
        <v>42625</v>
      </c>
      <c r="B1310" s="9">
        <f>MONTH(Table1[[#This Row],[Order Date]])</f>
        <v>9</v>
      </c>
      <c r="C1310" s="9">
        <f>YEAR(Table1[[#This Row],[Order Date]])</f>
        <v>2016</v>
      </c>
      <c r="D1310" t="s">
        <v>2112</v>
      </c>
      <c r="E1310" t="s">
        <v>422</v>
      </c>
      <c r="F1310" t="s">
        <v>11</v>
      </c>
      <c r="G1310" t="s">
        <v>16</v>
      </c>
      <c r="H1310" t="s">
        <v>2622</v>
      </c>
      <c r="I1310" s="7">
        <v>3.69</v>
      </c>
      <c r="J1310" s="8">
        <v>1</v>
      </c>
      <c r="K1310" s="7">
        <v>1.73</v>
      </c>
    </row>
    <row r="1311" spans="1:11" x14ac:dyDescent="0.3">
      <c r="A1311" s="2">
        <v>42625</v>
      </c>
      <c r="B1311" s="9">
        <f>MONTH(Table1[[#This Row],[Order Date]])</f>
        <v>9</v>
      </c>
      <c r="C1311" s="9">
        <f>YEAR(Table1[[#This Row],[Order Date]])</f>
        <v>2016</v>
      </c>
      <c r="D1311" t="s">
        <v>609</v>
      </c>
      <c r="E1311" t="s">
        <v>117</v>
      </c>
      <c r="F1311" t="s">
        <v>39</v>
      </c>
      <c r="G1311" t="s">
        <v>40</v>
      </c>
      <c r="H1311" t="s">
        <v>1745</v>
      </c>
      <c r="I1311" s="7">
        <v>40.68</v>
      </c>
      <c r="J1311" s="8">
        <v>3</v>
      </c>
      <c r="K1311" s="7">
        <v>-9.15</v>
      </c>
    </row>
    <row r="1312" spans="1:11" x14ac:dyDescent="0.3">
      <c r="A1312" s="2">
        <v>42644</v>
      </c>
      <c r="B1312" s="9">
        <f>MONTH(Table1[[#This Row],[Order Date]])</f>
        <v>10</v>
      </c>
      <c r="C1312" s="9">
        <f>YEAR(Table1[[#This Row],[Order Date]])</f>
        <v>2016</v>
      </c>
      <c r="D1312" t="s">
        <v>440</v>
      </c>
      <c r="E1312" t="s">
        <v>158</v>
      </c>
      <c r="F1312" t="s">
        <v>39</v>
      </c>
      <c r="G1312" t="s">
        <v>52</v>
      </c>
      <c r="H1312" t="s">
        <v>2321</v>
      </c>
      <c r="I1312" s="7">
        <v>69.98</v>
      </c>
      <c r="J1312" s="8">
        <v>2</v>
      </c>
      <c r="K1312" s="7">
        <v>13.3</v>
      </c>
    </row>
    <row r="1313" spans="1:11" x14ac:dyDescent="0.3">
      <c r="A1313" s="2">
        <v>42646</v>
      </c>
      <c r="B1313" s="9">
        <f>MONTH(Table1[[#This Row],[Order Date]])</f>
        <v>10</v>
      </c>
      <c r="C1313" s="9">
        <f>YEAR(Table1[[#This Row],[Order Date]])</f>
        <v>2016</v>
      </c>
      <c r="D1313" t="s">
        <v>1352</v>
      </c>
      <c r="E1313" t="s">
        <v>27</v>
      </c>
      <c r="F1313" t="s">
        <v>11</v>
      </c>
      <c r="G1313" t="s">
        <v>12</v>
      </c>
      <c r="H1313" t="s">
        <v>1858</v>
      </c>
      <c r="I1313" s="7">
        <v>14.9</v>
      </c>
      <c r="J1313" s="8">
        <v>5</v>
      </c>
      <c r="K1313" s="7">
        <v>7.15</v>
      </c>
    </row>
    <row r="1314" spans="1:11" x14ac:dyDescent="0.3">
      <c r="A1314" s="2">
        <v>42646</v>
      </c>
      <c r="B1314" s="9">
        <f>MONTH(Table1[[#This Row],[Order Date]])</f>
        <v>10</v>
      </c>
      <c r="C1314" s="9">
        <f>YEAR(Table1[[#This Row],[Order Date]])</f>
        <v>2016</v>
      </c>
      <c r="D1314" t="s">
        <v>1591</v>
      </c>
      <c r="E1314" t="s">
        <v>27</v>
      </c>
      <c r="F1314" t="s">
        <v>39</v>
      </c>
      <c r="G1314" t="s">
        <v>293</v>
      </c>
      <c r="H1314" t="s">
        <v>2422</v>
      </c>
      <c r="I1314" s="7">
        <v>3357.6</v>
      </c>
      <c r="J1314" s="8">
        <v>3</v>
      </c>
      <c r="K1314" s="7">
        <v>377.73</v>
      </c>
    </row>
    <row r="1315" spans="1:11" x14ac:dyDescent="0.3">
      <c r="A1315" s="2">
        <v>42647</v>
      </c>
      <c r="B1315" s="9">
        <f>MONTH(Table1[[#This Row],[Order Date]])</f>
        <v>10</v>
      </c>
      <c r="C1315" s="9">
        <f>YEAR(Table1[[#This Row],[Order Date]])</f>
        <v>2016</v>
      </c>
      <c r="D1315" t="s">
        <v>275</v>
      </c>
      <c r="E1315" t="s">
        <v>27</v>
      </c>
      <c r="F1315" t="s">
        <v>11</v>
      </c>
      <c r="G1315" t="s">
        <v>12</v>
      </c>
      <c r="H1315" t="s">
        <v>2150</v>
      </c>
      <c r="I1315" s="7">
        <v>12.96</v>
      </c>
      <c r="J1315" s="8">
        <v>2</v>
      </c>
      <c r="K1315" s="7">
        <v>6.22</v>
      </c>
    </row>
    <row r="1316" spans="1:11" x14ac:dyDescent="0.3">
      <c r="A1316" s="2">
        <v>42647</v>
      </c>
      <c r="B1316" s="9">
        <f>MONTH(Table1[[#This Row],[Order Date]])</f>
        <v>10</v>
      </c>
      <c r="C1316" s="9">
        <f>YEAR(Table1[[#This Row],[Order Date]])</f>
        <v>2016</v>
      </c>
      <c r="D1316" t="s">
        <v>275</v>
      </c>
      <c r="E1316" t="s">
        <v>27</v>
      </c>
      <c r="F1316" t="s">
        <v>11</v>
      </c>
      <c r="G1316" t="s">
        <v>20</v>
      </c>
      <c r="H1316" t="s">
        <v>865</v>
      </c>
      <c r="I1316" s="7">
        <v>23.2</v>
      </c>
      <c r="J1316" s="8">
        <v>5</v>
      </c>
      <c r="K1316" s="7">
        <v>8.1199999999999992</v>
      </c>
    </row>
    <row r="1317" spans="1:11" x14ac:dyDescent="0.3">
      <c r="A1317" s="2">
        <v>42647</v>
      </c>
      <c r="B1317" s="9">
        <f>MONTH(Table1[[#This Row],[Order Date]])</f>
        <v>10</v>
      </c>
      <c r="C1317" s="9">
        <f>YEAR(Table1[[#This Row],[Order Date]])</f>
        <v>2016</v>
      </c>
      <c r="D1317" t="s">
        <v>1673</v>
      </c>
      <c r="E1317" t="s">
        <v>27</v>
      </c>
      <c r="F1317" t="s">
        <v>11</v>
      </c>
      <c r="G1317" t="s">
        <v>20</v>
      </c>
      <c r="H1317" t="s">
        <v>832</v>
      </c>
      <c r="I1317" s="7">
        <v>48.03</v>
      </c>
      <c r="J1317" s="8">
        <v>4</v>
      </c>
      <c r="K1317" s="7">
        <v>15.61</v>
      </c>
    </row>
    <row r="1318" spans="1:11" x14ac:dyDescent="0.3">
      <c r="A1318" s="2">
        <v>42648</v>
      </c>
      <c r="B1318" s="9">
        <f>MONTH(Table1[[#This Row],[Order Date]])</f>
        <v>10</v>
      </c>
      <c r="C1318" s="9">
        <f>YEAR(Table1[[#This Row],[Order Date]])</f>
        <v>2016</v>
      </c>
      <c r="D1318" t="s">
        <v>1080</v>
      </c>
      <c r="E1318" t="s">
        <v>15</v>
      </c>
      <c r="F1318" t="s">
        <v>11</v>
      </c>
      <c r="G1318" t="s">
        <v>63</v>
      </c>
      <c r="H1318" t="s">
        <v>2486</v>
      </c>
      <c r="I1318" s="7">
        <v>7.07</v>
      </c>
      <c r="J1318" s="8">
        <v>2</v>
      </c>
      <c r="K1318" s="7">
        <v>2.39</v>
      </c>
    </row>
    <row r="1319" spans="1:11" x14ac:dyDescent="0.3">
      <c r="A1319" s="2">
        <v>42649</v>
      </c>
      <c r="B1319" s="9">
        <f>MONTH(Table1[[#This Row],[Order Date]])</f>
        <v>10</v>
      </c>
      <c r="C1319" s="9">
        <f>YEAR(Table1[[#This Row],[Order Date]])</f>
        <v>2016</v>
      </c>
      <c r="D1319" t="s">
        <v>1992</v>
      </c>
      <c r="E1319" t="s">
        <v>27</v>
      </c>
      <c r="F1319" t="s">
        <v>34</v>
      </c>
      <c r="G1319" t="s">
        <v>140</v>
      </c>
      <c r="H1319" t="s">
        <v>2406</v>
      </c>
      <c r="I1319" s="7">
        <v>1335.68</v>
      </c>
      <c r="J1319" s="8">
        <v>4</v>
      </c>
      <c r="K1319" s="7">
        <v>-217.05</v>
      </c>
    </row>
    <row r="1320" spans="1:11" x14ac:dyDescent="0.3">
      <c r="A1320" s="2">
        <v>42649</v>
      </c>
      <c r="B1320" s="9">
        <f>MONTH(Table1[[#This Row],[Order Date]])</f>
        <v>10</v>
      </c>
      <c r="C1320" s="9">
        <f>YEAR(Table1[[#This Row],[Order Date]])</f>
        <v>2016</v>
      </c>
      <c r="D1320" t="s">
        <v>2392</v>
      </c>
      <c r="E1320" t="s">
        <v>23</v>
      </c>
      <c r="F1320" t="s">
        <v>11</v>
      </c>
      <c r="G1320" t="s">
        <v>16</v>
      </c>
      <c r="H1320" t="s">
        <v>1774</v>
      </c>
      <c r="I1320" s="7">
        <v>23.62</v>
      </c>
      <c r="J1320" s="8">
        <v>8</v>
      </c>
      <c r="K1320" s="7">
        <v>7.97</v>
      </c>
    </row>
    <row r="1321" spans="1:11" x14ac:dyDescent="0.3">
      <c r="A1321" s="2">
        <v>42650</v>
      </c>
      <c r="B1321" s="9">
        <f>MONTH(Table1[[#This Row],[Order Date]])</f>
        <v>10</v>
      </c>
      <c r="C1321" s="9">
        <f>YEAR(Table1[[#This Row],[Order Date]])</f>
        <v>2016</v>
      </c>
      <c r="D1321" t="s">
        <v>1260</v>
      </c>
      <c r="E1321" t="s">
        <v>23</v>
      </c>
      <c r="F1321" t="s">
        <v>39</v>
      </c>
      <c r="G1321" t="s">
        <v>293</v>
      </c>
      <c r="H1321" t="s">
        <v>2532</v>
      </c>
      <c r="I1321" s="7">
        <v>341.99</v>
      </c>
      <c r="J1321" s="8">
        <v>3</v>
      </c>
      <c r="K1321" s="7">
        <v>-319.19</v>
      </c>
    </row>
    <row r="1322" spans="1:11" x14ac:dyDescent="0.3">
      <c r="A1322" s="2">
        <v>42652</v>
      </c>
      <c r="B1322" s="9">
        <f>MONTH(Table1[[#This Row],[Order Date]])</f>
        <v>10</v>
      </c>
      <c r="C1322" s="9">
        <f>YEAR(Table1[[#This Row],[Order Date]])</f>
        <v>2016</v>
      </c>
      <c r="D1322" t="s">
        <v>2132</v>
      </c>
      <c r="E1322" t="s">
        <v>144</v>
      </c>
      <c r="F1322" t="s">
        <v>11</v>
      </c>
      <c r="G1322" t="s">
        <v>18</v>
      </c>
      <c r="H1322" t="s">
        <v>2568</v>
      </c>
      <c r="I1322" s="7">
        <v>59.48</v>
      </c>
      <c r="J1322" s="8">
        <v>2</v>
      </c>
      <c r="K1322" s="7">
        <v>8.92</v>
      </c>
    </row>
    <row r="1323" spans="1:11" x14ac:dyDescent="0.3">
      <c r="A1323" s="2">
        <v>42652</v>
      </c>
      <c r="B1323" s="9">
        <f>MONTH(Table1[[#This Row],[Order Date]])</f>
        <v>10</v>
      </c>
      <c r="C1323" s="9">
        <f>YEAR(Table1[[#This Row],[Order Date]])</f>
        <v>2016</v>
      </c>
      <c r="D1323" t="s">
        <v>2132</v>
      </c>
      <c r="E1323" t="s">
        <v>144</v>
      </c>
      <c r="F1323" t="s">
        <v>11</v>
      </c>
      <c r="G1323" t="s">
        <v>12</v>
      </c>
      <c r="H1323" t="s">
        <v>1656</v>
      </c>
      <c r="I1323" s="7">
        <v>6.69</v>
      </c>
      <c r="J1323" s="8">
        <v>1</v>
      </c>
      <c r="K1323" s="7">
        <v>3.08</v>
      </c>
    </row>
    <row r="1324" spans="1:11" x14ac:dyDescent="0.3">
      <c r="A1324" s="2">
        <v>42652</v>
      </c>
      <c r="B1324" s="9">
        <f>MONTH(Table1[[#This Row],[Order Date]])</f>
        <v>10</v>
      </c>
      <c r="C1324" s="9">
        <f>YEAR(Table1[[#This Row],[Order Date]])</f>
        <v>2016</v>
      </c>
      <c r="D1324" t="s">
        <v>2421</v>
      </c>
      <c r="E1324" t="s">
        <v>158</v>
      </c>
      <c r="F1324" t="s">
        <v>11</v>
      </c>
      <c r="G1324" t="s">
        <v>20</v>
      </c>
      <c r="H1324" t="s">
        <v>2074</v>
      </c>
      <c r="I1324" s="7">
        <v>39.619999999999997</v>
      </c>
      <c r="J1324" s="8">
        <v>3</v>
      </c>
      <c r="K1324" s="7">
        <v>13.87</v>
      </c>
    </row>
    <row r="1325" spans="1:11" x14ac:dyDescent="0.3">
      <c r="A1325" s="2">
        <v>42653</v>
      </c>
      <c r="B1325" s="9">
        <f>MONTH(Table1[[#This Row],[Order Date]])</f>
        <v>10</v>
      </c>
      <c r="C1325" s="9">
        <f>YEAR(Table1[[#This Row],[Order Date]])</f>
        <v>2016</v>
      </c>
      <c r="D1325" t="s">
        <v>1158</v>
      </c>
      <c r="E1325" t="s">
        <v>269</v>
      </c>
      <c r="F1325" t="s">
        <v>34</v>
      </c>
      <c r="G1325" t="s">
        <v>74</v>
      </c>
      <c r="H1325" t="s">
        <v>2586</v>
      </c>
      <c r="I1325" s="7">
        <v>90.88</v>
      </c>
      <c r="J1325" s="8">
        <v>3</v>
      </c>
      <c r="K1325" s="7">
        <v>-190.85</v>
      </c>
    </row>
    <row r="1326" spans="1:11" x14ac:dyDescent="0.3">
      <c r="A1326" s="2">
        <v>42653</v>
      </c>
      <c r="B1326" s="9">
        <f>MONTH(Table1[[#This Row],[Order Date]])</f>
        <v>10</v>
      </c>
      <c r="C1326" s="9">
        <f>YEAR(Table1[[#This Row],[Order Date]])</f>
        <v>2016</v>
      </c>
      <c r="D1326" t="s">
        <v>1158</v>
      </c>
      <c r="E1326" t="s">
        <v>269</v>
      </c>
      <c r="F1326" t="s">
        <v>34</v>
      </c>
      <c r="G1326" t="s">
        <v>35</v>
      </c>
      <c r="H1326" t="s">
        <v>2115</v>
      </c>
      <c r="I1326" s="7">
        <v>120.78</v>
      </c>
      <c r="J1326" s="8">
        <v>1</v>
      </c>
      <c r="K1326" s="7">
        <v>13.59</v>
      </c>
    </row>
    <row r="1327" spans="1:11" x14ac:dyDescent="0.3">
      <c r="A1327" s="2">
        <v>42653</v>
      </c>
      <c r="B1327" s="9">
        <f>MONTH(Table1[[#This Row],[Order Date]])</f>
        <v>10</v>
      </c>
      <c r="C1327" s="9">
        <f>YEAR(Table1[[#This Row],[Order Date]])</f>
        <v>2016</v>
      </c>
      <c r="D1327" t="s">
        <v>1527</v>
      </c>
      <c r="E1327" t="s">
        <v>10</v>
      </c>
      <c r="F1327" t="s">
        <v>34</v>
      </c>
      <c r="G1327" t="s">
        <v>47</v>
      </c>
      <c r="H1327" t="s">
        <v>2579</v>
      </c>
      <c r="I1327" s="7">
        <v>14</v>
      </c>
      <c r="J1327" s="8">
        <v>4</v>
      </c>
      <c r="K1327" s="7">
        <v>-6.3</v>
      </c>
    </row>
    <row r="1328" spans="1:11" x14ac:dyDescent="0.3">
      <c r="A1328" s="2">
        <v>42654</v>
      </c>
      <c r="B1328" s="9">
        <f>MONTH(Table1[[#This Row],[Order Date]])</f>
        <v>10</v>
      </c>
      <c r="C1328" s="9">
        <f>YEAR(Table1[[#This Row],[Order Date]])</f>
        <v>2016</v>
      </c>
      <c r="D1328" t="s">
        <v>2179</v>
      </c>
      <c r="E1328" t="s">
        <v>27</v>
      </c>
      <c r="F1328" t="s">
        <v>11</v>
      </c>
      <c r="G1328" t="s">
        <v>12</v>
      </c>
      <c r="H1328" t="s">
        <v>2226</v>
      </c>
      <c r="I1328" s="7">
        <v>32.4</v>
      </c>
      <c r="J1328" s="8">
        <v>5</v>
      </c>
      <c r="K1328" s="7">
        <v>15.55</v>
      </c>
    </row>
    <row r="1329" spans="1:11" x14ac:dyDescent="0.3">
      <c r="A1329" s="2">
        <v>42654</v>
      </c>
      <c r="B1329" s="9">
        <f>MONTH(Table1[[#This Row],[Order Date]])</f>
        <v>10</v>
      </c>
      <c r="C1329" s="9">
        <f>YEAR(Table1[[#This Row],[Order Date]])</f>
        <v>2016</v>
      </c>
      <c r="D1329" t="s">
        <v>1152</v>
      </c>
      <c r="E1329" t="s">
        <v>78</v>
      </c>
      <c r="F1329" t="s">
        <v>11</v>
      </c>
      <c r="G1329" t="s">
        <v>12</v>
      </c>
      <c r="H1329" t="s">
        <v>1288</v>
      </c>
      <c r="I1329" s="7">
        <v>4.62</v>
      </c>
      <c r="J1329" s="8">
        <v>1</v>
      </c>
      <c r="K1329" s="7">
        <v>1.68</v>
      </c>
    </row>
    <row r="1330" spans="1:11" x14ac:dyDescent="0.3">
      <c r="A1330" s="2">
        <v>42654</v>
      </c>
      <c r="B1330" s="9">
        <f>MONTH(Table1[[#This Row],[Order Date]])</f>
        <v>10</v>
      </c>
      <c r="C1330" s="9">
        <f>YEAR(Table1[[#This Row],[Order Date]])</f>
        <v>2016</v>
      </c>
      <c r="D1330" t="s">
        <v>1725</v>
      </c>
      <c r="E1330" t="s">
        <v>144</v>
      </c>
      <c r="F1330" t="s">
        <v>11</v>
      </c>
      <c r="G1330" t="s">
        <v>20</v>
      </c>
      <c r="H1330" t="s">
        <v>1760</v>
      </c>
      <c r="I1330" s="7">
        <v>20.37</v>
      </c>
      <c r="J1330" s="8">
        <v>1</v>
      </c>
      <c r="K1330" s="7">
        <v>7.38</v>
      </c>
    </row>
    <row r="1331" spans="1:11" x14ac:dyDescent="0.3">
      <c r="A1331" s="2">
        <v>42654</v>
      </c>
      <c r="B1331" s="9">
        <f>MONTH(Table1[[#This Row],[Order Date]])</f>
        <v>10</v>
      </c>
      <c r="C1331" s="9">
        <f>YEAR(Table1[[#This Row],[Order Date]])</f>
        <v>2016</v>
      </c>
      <c r="D1331" t="s">
        <v>574</v>
      </c>
      <c r="E1331" t="s">
        <v>27</v>
      </c>
      <c r="F1331" t="s">
        <v>11</v>
      </c>
      <c r="G1331" t="s">
        <v>92</v>
      </c>
      <c r="H1331" t="s">
        <v>2597</v>
      </c>
      <c r="I1331" s="7">
        <v>129.91999999999999</v>
      </c>
      <c r="J1331" s="8">
        <v>4</v>
      </c>
      <c r="K1331" s="7">
        <v>38.979999999999997</v>
      </c>
    </row>
    <row r="1332" spans="1:11" x14ac:dyDescent="0.3">
      <c r="A1332" s="2">
        <v>42654</v>
      </c>
      <c r="B1332" s="9">
        <f>MONTH(Table1[[#This Row],[Order Date]])</f>
        <v>10</v>
      </c>
      <c r="C1332" s="9">
        <f>YEAR(Table1[[#This Row],[Order Date]])</f>
        <v>2016</v>
      </c>
      <c r="D1332" t="s">
        <v>574</v>
      </c>
      <c r="E1332" t="s">
        <v>27</v>
      </c>
      <c r="F1332" t="s">
        <v>11</v>
      </c>
      <c r="G1332" t="s">
        <v>24</v>
      </c>
      <c r="H1332" t="s">
        <v>2598</v>
      </c>
      <c r="I1332" s="7">
        <v>14.7</v>
      </c>
      <c r="J1332" s="8">
        <v>5</v>
      </c>
      <c r="K1332" s="7">
        <v>3.97</v>
      </c>
    </row>
    <row r="1333" spans="1:11" x14ac:dyDescent="0.3">
      <c r="A1333" s="2">
        <v>42654</v>
      </c>
      <c r="B1333" s="9">
        <f>MONTH(Table1[[#This Row],[Order Date]])</f>
        <v>10</v>
      </c>
      <c r="C1333" s="9">
        <f>YEAR(Table1[[#This Row],[Order Date]])</f>
        <v>2016</v>
      </c>
      <c r="D1333" t="s">
        <v>516</v>
      </c>
      <c r="E1333" t="s">
        <v>27</v>
      </c>
      <c r="F1333" t="s">
        <v>34</v>
      </c>
      <c r="G1333" t="s">
        <v>47</v>
      </c>
      <c r="H1333" t="s">
        <v>2438</v>
      </c>
      <c r="I1333" s="7">
        <v>9.98</v>
      </c>
      <c r="J1333" s="8">
        <v>1</v>
      </c>
      <c r="K1333" s="7">
        <v>2.79</v>
      </c>
    </row>
    <row r="1334" spans="1:11" x14ac:dyDescent="0.3">
      <c r="A1334" s="2">
        <v>42654</v>
      </c>
      <c r="B1334" s="9">
        <f>MONTH(Table1[[#This Row],[Order Date]])</f>
        <v>10</v>
      </c>
      <c r="C1334" s="9">
        <f>YEAR(Table1[[#This Row],[Order Date]])</f>
        <v>2016</v>
      </c>
      <c r="D1334" t="s">
        <v>204</v>
      </c>
      <c r="E1334" t="s">
        <v>819</v>
      </c>
      <c r="F1334" t="s">
        <v>34</v>
      </c>
      <c r="G1334" t="s">
        <v>74</v>
      </c>
      <c r="H1334" t="s">
        <v>150</v>
      </c>
      <c r="I1334" s="7">
        <v>341.96</v>
      </c>
      <c r="J1334" s="8">
        <v>2</v>
      </c>
      <c r="K1334" s="7">
        <v>54.71</v>
      </c>
    </row>
    <row r="1335" spans="1:11" x14ac:dyDescent="0.3">
      <c r="A1335" s="2">
        <v>42655</v>
      </c>
      <c r="B1335" s="9">
        <f>MONTH(Table1[[#This Row],[Order Date]])</f>
        <v>10</v>
      </c>
      <c r="C1335" s="9">
        <f>YEAR(Table1[[#This Row],[Order Date]])</f>
        <v>2016</v>
      </c>
      <c r="D1335" t="s">
        <v>1125</v>
      </c>
      <c r="E1335" t="s">
        <v>158</v>
      </c>
      <c r="F1335" t="s">
        <v>11</v>
      </c>
      <c r="G1335" t="s">
        <v>92</v>
      </c>
      <c r="H1335" t="s">
        <v>2227</v>
      </c>
      <c r="I1335" s="7">
        <v>65.34</v>
      </c>
      <c r="J1335" s="8">
        <v>3</v>
      </c>
      <c r="K1335" s="7">
        <v>22.87</v>
      </c>
    </row>
    <row r="1336" spans="1:11" x14ac:dyDescent="0.3">
      <c r="A1336" s="2">
        <v>42655</v>
      </c>
      <c r="B1336" s="9">
        <f>MONTH(Table1[[#This Row],[Order Date]])</f>
        <v>10</v>
      </c>
      <c r="C1336" s="9">
        <f>YEAR(Table1[[#This Row],[Order Date]])</f>
        <v>2016</v>
      </c>
      <c r="D1336" t="s">
        <v>1125</v>
      </c>
      <c r="E1336" t="s">
        <v>158</v>
      </c>
      <c r="F1336" t="s">
        <v>11</v>
      </c>
      <c r="G1336" t="s">
        <v>92</v>
      </c>
      <c r="H1336" t="s">
        <v>2623</v>
      </c>
      <c r="I1336" s="7">
        <v>35.1</v>
      </c>
      <c r="J1336" s="8">
        <v>3</v>
      </c>
      <c r="K1336" s="7">
        <v>12.29</v>
      </c>
    </row>
    <row r="1337" spans="1:11" x14ac:dyDescent="0.3">
      <c r="A1337" s="2">
        <v>42655</v>
      </c>
      <c r="B1337" s="9">
        <f>MONTH(Table1[[#This Row],[Order Date]])</f>
        <v>10</v>
      </c>
      <c r="C1337" s="9">
        <f>YEAR(Table1[[#This Row],[Order Date]])</f>
        <v>2016</v>
      </c>
      <c r="D1337" t="s">
        <v>1327</v>
      </c>
      <c r="E1337" t="s">
        <v>144</v>
      </c>
      <c r="F1337" t="s">
        <v>11</v>
      </c>
      <c r="G1337" t="s">
        <v>12</v>
      </c>
      <c r="H1337" t="s">
        <v>1581</v>
      </c>
      <c r="I1337" s="7">
        <v>6.48</v>
      </c>
      <c r="J1337" s="8">
        <v>1</v>
      </c>
      <c r="K1337" s="7">
        <v>3.11</v>
      </c>
    </row>
    <row r="1338" spans="1:11" x14ac:dyDescent="0.3">
      <c r="A1338" s="2">
        <v>42675</v>
      </c>
      <c r="B1338" s="9">
        <f>MONTH(Table1[[#This Row],[Order Date]])</f>
        <v>11</v>
      </c>
      <c r="C1338" s="9">
        <f>YEAR(Table1[[#This Row],[Order Date]])</f>
        <v>2016</v>
      </c>
      <c r="D1338" t="s">
        <v>1117</v>
      </c>
      <c r="E1338" t="s">
        <v>78</v>
      </c>
      <c r="F1338" t="s">
        <v>11</v>
      </c>
      <c r="G1338" t="s">
        <v>12</v>
      </c>
      <c r="H1338" t="s">
        <v>815</v>
      </c>
      <c r="I1338" s="7">
        <v>15.55</v>
      </c>
      <c r="J1338" s="8">
        <v>3</v>
      </c>
      <c r="K1338" s="7">
        <v>5.44</v>
      </c>
    </row>
    <row r="1339" spans="1:11" x14ac:dyDescent="0.3">
      <c r="A1339" s="2">
        <v>42680</v>
      </c>
      <c r="B1339" s="9">
        <f>MONTH(Table1[[#This Row],[Order Date]])</f>
        <v>11</v>
      </c>
      <c r="C1339" s="9">
        <f>YEAR(Table1[[#This Row],[Order Date]])</f>
        <v>2016</v>
      </c>
      <c r="D1339" t="s">
        <v>494</v>
      </c>
      <c r="E1339" t="s">
        <v>158</v>
      </c>
      <c r="F1339" t="s">
        <v>39</v>
      </c>
      <c r="G1339" t="s">
        <v>52</v>
      </c>
      <c r="H1339" t="s">
        <v>2036</v>
      </c>
      <c r="I1339" s="7">
        <v>389.97</v>
      </c>
      <c r="J1339" s="8">
        <v>3</v>
      </c>
      <c r="K1339" s="7">
        <v>132.59</v>
      </c>
    </row>
    <row r="1340" spans="1:11" x14ac:dyDescent="0.3">
      <c r="A1340" s="2">
        <v>42682</v>
      </c>
      <c r="B1340" s="9">
        <f>MONTH(Table1[[#This Row],[Order Date]])</f>
        <v>11</v>
      </c>
      <c r="C1340" s="9">
        <f>YEAR(Table1[[#This Row],[Order Date]])</f>
        <v>2016</v>
      </c>
      <c r="D1340" t="s">
        <v>1343</v>
      </c>
      <c r="E1340" t="s">
        <v>819</v>
      </c>
      <c r="F1340" t="s">
        <v>11</v>
      </c>
      <c r="G1340" t="s">
        <v>20</v>
      </c>
      <c r="H1340" t="s">
        <v>291</v>
      </c>
      <c r="I1340" s="7">
        <v>77.56</v>
      </c>
      <c r="J1340" s="8">
        <v>2</v>
      </c>
      <c r="K1340" s="7">
        <v>35.68</v>
      </c>
    </row>
    <row r="1341" spans="1:11" x14ac:dyDescent="0.3">
      <c r="A1341" s="2">
        <v>42683</v>
      </c>
      <c r="B1341" s="9">
        <f>MONTH(Table1[[#This Row],[Order Date]])</f>
        <v>11</v>
      </c>
      <c r="C1341" s="9">
        <f>YEAR(Table1[[#This Row],[Order Date]])</f>
        <v>2016</v>
      </c>
      <c r="D1341" t="s">
        <v>2264</v>
      </c>
      <c r="E1341" t="s">
        <v>27</v>
      </c>
      <c r="F1341" t="s">
        <v>39</v>
      </c>
      <c r="G1341" t="s">
        <v>52</v>
      </c>
      <c r="H1341" t="s">
        <v>1590</v>
      </c>
      <c r="I1341" s="7">
        <v>3347.37</v>
      </c>
      <c r="J1341" s="8">
        <v>13</v>
      </c>
      <c r="K1341" s="7">
        <v>636</v>
      </c>
    </row>
    <row r="1342" spans="1:11" x14ac:dyDescent="0.3">
      <c r="A1342" s="2">
        <v>42683</v>
      </c>
      <c r="B1342" s="9">
        <f>MONTH(Table1[[#This Row],[Order Date]])</f>
        <v>11</v>
      </c>
      <c r="C1342" s="9">
        <f>YEAR(Table1[[#This Row],[Order Date]])</f>
        <v>2016</v>
      </c>
      <c r="D1342" t="s">
        <v>611</v>
      </c>
      <c r="E1342" t="s">
        <v>23</v>
      </c>
      <c r="F1342" t="s">
        <v>11</v>
      </c>
      <c r="G1342" t="s">
        <v>12</v>
      </c>
      <c r="H1342" t="s">
        <v>147</v>
      </c>
      <c r="I1342" s="7">
        <v>8.4499999999999993</v>
      </c>
      <c r="J1342" s="8">
        <v>2</v>
      </c>
      <c r="K1342" s="7">
        <v>2.64</v>
      </c>
    </row>
    <row r="1343" spans="1:11" x14ac:dyDescent="0.3">
      <c r="A1343" s="2">
        <v>42683</v>
      </c>
      <c r="B1343" s="9">
        <f>MONTH(Table1[[#This Row],[Order Date]])</f>
        <v>11</v>
      </c>
      <c r="C1343" s="9">
        <f>YEAR(Table1[[#This Row],[Order Date]])</f>
        <v>2016</v>
      </c>
      <c r="D1343" t="s">
        <v>1330</v>
      </c>
      <c r="E1343" t="s">
        <v>15</v>
      </c>
      <c r="F1343" t="s">
        <v>11</v>
      </c>
      <c r="G1343" t="s">
        <v>20</v>
      </c>
      <c r="H1343" t="s">
        <v>1148</v>
      </c>
      <c r="I1343" s="7">
        <v>1.91</v>
      </c>
      <c r="J1343" s="8">
        <v>3</v>
      </c>
      <c r="K1343" s="7">
        <v>-3.24</v>
      </c>
    </row>
    <row r="1344" spans="1:11" x14ac:dyDescent="0.3">
      <c r="A1344" s="2">
        <v>42683</v>
      </c>
      <c r="B1344" s="9">
        <f>MONTH(Table1[[#This Row],[Order Date]])</f>
        <v>11</v>
      </c>
      <c r="C1344" s="9">
        <f>YEAR(Table1[[#This Row],[Order Date]])</f>
        <v>2016</v>
      </c>
      <c r="D1344" t="s">
        <v>206</v>
      </c>
      <c r="E1344" t="s">
        <v>95</v>
      </c>
      <c r="F1344" t="s">
        <v>11</v>
      </c>
      <c r="G1344" t="s">
        <v>24</v>
      </c>
      <c r="H1344" t="s">
        <v>2310</v>
      </c>
      <c r="I1344" s="7">
        <v>2.91</v>
      </c>
      <c r="J1344" s="8">
        <v>2</v>
      </c>
      <c r="K1344" s="7">
        <v>0.91</v>
      </c>
    </row>
    <row r="1345" spans="1:11" x14ac:dyDescent="0.3">
      <c r="A1345" s="2">
        <v>42683</v>
      </c>
      <c r="B1345" s="9">
        <f>MONTH(Table1[[#This Row],[Order Date]])</f>
        <v>11</v>
      </c>
      <c r="C1345" s="9">
        <f>YEAR(Table1[[#This Row],[Order Date]])</f>
        <v>2016</v>
      </c>
      <c r="D1345" t="s">
        <v>206</v>
      </c>
      <c r="E1345" t="s">
        <v>95</v>
      </c>
      <c r="F1345" t="s">
        <v>11</v>
      </c>
      <c r="G1345" t="s">
        <v>12</v>
      </c>
      <c r="H1345" t="s">
        <v>1126</v>
      </c>
      <c r="I1345" s="7">
        <v>20.74</v>
      </c>
      <c r="J1345" s="8">
        <v>4</v>
      </c>
      <c r="K1345" s="7">
        <v>7.26</v>
      </c>
    </row>
    <row r="1346" spans="1:11" x14ac:dyDescent="0.3">
      <c r="A1346" s="2">
        <v>42684</v>
      </c>
      <c r="B1346" s="9">
        <f>MONTH(Table1[[#This Row],[Order Date]])</f>
        <v>11</v>
      </c>
      <c r="C1346" s="9">
        <f>YEAR(Table1[[#This Row],[Order Date]])</f>
        <v>2016</v>
      </c>
      <c r="D1346" t="s">
        <v>893</v>
      </c>
      <c r="E1346" t="s">
        <v>15</v>
      </c>
      <c r="F1346" t="s">
        <v>11</v>
      </c>
      <c r="G1346" t="s">
        <v>24</v>
      </c>
      <c r="H1346" t="s">
        <v>2145</v>
      </c>
      <c r="I1346" s="7">
        <v>27.72</v>
      </c>
      <c r="J1346" s="8">
        <v>3</v>
      </c>
      <c r="K1346" s="7">
        <v>3.47</v>
      </c>
    </row>
    <row r="1347" spans="1:11" x14ac:dyDescent="0.3">
      <c r="A1347" s="2">
        <v>42685</v>
      </c>
      <c r="B1347" s="9">
        <f>MONTH(Table1[[#This Row],[Order Date]])</f>
        <v>11</v>
      </c>
      <c r="C1347" s="9">
        <f>YEAR(Table1[[#This Row],[Order Date]])</f>
        <v>2016</v>
      </c>
      <c r="D1347" t="s">
        <v>2421</v>
      </c>
      <c r="E1347" t="s">
        <v>144</v>
      </c>
      <c r="F1347" t="s">
        <v>39</v>
      </c>
      <c r="G1347" t="s">
        <v>52</v>
      </c>
      <c r="H1347" t="s">
        <v>1672</v>
      </c>
      <c r="I1347" s="7">
        <v>59.97</v>
      </c>
      <c r="J1347" s="8">
        <v>3</v>
      </c>
      <c r="K1347" s="7">
        <v>14.99</v>
      </c>
    </row>
    <row r="1348" spans="1:11" x14ac:dyDescent="0.3">
      <c r="A1348" s="2">
        <v>42685</v>
      </c>
      <c r="B1348" s="9">
        <f>MONTH(Table1[[#This Row],[Order Date]])</f>
        <v>11</v>
      </c>
      <c r="C1348" s="9">
        <f>YEAR(Table1[[#This Row],[Order Date]])</f>
        <v>2016</v>
      </c>
      <c r="D1348" t="s">
        <v>549</v>
      </c>
      <c r="E1348" t="s">
        <v>120</v>
      </c>
      <c r="F1348" t="s">
        <v>11</v>
      </c>
      <c r="G1348" t="s">
        <v>92</v>
      </c>
      <c r="H1348" t="s">
        <v>2521</v>
      </c>
      <c r="I1348" s="7">
        <v>671.54</v>
      </c>
      <c r="J1348" s="8">
        <v>3</v>
      </c>
      <c r="K1348" s="7">
        <v>50.37</v>
      </c>
    </row>
    <row r="1349" spans="1:11" x14ac:dyDescent="0.3">
      <c r="A1349" s="2">
        <v>42685</v>
      </c>
      <c r="B1349" s="9">
        <f>MONTH(Table1[[#This Row],[Order Date]])</f>
        <v>11</v>
      </c>
      <c r="C1349" s="9">
        <f>YEAR(Table1[[#This Row],[Order Date]])</f>
        <v>2016</v>
      </c>
      <c r="D1349" t="s">
        <v>1900</v>
      </c>
      <c r="E1349" t="s">
        <v>144</v>
      </c>
      <c r="F1349" t="s">
        <v>11</v>
      </c>
      <c r="G1349" t="s">
        <v>24</v>
      </c>
      <c r="H1349" t="s">
        <v>1809</v>
      </c>
      <c r="I1349" s="7">
        <v>92.94</v>
      </c>
      <c r="J1349" s="8">
        <v>3</v>
      </c>
      <c r="K1349" s="7">
        <v>25.09</v>
      </c>
    </row>
    <row r="1350" spans="1:11" x14ac:dyDescent="0.3">
      <c r="A1350" s="2">
        <v>42685</v>
      </c>
      <c r="B1350" s="9">
        <f>MONTH(Table1[[#This Row],[Order Date]])</f>
        <v>11</v>
      </c>
      <c r="C1350" s="9">
        <f>YEAR(Table1[[#This Row],[Order Date]])</f>
        <v>2016</v>
      </c>
      <c r="D1350" t="s">
        <v>850</v>
      </c>
      <c r="E1350" t="s">
        <v>27</v>
      </c>
      <c r="F1350" t="s">
        <v>34</v>
      </c>
      <c r="G1350" t="s">
        <v>47</v>
      </c>
      <c r="H1350" t="s">
        <v>2599</v>
      </c>
      <c r="I1350" s="7">
        <v>41.96</v>
      </c>
      <c r="J1350" s="8">
        <v>2</v>
      </c>
      <c r="K1350" s="7">
        <v>10.91</v>
      </c>
    </row>
    <row r="1351" spans="1:11" x14ac:dyDescent="0.3">
      <c r="A1351" s="2">
        <v>42685</v>
      </c>
      <c r="B1351" s="9">
        <f>MONTH(Table1[[#This Row],[Order Date]])</f>
        <v>11</v>
      </c>
      <c r="C1351" s="9">
        <f>YEAR(Table1[[#This Row],[Order Date]])</f>
        <v>2016</v>
      </c>
      <c r="D1351" t="s">
        <v>2493</v>
      </c>
      <c r="E1351" t="s">
        <v>126</v>
      </c>
      <c r="F1351" t="s">
        <v>34</v>
      </c>
      <c r="G1351" t="s">
        <v>140</v>
      </c>
      <c r="H1351" t="s">
        <v>314</v>
      </c>
      <c r="I1351" s="7">
        <v>2678.94</v>
      </c>
      <c r="J1351" s="8">
        <v>6</v>
      </c>
      <c r="K1351" s="7">
        <v>241.1</v>
      </c>
    </row>
    <row r="1352" spans="1:11" x14ac:dyDescent="0.3">
      <c r="A1352" s="2">
        <v>42686</v>
      </c>
      <c r="B1352" s="9">
        <f>MONTH(Table1[[#This Row],[Order Date]])</f>
        <v>11</v>
      </c>
      <c r="C1352" s="9">
        <f>YEAR(Table1[[#This Row],[Order Date]])</f>
        <v>2016</v>
      </c>
      <c r="D1352" t="s">
        <v>2112</v>
      </c>
      <c r="E1352" t="s">
        <v>269</v>
      </c>
      <c r="F1352" t="s">
        <v>11</v>
      </c>
      <c r="G1352" t="s">
        <v>18</v>
      </c>
      <c r="H1352" t="s">
        <v>1491</v>
      </c>
      <c r="I1352" s="7">
        <v>243.38</v>
      </c>
      <c r="J1352" s="8">
        <v>3</v>
      </c>
      <c r="K1352" s="7">
        <v>-51.72</v>
      </c>
    </row>
    <row r="1353" spans="1:11" x14ac:dyDescent="0.3">
      <c r="A1353" s="2">
        <v>42686</v>
      </c>
      <c r="B1353" s="9">
        <f>MONTH(Table1[[#This Row],[Order Date]])</f>
        <v>11</v>
      </c>
      <c r="C1353" s="9">
        <f>YEAR(Table1[[#This Row],[Order Date]])</f>
        <v>2016</v>
      </c>
      <c r="D1353" t="s">
        <v>870</v>
      </c>
      <c r="E1353" t="s">
        <v>158</v>
      </c>
      <c r="F1353" t="s">
        <v>39</v>
      </c>
      <c r="G1353" t="s">
        <v>52</v>
      </c>
      <c r="H1353" t="s">
        <v>1751</v>
      </c>
      <c r="I1353" s="7">
        <v>316</v>
      </c>
      <c r="J1353" s="8">
        <v>4</v>
      </c>
      <c r="K1353" s="7">
        <v>31.6</v>
      </c>
    </row>
    <row r="1354" spans="1:11" x14ac:dyDescent="0.3">
      <c r="A1354" s="2">
        <v>42686</v>
      </c>
      <c r="B1354" s="9">
        <f>MONTH(Table1[[#This Row],[Order Date]])</f>
        <v>11</v>
      </c>
      <c r="C1354" s="9">
        <f>YEAR(Table1[[#This Row],[Order Date]])</f>
        <v>2016</v>
      </c>
      <c r="D1354" t="s">
        <v>1527</v>
      </c>
      <c r="E1354" t="s">
        <v>27</v>
      </c>
      <c r="F1354" t="s">
        <v>11</v>
      </c>
      <c r="G1354" t="s">
        <v>24</v>
      </c>
      <c r="H1354" t="s">
        <v>2541</v>
      </c>
      <c r="I1354" s="7">
        <v>23.32</v>
      </c>
      <c r="J1354" s="8">
        <v>2</v>
      </c>
      <c r="K1354" s="7">
        <v>6.06</v>
      </c>
    </row>
    <row r="1355" spans="1:11" x14ac:dyDescent="0.3">
      <c r="A1355" s="2">
        <v>42686</v>
      </c>
      <c r="B1355" s="9">
        <f>MONTH(Table1[[#This Row],[Order Date]])</f>
        <v>11</v>
      </c>
      <c r="C1355" s="9">
        <f>YEAR(Table1[[#This Row],[Order Date]])</f>
        <v>2016</v>
      </c>
      <c r="D1355" t="s">
        <v>1527</v>
      </c>
      <c r="E1355" t="s">
        <v>27</v>
      </c>
      <c r="F1355" t="s">
        <v>11</v>
      </c>
      <c r="G1355" t="s">
        <v>12</v>
      </c>
      <c r="H1355" t="s">
        <v>2512</v>
      </c>
      <c r="I1355" s="7">
        <v>30.98</v>
      </c>
      <c r="J1355" s="8">
        <v>1</v>
      </c>
      <c r="K1355" s="7">
        <v>13.94</v>
      </c>
    </row>
    <row r="1356" spans="1:11" x14ac:dyDescent="0.3">
      <c r="A1356" s="2">
        <v>42686</v>
      </c>
      <c r="B1356" s="9">
        <f>MONTH(Table1[[#This Row],[Order Date]])</f>
        <v>11</v>
      </c>
      <c r="C1356" s="9">
        <f>YEAR(Table1[[#This Row],[Order Date]])</f>
        <v>2016</v>
      </c>
      <c r="D1356" t="s">
        <v>1527</v>
      </c>
      <c r="E1356" t="s">
        <v>27</v>
      </c>
      <c r="F1356" t="s">
        <v>11</v>
      </c>
      <c r="G1356" t="s">
        <v>20</v>
      </c>
      <c r="H1356" t="s">
        <v>1874</v>
      </c>
      <c r="I1356" s="7">
        <v>5.87</v>
      </c>
      <c r="J1356" s="8">
        <v>2</v>
      </c>
      <c r="K1356" s="7">
        <v>2.13</v>
      </c>
    </row>
    <row r="1357" spans="1:11" x14ac:dyDescent="0.3">
      <c r="A1357" s="2">
        <v>42707</v>
      </c>
      <c r="B1357" s="9">
        <f>MONTH(Table1[[#This Row],[Order Date]])</f>
        <v>12</v>
      </c>
      <c r="C1357" s="9">
        <f>YEAR(Table1[[#This Row],[Order Date]])</f>
        <v>2016</v>
      </c>
      <c r="D1357" t="s">
        <v>282</v>
      </c>
      <c r="E1357" t="s">
        <v>27</v>
      </c>
      <c r="F1357" t="s">
        <v>11</v>
      </c>
      <c r="G1357" t="s">
        <v>18</v>
      </c>
      <c r="H1357" t="s">
        <v>1986</v>
      </c>
      <c r="I1357" s="7">
        <v>676.55</v>
      </c>
      <c r="J1357" s="8">
        <v>5</v>
      </c>
      <c r="K1357" s="7">
        <v>6.77</v>
      </c>
    </row>
    <row r="1358" spans="1:11" x14ac:dyDescent="0.3">
      <c r="A1358" s="2">
        <v>42707</v>
      </c>
      <c r="B1358" s="9">
        <f>MONTH(Table1[[#This Row],[Order Date]])</f>
        <v>12</v>
      </c>
      <c r="C1358" s="9">
        <f>YEAR(Table1[[#This Row],[Order Date]])</f>
        <v>2016</v>
      </c>
      <c r="D1358" t="s">
        <v>954</v>
      </c>
      <c r="E1358" t="s">
        <v>27</v>
      </c>
      <c r="F1358" t="s">
        <v>11</v>
      </c>
      <c r="G1358" t="s">
        <v>12</v>
      </c>
      <c r="H1358" t="s">
        <v>2423</v>
      </c>
      <c r="I1358" s="7">
        <v>19.98</v>
      </c>
      <c r="J1358" s="8">
        <v>2</v>
      </c>
      <c r="K1358" s="7">
        <v>8.99</v>
      </c>
    </row>
    <row r="1359" spans="1:11" x14ac:dyDescent="0.3">
      <c r="A1359" s="2">
        <v>42708</v>
      </c>
      <c r="B1359" s="9">
        <f>MONTH(Table1[[#This Row],[Order Date]])</f>
        <v>12</v>
      </c>
      <c r="C1359" s="9">
        <f>YEAR(Table1[[#This Row],[Order Date]])</f>
        <v>2016</v>
      </c>
      <c r="D1359" t="s">
        <v>286</v>
      </c>
      <c r="E1359" t="s">
        <v>27</v>
      </c>
      <c r="F1359" t="s">
        <v>11</v>
      </c>
      <c r="G1359" t="s">
        <v>12</v>
      </c>
      <c r="H1359" t="s">
        <v>2163</v>
      </c>
      <c r="I1359" s="7">
        <v>19.440000000000001</v>
      </c>
      <c r="J1359" s="8">
        <v>3</v>
      </c>
      <c r="K1359" s="7">
        <v>9.33</v>
      </c>
    </row>
    <row r="1360" spans="1:11" x14ac:dyDescent="0.3">
      <c r="A1360" s="2">
        <v>42708</v>
      </c>
      <c r="B1360" s="9">
        <f>MONTH(Table1[[#This Row],[Order Date]])</f>
        <v>12</v>
      </c>
      <c r="C1360" s="9">
        <f>YEAR(Table1[[#This Row],[Order Date]])</f>
        <v>2016</v>
      </c>
      <c r="D1360" t="s">
        <v>1714</v>
      </c>
      <c r="E1360" t="s">
        <v>237</v>
      </c>
      <c r="F1360" t="s">
        <v>11</v>
      </c>
      <c r="G1360" t="s">
        <v>12</v>
      </c>
      <c r="H1360" t="s">
        <v>2451</v>
      </c>
      <c r="I1360" s="7">
        <v>10.27</v>
      </c>
      <c r="J1360" s="8">
        <v>3</v>
      </c>
      <c r="K1360" s="7">
        <v>3.47</v>
      </c>
    </row>
    <row r="1361" spans="1:11" x14ac:dyDescent="0.3">
      <c r="A1361" s="2">
        <v>42709</v>
      </c>
      <c r="B1361" s="9">
        <f>MONTH(Table1[[#This Row],[Order Date]])</f>
        <v>12</v>
      </c>
      <c r="C1361" s="9">
        <f>YEAR(Table1[[#This Row],[Order Date]])</f>
        <v>2016</v>
      </c>
      <c r="D1361" t="s">
        <v>2453</v>
      </c>
      <c r="E1361" t="s">
        <v>158</v>
      </c>
      <c r="F1361" t="s">
        <v>11</v>
      </c>
      <c r="G1361" t="s">
        <v>63</v>
      </c>
      <c r="H1361" t="s">
        <v>2487</v>
      </c>
      <c r="I1361" s="7">
        <v>54.9</v>
      </c>
      <c r="J1361" s="8">
        <v>5</v>
      </c>
      <c r="K1361" s="7">
        <v>26.9</v>
      </c>
    </row>
    <row r="1362" spans="1:11" x14ac:dyDescent="0.3">
      <c r="A1362" s="2">
        <v>42709</v>
      </c>
      <c r="B1362" s="9">
        <f>MONTH(Table1[[#This Row],[Order Date]])</f>
        <v>12</v>
      </c>
      <c r="C1362" s="9">
        <f>YEAR(Table1[[#This Row],[Order Date]])</f>
        <v>2016</v>
      </c>
      <c r="D1362" t="s">
        <v>365</v>
      </c>
      <c r="E1362" t="s">
        <v>27</v>
      </c>
      <c r="F1362" t="s">
        <v>39</v>
      </c>
      <c r="G1362" t="s">
        <v>52</v>
      </c>
      <c r="H1362" t="s">
        <v>2488</v>
      </c>
      <c r="I1362" s="7">
        <v>120</v>
      </c>
      <c r="J1362" s="8">
        <v>6</v>
      </c>
      <c r="K1362" s="7">
        <v>46.8</v>
      </c>
    </row>
    <row r="1363" spans="1:11" x14ac:dyDescent="0.3">
      <c r="A1363" s="2">
        <v>42710</v>
      </c>
      <c r="B1363" s="9">
        <f>MONTH(Table1[[#This Row],[Order Date]])</f>
        <v>12</v>
      </c>
      <c r="C1363" s="9">
        <f>YEAR(Table1[[#This Row],[Order Date]])</f>
        <v>2016</v>
      </c>
      <c r="D1363" t="s">
        <v>2079</v>
      </c>
      <c r="E1363" t="s">
        <v>474</v>
      </c>
      <c r="F1363" t="s">
        <v>11</v>
      </c>
      <c r="G1363" t="s">
        <v>92</v>
      </c>
      <c r="H1363" t="s">
        <v>696</v>
      </c>
      <c r="I1363" s="7">
        <v>208.16</v>
      </c>
      <c r="J1363" s="8">
        <v>1</v>
      </c>
      <c r="K1363" s="7">
        <v>56.2</v>
      </c>
    </row>
    <row r="1364" spans="1:11" x14ac:dyDescent="0.3">
      <c r="A1364" s="2">
        <v>42710</v>
      </c>
      <c r="B1364" s="9">
        <f>MONTH(Table1[[#This Row],[Order Date]])</f>
        <v>12</v>
      </c>
      <c r="C1364" s="9">
        <f>YEAR(Table1[[#This Row],[Order Date]])</f>
        <v>2016</v>
      </c>
      <c r="D1364" t="s">
        <v>2079</v>
      </c>
      <c r="E1364" t="s">
        <v>474</v>
      </c>
      <c r="F1364" t="s">
        <v>11</v>
      </c>
      <c r="G1364" t="s">
        <v>20</v>
      </c>
      <c r="H1364" t="s">
        <v>1103</v>
      </c>
      <c r="I1364" s="7">
        <v>16.739999999999998</v>
      </c>
      <c r="J1364" s="8">
        <v>3</v>
      </c>
      <c r="K1364" s="7">
        <v>8.0399999999999991</v>
      </c>
    </row>
    <row r="1365" spans="1:11" x14ac:dyDescent="0.3">
      <c r="A1365" s="2">
        <v>42710</v>
      </c>
      <c r="B1365" s="9">
        <f>MONTH(Table1[[#This Row],[Order Date]])</f>
        <v>12</v>
      </c>
      <c r="C1365" s="9">
        <f>YEAR(Table1[[#This Row],[Order Date]])</f>
        <v>2016</v>
      </c>
      <c r="D1365" t="s">
        <v>2144</v>
      </c>
      <c r="E1365" t="s">
        <v>15</v>
      </c>
      <c r="F1365" t="s">
        <v>39</v>
      </c>
      <c r="G1365" t="s">
        <v>293</v>
      </c>
      <c r="H1365" t="s">
        <v>2511</v>
      </c>
      <c r="I1365" s="7">
        <v>1007.98</v>
      </c>
      <c r="J1365" s="8">
        <v>3</v>
      </c>
      <c r="K1365" s="7">
        <v>43.2</v>
      </c>
    </row>
    <row r="1366" spans="1:11" x14ac:dyDescent="0.3">
      <c r="A1366" s="2">
        <v>42710</v>
      </c>
      <c r="B1366" s="9">
        <f>MONTH(Table1[[#This Row],[Order Date]])</f>
        <v>12</v>
      </c>
      <c r="C1366" s="9">
        <f>YEAR(Table1[[#This Row],[Order Date]])</f>
        <v>2016</v>
      </c>
      <c r="D1366" t="s">
        <v>1260</v>
      </c>
      <c r="E1366" t="s">
        <v>27</v>
      </c>
      <c r="F1366" t="s">
        <v>11</v>
      </c>
      <c r="G1366" t="s">
        <v>12</v>
      </c>
      <c r="H1366" t="s">
        <v>2125</v>
      </c>
      <c r="I1366" s="7">
        <v>12.96</v>
      </c>
      <c r="J1366" s="8">
        <v>2</v>
      </c>
      <c r="K1366" s="7">
        <v>6.22</v>
      </c>
    </row>
    <row r="1367" spans="1:11" x14ac:dyDescent="0.3">
      <c r="A1367" s="2">
        <v>42710</v>
      </c>
      <c r="B1367" s="9">
        <f>MONTH(Table1[[#This Row],[Order Date]])</f>
        <v>12</v>
      </c>
      <c r="C1367" s="9">
        <f>YEAR(Table1[[#This Row],[Order Date]])</f>
        <v>2016</v>
      </c>
      <c r="D1367" t="s">
        <v>930</v>
      </c>
      <c r="E1367" t="s">
        <v>10</v>
      </c>
      <c r="F1367" t="s">
        <v>34</v>
      </c>
      <c r="G1367" t="s">
        <v>47</v>
      </c>
      <c r="H1367" t="s">
        <v>578</v>
      </c>
      <c r="I1367" s="7">
        <v>6.98</v>
      </c>
      <c r="J1367" s="8">
        <v>2</v>
      </c>
      <c r="K1367" s="7">
        <v>-4.54</v>
      </c>
    </row>
    <row r="1368" spans="1:11" x14ac:dyDescent="0.3">
      <c r="A1368" s="2">
        <v>42710</v>
      </c>
      <c r="B1368" s="9">
        <f>MONTH(Table1[[#This Row],[Order Date]])</f>
        <v>12</v>
      </c>
      <c r="C1368" s="9">
        <f>YEAR(Table1[[#This Row],[Order Date]])</f>
        <v>2016</v>
      </c>
      <c r="D1368" t="s">
        <v>930</v>
      </c>
      <c r="E1368" t="s">
        <v>10</v>
      </c>
      <c r="F1368" t="s">
        <v>11</v>
      </c>
      <c r="G1368" t="s">
        <v>12</v>
      </c>
      <c r="H1368" t="s">
        <v>2513</v>
      </c>
      <c r="I1368" s="7">
        <v>15.55</v>
      </c>
      <c r="J1368" s="8">
        <v>3</v>
      </c>
      <c r="K1368" s="7">
        <v>5.64</v>
      </c>
    </row>
    <row r="1369" spans="1:11" x14ac:dyDescent="0.3">
      <c r="A1369" s="2">
        <v>42712</v>
      </c>
      <c r="B1369" s="9">
        <f>MONTH(Table1[[#This Row],[Order Date]])</f>
        <v>12</v>
      </c>
      <c r="C1369" s="9">
        <f>YEAR(Table1[[#This Row],[Order Date]])</f>
        <v>2016</v>
      </c>
      <c r="D1369" t="s">
        <v>2470</v>
      </c>
      <c r="E1369" t="s">
        <v>10</v>
      </c>
      <c r="F1369" t="s">
        <v>39</v>
      </c>
      <c r="G1369" t="s">
        <v>52</v>
      </c>
      <c r="H1369" t="s">
        <v>2298</v>
      </c>
      <c r="I1369" s="7">
        <v>1399.94</v>
      </c>
      <c r="J1369" s="8">
        <v>7</v>
      </c>
      <c r="K1369" s="7">
        <v>52.5</v>
      </c>
    </row>
    <row r="1370" spans="1:11" x14ac:dyDescent="0.3">
      <c r="A1370" s="2">
        <v>42713</v>
      </c>
      <c r="B1370" s="9">
        <f>MONTH(Table1[[#This Row],[Order Date]])</f>
        <v>12</v>
      </c>
      <c r="C1370" s="9">
        <f>YEAR(Table1[[#This Row],[Order Date]])</f>
        <v>2016</v>
      </c>
      <c r="D1370" t="s">
        <v>1753</v>
      </c>
      <c r="E1370" t="s">
        <v>108</v>
      </c>
      <c r="F1370" t="s">
        <v>11</v>
      </c>
      <c r="G1370" t="s">
        <v>12</v>
      </c>
      <c r="H1370" t="s">
        <v>1856</v>
      </c>
      <c r="I1370" s="7">
        <v>68.52</v>
      </c>
      <c r="J1370" s="8">
        <v>3</v>
      </c>
      <c r="K1370" s="7">
        <v>31.52</v>
      </c>
    </row>
    <row r="1371" spans="1:11" x14ac:dyDescent="0.3">
      <c r="A1371" s="2">
        <v>42713</v>
      </c>
      <c r="B1371" s="9">
        <f>MONTH(Table1[[#This Row],[Order Date]])</f>
        <v>12</v>
      </c>
      <c r="C1371" s="9">
        <f>YEAR(Table1[[#This Row],[Order Date]])</f>
        <v>2016</v>
      </c>
      <c r="D1371" t="s">
        <v>677</v>
      </c>
      <c r="E1371" t="s">
        <v>144</v>
      </c>
      <c r="F1371" t="s">
        <v>34</v>
      </c>
      <c r="G1371" t="s">
        <v>47</v>
      </c>
      <c r="H1371" t="s">
        <v>371</v>
      </c>
      <c r="I1371" s="7">
        <v>40.479999999999997</v>
      </c>
      <c r="J1371" s="8">
        <v>2</v>
      </c>
      <c r="K1371" s="7">
        <v>14.57</v>
      </c>
    </row>
    <row r="1372" spans="1:11" x14ac:dyDescent="0.3">
      <c r="A1372" s="2">
        <v>42715</v>
      </c>
      <c r="B1372" s="9">
        <f>MONTH(Table1[[#This Row],[Order Date]])</f>
        <v>12</v>
      </c>
      <c r="C1372" s="9">
        <f>YEAR(Table1[[#This Row],[Order Date]])</f>
        <v>2016</v>
      </c>
      <c r="D1372" t="s">
        <v>370</v>
      </c>
      <c r="E1372" t="s">
        <v>95</v>
      </c>
      <c r="F1372" t="s">
        <v>11</v>
      </c>
      <c r="G1372" t="s">
        <v>20</v>
      </c>
      <c r="H1372" t="s">
        <v>2221</v>
      </c>
      <c r="I1372" s="7">
        <v>4.37</v>
      </c>
      <c r="J1372" s="8">
        <v>7</v>
      </c>
      <c r="K1372" s="7">
        <v>-3.35</v>
      </c>
    </row>
    <row r="1373" spans="1:11" x14ac:dyDescent="0.3">
      <c r="A1373" s="2">
        <v>42715</v>
      </c>
      <c r="B1373" s="9">
        <f>MONTH(Table1[[#This Row],[Order Date]])</f>
        <v>12</v>
      </c>
      <c r="C1373" s="9">
        <f>YEAR(Table1[[#This Row],[Order Date]])</f>
        <v>2016</v>
      </c>
      <c r="D1373" t="s">
        <v>469</v>
      </c>
      <c r="E1373" t="s">
        <v>126</v>
      </c>
      <c r="F1373" t="s">
        <v>11</v>
      </c>
      <c r="G1373" t="s">
        <v>63</v>
      </c>
      <c r="H1373" t="s">
        <v>2330</v>
      </c>
      <c r="I1373" s="7">
        <v>287.52</v>
      </c>
      <c r="J1373" s="8">
        <v>8</v>
      </c>
      <c r="K1373" s="7">
        <v>129.38</v>
      </c>
    </row>
    <row r="1374" spans="1:11" x14ac:dyDescent="0.3">
      <c r="A1374" s="2">
        <v>42715</v>
      </c>
      <c r="B1374" s="9">
        <f>MONTH(Table1[[#This Row],[Order Date]])</f>
        <v>12</v>
      </c>
      <c r="C1374" s="9">
        <f>YEAR(Table1[[#This Row],[Order Date]])</f>
        <v>2016</v>
      </c>
      <c r="D1374" t="s">
        <v>733</v>
      </c>
      <c r="E1374" t="s">
        <v>27</v>
      </c>
      <c r="F1374" t="s">
        <v>39</v>
      </c>
      <c r="G1374" t="s">
        <v>40</v>
      </c>
      <c r="H1374" t="s">
        <v>1833</v>
      </c>
      <c r="I1374" s="7">
        <v>203.98</v>
      </c>
      <c r="J1374" s="8">
        <v>3</v>
      </c>
      <c r="K1374" s="7">
        <v>25.5</v>
      </c>
    </row>
    <row r="1375" spans="1:11" x14ac:dyDescent="0.3">
      <c r="A1375" s="2">
        <v>42716</v>
      </c>
      <c r="B1375" s="9">
        <f>MONTH(Table1[[#This Row],[Order Date]])</f>
        <v>12</v>
      </c>
      <c r="C1375" s="9">
        <f>YEAR(Table1[[#This Row],[Order Date]])</f>
        <v>2016</v>
      </c>
      <c r="D1375" t="s">
        <v>1755</v>
      </c>
      <c r="E1375" t="s">
        <v>30</v>
      </c>
      <c r="F1375" t="s">
        <v>39</v>
      </c>
      <c r="G1375" t="s">
        <v>52</v>
      </c>
      <c r="H1375" t="s">
        <v>984</v>
      </c>
      <c r="I1375" s="7">
        <v>249.95</v>
      </c>
      <c r="J1375" s="8">
        <v>5</v>
      </c>
      <c r="K1375" s="7">
        <v>20</v>
      </c>
    </row>
    <row r="1376" spans="1:11" x14ac:dyDescent="0.3">
      <c r="A1376" s="2">
        <v>42716</v>
      </c>
      <c r="B1376" s="9">
        <f>MONTH(Table1[[#This Row],[Order Date]])</f>
        <v>12</v>
      </c>
      <c r="C1376" s="9">
        <f>YEAR(Table1[[#This Row],[Order Date]])</f>
        <v>2016</v>
      </c>
      <c r="D1376" t="s">
        <v>1755</v>
      </c>
      <c r="E1376" t="s">
        <v>30</v>
      </c>
      <c r="F1376" t="s">
        <v>11</v>
      </c>
      <c r="G1376" t="s">
        <v>12</v>
      </c>
      <c r="H1376" t="s">
        <v>2624</v>
      </c>
      <c r="I1376" s="7">
        <v>49.12</v>
      </c>
      <c r="J1376" s="8">
        <v>4</v>
      </c>
      <c r="K1376" s="7">
        <v>23.09</v>
      </c>
    </row>
    <row r="1377" spans="1:11" x14ac:dyDescent="0.3">
      <c r="A1377" s="2">
        <v>42716</v>
      </c>
      <c r="B1377" s="9">
        <f>MONTH(Table1[[#This Row],[Order Date]])</f>
        <v>12</v>
      </c>
      <c r="C1377" s="9">
        <f>YEAR(Table1[[#This Row],[Order Date]])</f>
        <v>2016</v>
      </c>
      <c r="D1377" t="s">
        <v>852</v>
      </c>
      <c r="E1377" t="s">
        <v>144</v>
      </c>
      <c r="F1377" t="s">
        <v>11</v>
      </c>
      <c r="G1377" t="s">
        <v>194</v>
      </c>
      <c r="H1377" t="s">
        <v>2534</v>
      </c>
      <c r="I1377" s="7">
        <v>35.520000000000003</v>
      </c>
      <c r="J1377" s="8">
        <v>4</v>
      </c>
      <c r="K1377" s="7">
        <v>9.9499999999999993</v>
      </c>
    </row>
    <row r="1378" spans="1:11" x14ac:dyDescent="0.3">
      <c r="A1378" s="2">
        <v>42736</v>
      </c>
      <c r="B1378" s="9">
        <f>MONTH(Table1[[#This Row],[Order Date]])</f>
        <v>1</v>
      </c>
      <c r="C1378" s="9">
        <f>YEAR(Table1[[#This Row],[Order Date]])</f>
        <v>2017</v>
      </c>
      <c r="D1378" t="s">
        <v>749</v>
      </c>
      <c r="E1378" t="s">
        <v>27</v>
      </c>
      <c r="F1378" t="s">
        <v>34</v>
      </c>
      <c r="G1378" t="s">
        <v>47</v>
      </c>
      <c r="H1378" t="s">
        <v>1906</v>
      </c>
      <c r="I1378" s="7">
        <v>474.43</v>
      </c>
      <c r="J1378" s="8">
        <v>11</v>
      </c>
      <c r="K1378" s="7">
        <v>199.26</v>
      </c>
    </row>
    <row r="1379" spans="1:11" x14ac:dyDescent="0.3">
      <c r="A1379" s="2">
        <v>42736</v>
      </c>
      <c r="B1379" s="9">
        <f>MONTH(Table1[[#This Row],[Order Date]])</f>
        <v>1</v>
      </c>
      <c r="C1379" s="9">
        <f>YEAR(Table1[[#This Row],[Order Date]])</f>
        <v>2017</v>
      </c>
      <c r="D1379" t="s">
        <v>888</v>
      </c>
      <c r="E1379" t="s">
        <v>152</v>
      </c>
      <c r="F1379" t="s">
        <v>11</v>
      </c>
      <c r="G1379" t="s">
        <v>20</v>
      </c>
      <c r="H1379" t="s">
        <v>199</v>
      </c>
      <c r="I1379" s="7">
        <v>3.6</v>
      </c>
      <c r="J1379" s="8">
        <v>2</v>
      </c>
      <c r="K1379" s="7">
        <v>1.73</v>
      </c>
    </row>
    <row r="1380" spans="1:11" x14ac:dyDescent="0.3">
      <c r="A1380" s="2">
        <v>42739</v>
      </c>
      <c r="B1380" s="9">
        <f>MONTH(Table1[[#This Row],[Order Date]])</f>
        <v>1</v>
      </c>
      <c r="C1380" s="9">
        <f>YEAR(Table1[[#This Row],[Order Date]])</f>
        <v>2017</v>
      </c>
      <c r="D1380" t="s">
        <v>1230</v>
      </c>
      <c r="E1380" t="s">
        <v>27</v>
      </c>
      <c r="F1380" t="s">
        <v>11</v>
      </c>
      <c r="G1380" t="s">
        <v>16</v>
      </c>
      <c r="H1380" t="s">
        <v>2544</v>
      </c>
      <c r="I1380" s="7">
        <v>5.78</v>
      </c>
      <c r="J1380" s="8">
        <v>2</v>
      </c>
      <c r="K1380" s="7">
        <v>2.72</v>
      </c>
    </row>
    <row r="1381" spans="1:11" x14ac:dyDescent="0.3">
      <c r="A1381" s="2">
        <v>42739</v>
      </c>
      <c r="B1381" s="9">
        <f>MONTH(Table1[[#This Row],[Order Date]])</f>
        <v>1</v>
      </c>
      <c r="C1381" s="9">
        <f>YEAR(Table1[[#This Row],[Order Date]])</f>
        <v>2017</v>
      </c>
      <c r="D1381" t="s">
        <v>985</v>
      </c>
      <c r="E1381" t="s">
        <v>27</v>
      </c>
      <c r="F1381" t="s">
        <v>39</v>
      </c>
      <c r="G1381" t="s">
        <v>293</v>
      </c>
      <c r="H1381" t="s">
        <v>2363</v>
      </c>
      <c r="I1381" s="7">
        <v>4799.9799999999996</v>
      </c>
      <c r="J1381" s="8">
        <v>2</v>
      </c>
      <c r="K1381" s="7">
        <v>360</v>
      </c>
    </row>
    <row r="1382" spans="1:11" x14ac:dyDescent="0.3">
      <c r="A1382" s="2">
        <v>42740</v>
      </c>
      <c r="B1382" s="9">
        <f>MONTH(Table1[[#This Row],[Order Date]])</f>
        <v>1</v>
      </c>
      <c r="C1382" s="9">
        <f>YEAR(Table1[[#This Row],[Order Date]])</f>
        <v>2017</v>
      </c>
      <c r="D1382" t="s">
        <v>2420</v>
      </c>
      <c r="E1382" t="s">
        <v>120</v>
      </c>
      <c r="F1382" t="s">
        <v>11</v>
      </c>
      <c r="G1382" t="s">
        <v>194</v>
      </c>
      <c r="H1382" t="s">
        <v>2577</v>
      </c>
      <c r="I1382" s="7">
        <v>3.33</v>
      </c>
      <c r="J1382" s="8">
        <v>2</v>
      </c>
      <c r="K1382" s="7">
        <v>0.42</v>
      </c>
    </row>
    <row r="1383" spans="1:11" x14ac:dyDescent="0.3">
      <c r="A1383" s="2">
        <v>42741</v>
      </c>
      <c r="B1383" s="9">
        <f>MONTH(Table1[[#This Row],[Order Date]])</f>
        <v>1</v>
      </c>
      <c r="C1383" s="9">
        <f>YEAR(Table1[[#This Row],[Order Date]])</f>
        <v>2017</v>
      </c>
      <c r="D1383" t="s">
        <v>1011</v>
      </c>
      <c r="E1383" t="s">
        <v>78</v>
      </c>
      <c r="F1383" t="s">
        <v>11</v>
      </c>
      <c r="G1383" t="s">
        <v>92</v>
      </c>
      <c r="H1383" t="s">
        <v>1930</v>
      </c>
      <c r="I1383" s="7">
        <v>17.48</v>
      </c>
      <c r="J1383" s="8">
        <v>5</v>
      </c>
      <c r="K1383" s="7">
        <v>1.31</v>
      </c>
    </row>
    <row r="1384" spans="1:11" x14ac:dyDescent="0.3">
      <c r="A1384" s="2">
        <v>42741</v>
      </c>
      <c r="B1384" s="9">
        <f>MONTH(Table1[[#This Row],[Order Date]])</f>
        <v>1</v>
      </c>
      <c r="C1384" s="9">
        <f>YEAR(Table1[[#This Row],[Order Date]])</f>
        <v>2017</v>
      </c>
      <c r="D1384" t="s">
        <v>2225</v>
      </c>
      <c r="E1384" t="s">
        <v>126</v>
      </c>
      <c r="F1384" t="s">
        <v>39</v>
      </c>
      <c r="G1384" t="s">
        <v>52</v>
      </c>
      <c r="H1384" t="s">
        <v>1492</v>
      </c>
      <c r="I1384" s="7">
        <v>83.97</v>
      </c>
      <c r="J1384" s="8">
        <v>3</v>
      </c>
      <c r="K1384" s="7">
        <v>15.95</v>
      </c>
    </row>
    <row r="1385" spans="1:11" x14ac:dyDescent="0.3">
      <c r="A1385" s="2">
        <v>42743</v>
      </c>
      <c r="B1385" s="9">
        <f>MONTH(Table1[[#This Row],[Order Date]])</f>
        <v>1</v>
      </c>
      <c r="C1385" s="9">
        <f>YEAR(Table1[[#This Row],[Order Date]])</f>
        <v>2017</v>
      </c>
      <c r="D1385" t="s">
        <v>1009</v>
      </c>
      <c r="E1385" t="s">
        <v>10</v>
      </c>
      <c r="F1385" t="s">
        <v>11</v>
      </c>
      <c r="G1385" t="s">
        <v>12</v>
      </c>
      <c r="H1385" t="s">
        <v>2691</v>
      </c>
      <c r="I1385" s="7">
        <v>36.29</v>
      </c>
      <c r="J1385" s="8">
        <v>7</v>
      </c>
      <c r="K1385" s="7">
        <v>12.7</v>
      </c>
    </row>
    <row r="1386" spans="1:11" x14ac:dyDescent="0.3">
      <c r="A1386" s="2">
        <v>42744</v>
      </c>
      <c r="B1386" s="9">
        <f>MONTH(Table1[[#This Row],[Order Date]])</f>
        <v>1</v>
      </c>
      <c r="C1386" s="9">
        <f>YEAR(Table1[[#This Row],[Order Date]])</f>
        <v>2017</v>
      </c>
      <c r="D1386" t="s">
        <v>307</v>
      </c>
      <c r="E1386" t="s">
        <v>144</v>
      </c>
      <c r="F1386" t="s">
        <v>34</v>
      </c>
      <c r="G1386" t="s">
        <v>47</v>
      </c>
      <c r="H1386" t="s">
        <v>2629</v>
      </c>
      <c r="I1386" s="7">
        <v>114.9</v>
      </c>
      <c r="J1386" s="8">
        <v>5</v>
      </c>
      <c r="K1386" s="7">
        <v>39.07</v>
      </c>
    </row>
    <row r="1387" spans="1:11" x14ac:dyDescent="0.3">
      <c r="A1387" s="2">
        <v>42744</v>
      </c>
      <c r="B1387" s="9">
        <f>MONTH(Table1[[#This Row],[Order Date]])</f>
        <v>1</v>
      </c>
      <c r="C1387" s="9">
        <f>YEAR(Table1[[#This Row],[Order Date]])</f>
        <v>2017</v>
      </c>
      <c r="D1387" t="s">
        <v>1741</v>
      </c>
      <c r="E1387" t="s">
        <v>158</v>
      </c>
      <c r="F1387" t="s">
        <v>11</v>
      </c>
      <c r="G1387" t="s">
        <v>20</v>
      </c>
      <c r="H1387" t="s">
        <v>80</v>
      </c>
      <c r="I1387" s="7">
        <v>22.92</v>
      </c>
      <c r="J1387" s="8">
        <v>5</v>
      </c>
      <c r="K1387" s="7">
        <v>8.02</v>
      </c>
    </row>
    <row r="1388" spans="1:11" x14ac:dyDescent="0.3">
      <c r="A1388" s="2">
        <v>42745</v>
      </c>
      <c r="B1388" s="9">
        <f>MONTH(Table1[[#This Row],[Order Date]])</f>
        <v>1</v>
      </c>
      <c r="C1388" s="9">
        <f>YEAR(Table1[[#This Row],[Order Date]])</f>
        <v>2017</v>
      </c>
      <c r="D1388" t="s">
        <v>1502</v>
      </c>
      <c r="E1388" t="s">
        <v>10</v>
      </c>
      <c r="F1388" t="s">
        <v>11</v>
      </c>
      <c r="G1388" t="s">
        <v>24</v>
      </c>
      <c r="H1388" t="s">
        <v>2261</v>
      </c>
      <c r="I1388" s="7">
        <v>6.67</v>
      </c>
      <c r="J1388" s="8">
        <v>6</v>
      </c>
      <c r="K1388" s="7">
        <v>0.5</v>
      </c>
    </row>
    <row r="1389" spans="1:11" x14ac:dyDescent="0.3">
      <c r="A1389" s="2">
        <v>42745</v>
      </c>
      <c r="B1389" s="9">
        <f>MONTH(Table1[[#This Row],[Order Date]])</f>
        <v>1</v>
      </c>
      <c r="C1389" s="9">
        <f>YEAR(Table1[[#This Row],[Order Date]])</f>
        <v>2017</v>
      </c>
      <c r="D1389" t="s">
        <v>720</v>
      </c>
      <c r="E1389" t="s">
        <v>158</v>
      </c>
      <c r="F1389" t="s">
        <v>11</v>
      </c>
      <c r="G1389" t="s">
        <v>12</v>
      </c>
      <c r="H1389" t="s">
        <v>1123</v>
      </c>
      <c r="I1389" s="7">
        <v>91.84</v>
      </c>
      <c r="J1389" s="8">
        <v>8</v>
      </c>
      <c r="K1389" s="7">
        <v>45</v>
      </c>
    </row>
    <row r="1390" spans="1:11" x14ac:dyDescent="0.3">
      <c r="A1390" s="2">
        <v>42745</v>
      </c>
      <c r="B1390" s="9">
        <f>MONTH(Table1[[#This Row],[Order Date]])</f>
        <v>1</v>
      </c>
      <c r="C1390" s="9">
        <f>YEAR(Table1[[#This Row],[Order Date]])</f>
        <v>2017</v>
      </c>
      <c r="D1390" t="s">
        <v>1409</v>
      </c>
      <c r="E1390" t="s">
        <v>27</v>
      </c>
      <c r="F1390" t="s">
        <v>39</v>
      </c>
      <c r="G1390" t="s">
        <v>52</v>
      </c>
      <c r="H1390" t="s">
        <v>1792</v>
      </c>
      <c r="I1390" s="7">
        <v>104.75</v>
      </c>
      <c r="J1390" s="8">
        <v>5</v>
      </c>
      <c r="K1390" s="7">
        <v>22</v>
      </c>
    </row>
    <row r="1391" spans="1:11" x14ac:dyDescent="0.3">
      <c r="A1391" s="2">
        <v>42747</v>
      </c>
      <c r="B1391" s="9">
        <f>MONTH(Table1[[#This Row],[Order Date]])</f>
        <v>1</v>
      </c>
      <c r="C1391" s="9">
        <f>YEAR(Table1[[#This Row],[Order Date]])</f>
        <v>2017</v>
      </c>
      <c r="D1391" t="s">
        <v>1787</v>
      </c>
      <c r="E1391" t="s">
        <v>144</v>
      </c>
      <c r="F1391" t="s">
        <v>11</v>
      </c>
      <c r="G1391" t="s">
        <v>18</v>
      </c>
      <c r="H1391" t="s">
        <v>1808</v>
      </c>
      <c r="I1391" s="7">
        <v>221.55</v>
      </c>
      <c r="J1391" s="8">
        <v>3</v>
      </c>
      <c r="K1391" s="7">
        <v>6.65</v>
      </c>
    </row>
    <row r="1392" spans="1:11" x14ac:dyDescent="0.3">
      <c r="A1392" s="2">
        <v>42747</v>
      </c>
      <c r="B1392" s="9">
        <f>MONTH(Table1[[#This Row],[Order Date]])</f>
        <v>1</v>
      </c>
      <c r="C1392" s="9">
        <f>YEAR(Table1[[#This Row],[Order Date]])</f>
        <v>2017</v>
      </c>
      <c r="D1392" t="s">
        <v>1787</v>
      </c>
      <c r="E1392" t="s">
        <v>144</v>
      </c>
      <c r="F1392" t="s">
        <v>11</v>
      </c>
      <c r="G1392" t="s">
        <v>20</v>
      </c>
      <c r="H1392" t="s">
        <v>1348</v>
      </c>
      <c r="I1392" s="7">
        <v>17.52</v>
      </c>
      <c r="J1392" s="8">
        <v>5</v>
      </c>
      <c r="K1392" s="7">
        <v>6.13</v>
      </c>
    </row>
    <row r="1393" spans="1:11" x14ac:dyDescent="0.3">
      <c r="A1393" s="2">
        <v>42747</v>
      </c>
      <c r="B1393" s="9">
        <f>MONTH(Table1[[#This Row],[Order Date]])</f>
        <v>1</v>
      </c>
      <c r="C1393" s="9">
        <f>YEAR(Table1[[#This Row],[Order Date]])</f>
        <v>2017</v>
      </c>
      <c r="D1393" t="s">
        <v>839</v>
      </c>
      <c r="E1393" t="s">
        <v>269</v>
      </c>
      <c r="F1393" t="s">
        <v>39</v>
      </c>
      <c r="G1393" t="s">
        <v>40</v>
      </c>
      <c r="H1393" t="s">
        <v>2299</v>
      </c>
      <c r="I1393" s="7">
        <v>406.37</v>
      </c>
      <c r="J1393" s="8">
        <v>4</v>
      </c>
      <c r="K1393" s="7">
        <v>30.48</v>
      </c>
    </row>
    <row r="1394" spans="1:11" x14ac:dyDescent="0.3">
      <c r="A1394" s="2">
        <v>42747</v>
      </c>
      <c r="B1394" s="9">
        <f>MONTH(Table1[[#This Row],[Order Date]])</f>
        <v>1</v>
      </c>
      <c r="C1394" s="9">
        <f>YEAR(Table1[[#This Row],[Order Date]])</f>
        <v>2017</v>
      </c>
      <c r="D1394" t="s">
        <v>652</v>
      </c>
      <c r="E1394" t="s">
        <v>23</v>
      </c>
      <c r="F1394" t="s">
        <v>11</v>
      </c>
      <c r="G1394" t="s">
        <v>63</v>
      </c>
      <c r="H1394" t="s">
        <v>1639</v>
      </c>
      <c r="I1394" s="7">
        <v>104.68</v>
      </c>
      <c r="J1394" s="8">
        <v>5</v>
      </c>
      <c r="K1394" s="7">
        <v>35.33</v>
      </c>
    </row>
    <row r="1395" spans="1:11" x14ac:dyDescent="0.3">
      <c r="A1395" s="2">
        <v>42747</v>
      </c>
      <c r="B1395" s="9">
        <f>MONTH(Table1[[#This Row],[Order Date]])</f>
        <v>1</v>
      </c>
      <c r="C1395" s="9">
        <f>YEAR(Table1[[#This Row],[Order Date]])</f>
        <v>2017</v>
      </c>
      <c r="D1395" t="s">
        <v>2677</v>
      </c>
      <c r="E1395" t="s">
        <v>27</v>
      </c>
      <c r="F1395" t="s">
        <v>11</v>
      </c>
      <c r="G1395" t="s">
        <v>12</v>
      </c>
      <c r="H1395" t="s">
        <v>2580</v>
      </c>
      <c r="I1395" s="7">
        <v>45.36</v>
      </c>
      <c r="J1395" s="8">
        <v>7</v>
      </c>
      <c r="K1395" s="7">
        <v>21.77</v>
      </c>
    </row>
    <row r="1396" spans="1:11" x14ac:dyDescent="0.3">
      <c r="A1396" s="2">
        <v>42747</v>
      </c>
      <c r="B1396" s="9">
        <f>MONTH(Table1[[#This Row],[Order Date]])</f>
        <v>1</v>
      </c>
      <c r="C1396" s="9">
        <f>YEAR(Table1[[#This Row],[Order Date]])</f>
        <v>2017</v>
      </c>
      <c r="D1396" t="s">
        <v>1736</v>
      </c>
      <c r="E1396" t="s">
        <v>23</v>
      </c>
      <c r="F1396" t="s">
        <v>11</v>
      </c>
      <c r="G1396" t="s">
        <v>18</v>
      </c>
      <c r="H1396" t="s">
        <v>1905</v>
      </c>
      <c r="I1396" s="7">
        <v>37.39</v>
      </c>
      <c r="J1396" s="8">
        <v>3</v>
      </c>
      <c r="K1396" s="7">
        <v>2.34</v>
      </c>
    </row>
    <row r="1397" spans="1:11" x14ac:dyDescent="0.3">
      <c r="A1397" s="2">
        <v>42747</v>
      </c>
      <c r="B1397" s="9">
        <f>MONTH(Table1[[#This Row],[Order Date]])</f>
        <v>1</v>
      </c>
      <c r="C1397" s="9">
        <f>YEAR(Table1[[#This Row],[Order Date]])</f>
        <v>2017</v>
      </c>
      <c r="D1397" t="s">
        <v>1736</v>
      </c>
      <c r="E1397" t="s">
        <v>23</v>
      </c>
      <c r="F1397" t="s">
        <v>34</v>
      </c>
      <c r="G1397" t="s">
        <v>47</v>
      </c>
      <c r="H1397" t="s">
        <v>2462</v>
      </c>
      <c r="I1397" s="7">
        <v>79.12</v>
      </c>
      <c r="J1397" s="8">
        <v>5</v>
      </c>
      <c r="K1397" s="7">
        <v>13.85</v>
      </c>
    </row>
    <row r="1398" spans="1:11" x14ac:dyDescent="0.3">
      <c r="A1398" s="2">
        <v>42747</v>
      </c>
      <c r="B1398" s="9">
        <f>MONTH(Table1[[#This Row],[Order Date]])</f>
        <v>1</v>
      </c>
      <c r="C1398" s="9">
        <f>YEAR(Table1[[#This Row],[Order Date]])</f>
        <v>2017</v>
      </c>
      <c r="D1398" t="s">
        <v>1754</v>
      </c>
      <c r="E1398" t="s">
        <v>23</v>
      </c>
      <c r="F1398" t="s">
        <v>11</v>
      </c>
      <c r="G1398" t="s">
        <v>20</v>
      </c>
      <c r="H1398" t="s">
        <v>949</v>
      </c>
      <c r="I1398" s="7">
        <v>8</v>
      </c>
      <c r="J1398" s="8">
        <v>7</v>
      </c>
      <c r="K1398" s="7">
        <v>-5.6</v>
      </c>
    </row>
    <row r="1399" spans="1:11" x14ac:dyDescent="0.3">
      <c r="A1399" s="2">
        <v>42767</v>
      </c>
      <c r="B1399" s="9">
        <f>MONTH(Table1[[#This Row],[Order Date]])</f>
        <v>2</v>
      </c>
      <c r="C1399" s="9">
        <f>YEAR(Table1[[#This Row],[Order Date]])</f>
        <v>2017</v>
      </c>
      <c r="D1399" t="s">
        <v>1009</v>
      </c>
      <c r="E1399" t="s">
        <v>237</v>
      </c>
      <c r="F1399" t="s">
        <v>11</v>
      </c>
      <c r="G1399" t="s">
        <v>20</v>
      </c>
      <c r="H1399" t="s">
        <v>946</v>
      </c>
      <c r="I1399" s="7">
        <v>15.66</v>
      </c>
      <c r="J1399" s="8">
        <v>5</v>
      </c>
      <c r="K1399" s="7">
        <v>-12.53</v>
      </c>
    </row>
    <row r="1400" spans="1:11" x14ac:dyDescent="0.3">
      <c r="A1400" s="2">
        <v>42767</v>
      </c>
      <c r="B1400" s="9">
        <f>MONTH(Table1[[#This Row],[Order Date]])</f>
        <v>2</v>
      </c>
      <c r="C1400" s="9">
        <f>YEAR(Table1[[#This Row],[Order Date]])</f>
        <v>2017</v>
      </c>
      <c r="D1400" t="s">
        <v>1865</v>
      </c>
      <c r="E1400" t="s">
        <v>10</v>
      </c>
      <c r="F1400" t="s">
        <v>11</v>
      </c>
      <c r="G1400" t="s">
        <v>92</v>
      </c>
      <c r="H1400" t="s">
        <v>2634</v>
      </c>
      <c r="I1400" s="7">
        <v>5.43</v>
      </c>
      <c r="J1400" s="8">
        <v>2</v>
      </c>
      <c r="K1400" s="7">
        <v>-13.58</v>
      </c>
    </row>
    <row r="1401" spans="1:11" x14ac:dyDescent="0.3">
      <c r="A1401" s="2">
        <v>42768</v>
      </c>
      <c r="B1401" s="9">
        <f>MONTH(Table1[[#This Row],[Order Date]])</f>
        <v>2</v>
      </c>
      <c r="C1401" s="9">
        <f>YEAR(Table1[[#This Row],[Order Date]])</f>
        <v>2017</v>
      </c>
      <c r="D1401" t="s">
        <v>2386</v>
      </c>
      <c r="E1401" t="s">
        <v>27</v>
      </c>
      <c r="F1401" t="s">
        <v>11</v>
      </c>
      <c r="G1401" t="s">
        <v>20</v>
      </c>
      <c r="H1401" t="s">
        <v>535</v>
      </c>
      <c r="I1401" s="7">
        <v>30.96</v>
      </c>
      <c r="J1401" s="8">
        <v>2</v>
      </c>
      <c r="K1401" s="7">
        <v>10.06</v>
      </c>
    </row>
    <row r="1402" spans="1:11" x14ac:dyDescent="0.3">
      <c r="A1402" s="2">
        <v>42768</v>
      </c>
      <c r="B1402" s="9">
        <f>MONTH(Table1[[#This Row],[Order Date]])</f>
        <v>2</v>
      </c>
      <c r="C1402" s="9">
        <f>YEAR(Table1[[#This Row],[Order Date]])</f>
        <v>2017</v>
      </c>
      <c r="D1402" t="s">
        <v>2386</v>
      </c>
      <c r="E1402" t="s">
        <v>27</v>
      </c>
      <c r="F1402" t="s">
        <v>39</v>
      </c>
      <c r="G1402" t="s">
        <v>293</v>
      </c>
      <c r="H1402" t="s">
        <v>2640</v>
      </c>
      <c r="I1402" s="7">
        <v>239.98</v>
      </c>
      <c r="J1402" s="8">
        <v>2</v>
      </c>
      <c r="K1402" s="7">
        <v>39</v>
      </c>
    </row>
    <row r="1403" spans="1:11" x14ac:dyDescent="0.3">
      <c r="A1403" s="2">
        <v>42769</v>
      </c>
      <c r="B1403" s="9">
        <f>MONTH(Table1[[#This Row],[Order Date]])</f>
        <v>2</v>
      </c>
      <c r="C1403" s="9">
        <f>YEAR(Table1[[#This Row],[Order Date]])</f>
        <v>2017</v>
      </c>
      <c r="D1403" t="s">
        <v>2253</v>
      </c>
      <c r="E1403" t="s">
        <v>27</v>
      </c>
      <c r="F1403" t="s">
        <v>39</v>
      </c>
      <c r="G1403" t="s">
        <v>52</v>
      </c>
      <c r="H1403" t="s">
        <v>2499</v>
      </c>
      <c r="I1403" s="7">
        <v>479.94</v>
      </c>
      <c r="J1403" s="8">
        <v>6</v>
      </c>
      <c r="K1403" s="7">
        <v>52.79</v>
      </c>
    </row>
    <row r="1404" spans="1:11" x14ac:dyDescent="0.3">
      <c r="A1404" s="2">
        <v>42775</v>
      </c>
      <c r="B1404" s="9">
        <f>MONTH(Table1[[#This Row],[Order Date]])</f>
        <v>2</v>
      </c>
      <c r="C1404" s="9">
        <f>YEAR(Table1[[#This Row],[Order Date]])</f>
        <v>2017</v>
      </c>
      <c r="D1404" t="s">
        <v>397</v>
      </c>
      <c r="E1404" t="s">
        <v>78</v>
      </c>
      <c r="F1404" t="s">
        <v>34</v>
      </c>
      <c r="G1404" t="s">
        <v>47</v>
      </c>
      <c r="H1404" t="s">
        <v>1650</v>
      </c>
      <c r="I1404" s="7">
        <v>15.07</v>
      </c>
      <c r="J1404" s="8">
        <v>3</v>
      </c>
      <c r="K1404" s="7">
        <v>4.1399999999999997</v>
      </c>
    </row>
    <row r="1405" spans="1:11" x14ac:dyDescent="0.3">
      <c r="A1405" s="2">
        <v>42775</v>
      </c>
      <c r="B1405" s="9">
        <f>MONTH(Table1[[#This Row],[Order Date]])</f>
        <v>2</v>
      </c>
      <c r="C1405" s="9">
        <f>YEAR(Table1[[#This Row],[Order Date]])</f>
        <v>2017</v>
      </c>
      <c r="D1405" t="s">
        <v>2396</v>
      </c>
      <c r="E1405" t="s">
        <v>108</v>
      </c>
      <c r="F1405" t="s">
        <v>39</v>
      </c>
      <c r="G1405" t="s">
        <v>40</v>
      </c>
      <c r="H1405" t="s">
        <v>1973</v>
      </c>
      <c r="I1405" s="7">
        <v>1199.8</v>
      </c>
      <c r="J1405" s="8">
        <v>4</v>
      </c>
      <c r="K1405" s="7">
        <v>323.95</v>
      </c>
    </row>
    <row r="1406" spans="1:11" x14ac:dyDescent="0.3">
      <c r="A1406" s="2">
        <v>42775</v>
      </c>
      <c r="B1406" s="9">
        <f>MONTH(Table1[[#This Row],[Order Date]])</f>
        <v>2</v>
      </c>
      <c r="C1406" s="9">
        <f>YEAR(Table1[[#This Row],[Order Date]])</f>
        <v>2017</v>
      </c>
      <c r="D1406" t="s">
        <v>2396</v>
      </c>
      <c r="E1406" t="s">
        <v>108</v>
      </c>
      <c r="F1406" t="s">
        <v>39</v>
      </c>
      <c r="G1406" t="s">
        <v>52</v>
      </c>
      <c r="H1406" t="s">
        <v>2696</v>
      </c>
      <c r="I1406" s="7">
        <v>1928.78</v>
      </c>
      <c r="J1406" s="8">
        <v>7</v>
      </c>
      <c r="K1406" s="7">
        <v>829.38</v>
      </c>
    </row>
    <row r="1407" spans="1:11" x14ac:dyDescent="0.3">
      <c r="A1407" s="2">
        <v>42775</v>
      </c>
      <c r="B1407" s="9">
        <f>MONTH(Table1[[#This Row],[Order Date]])</f>
        <v>2</v>
      </c>
      <c r="C1407" s="9">
        <f>YEAR(Table1[[#This Row],[Order Date]])</f>
        <v>2017</v>
      </c>
      <c r="D1407" t="s">
        <v>2528</v>
      </c>
      <c r="E1407" t="s">
        <v>27</v>
      </c>
      <c r="F1407" t="s">
        <v>11</v>
      </c>
      <c r="G1407" t="s">
        <v>24</v>
      </c>
      <c r="H1407" t="s">
        <v>2658</v>
      </c>
      <c r="I1407" s="7">
        <v>6.57</v>
      </c>
      <c r="J1407" s="8">
        <v>3</v>
      </c>
      <c r="K1407" s="7">
        <v>1.77</v>
      </c>
    </row>
    <row r="1408" spans="1:11" x14ac:dyDescent="0.3">
      <c r="A1408" s="2">
        <v>42775</v>
      </c>
      <c r="B1408" s="9">
        <f>MONTH(Table1[[#This Row],[Order Date]])</f>
        <v>2</v>
      </c>
      <c r="C1408" s="9">
        <f>YEAR(Table1[[#This Row],[Order Date]])</f>
        <v>2017</v>
      </c>
      <c r="D1408" t="s">
        <v>2201</v>
      </c>
      <c r="E1408" t="s">
        <v>144</v>
      </c>
      <c r="F1408" t="s">
        <v>11</v>
      </c>
      <c r="G1408" t="s">
        <v>24</v>
      </c>
      <c r="H1408" t="s">
        <v>869</v>
      </c>
      <c r="I1408" s="7">
        <v>4.92</v>
      </c>
      <c r="J1408" s="8">
        <v>3</v>
      </c>
      <c r="K1408" s="7">
        <v>2.21</v>
      </c>
    </row>
    <row r="1409" spans="1:11" x14ac:dyDescent="0.3">
      <c r="A1409" s="2">
        <v>42775</v>
      </c>
      <c r="B1409" s="9">
        <f>MONTH(Table1[[#This Row],[Order Date]])</f>
        <v>2</v>
      </c>
      <c r="C1409" s="9">
        <f>YEAR(Table1[[#This Row],[Order Date]])</f>
        <v>2017</v>
      </c>
      <c r="D1409" t="s">
        <v>1967</v>
      </c>
      <c r="E1409" t="s">
        <v>27</v>
      </c>
      <c r="F1409" t="s">
        <v>39</v>
      </c>
      <c r="G1409" t="s">
        <v>40</v>
      </c>
      <c r="H1409" t="s">
        <v>367</v>
      </c>
      <c r="I1409" s="7">
        <v>201.58</v>
      </c>
      <c r="J1409" s="8">
        <v>2</v>
      </c>
      <c r="K1409" s="7">
        <v>12.6</v>
      </c>
    </row>
    <row r="1410" spans="1:11" x14ac:dyDescent="0.3">
      <c r="A1410" s="2">
        <v>42775</v>
      </c>
      <c r="B1410" s="9">
        <f>MONTH(Table1[[#This Row],[Order Date]])</f>
        <v>2</v>
      </c>
      <c r="C1410" s="9">
        <f>YEAR(Table1[[#This Row],[Order Date]])</f>
        <v>2017</v>
      </c>
      <c r="D1410" t="s">
        <v>2519</v>
      </c>
      <c r="E1410" t="s">
        <v>600</v>
      </c>
      <c r="F1410" t="s">
        <v>11</v>
      </c>
      <c r="G1410" t="s">
        <v>12</v>
      </c>
      <c r="H1410" t="s">
        <v>2165</v>
      </c>
      <c r="I1410" s="7">
        <v>146.82</v>
      </c>
      <c r="J1410" s="8">
        <v>3</v>
      </c>
      <c r="K1410" s="7">
        <v>73.41</v>
      </c>
    </row>
    <row r="1411" spans="1:11" x14ac:dyDescent="0.3">
      <c r="A1411" s="2">
        <v>42775</v>
      </c>
      <c r="B1411" s="9">
        <f>MONTH(Table1[[#This Row],[Order Date]])</f>
        <v>2</v>
      </c>
      <c r="C1411" s="9">
        <f>YEAR(Table1[[#This Row],[Order Date]])</f>
        <v>2017</v>
      </c>
      <c r="D1411" t="s">
        <v>699</v>
      </c>
      <c r="E1411" t="s">
        <v>27</v>
      </c>
      <c r="F1411" t="s">
        <v>34</v>
      </c>
      <c r="G1411" t="s">
        <v>140</v>
      </c>
      <c r="H1411" t="s">
        <v>1307</v>
      </c>
      <c r="I1411" s="7">
        <v>236.53</v>
      </c>
      <c r="J1411" s="8">
        <v>2</v>
      </c>
      <c r="K1411" s="7">
        <v>-2.96</v>
      </c>
    </row>
    <row r="1412" spans="1:11" x14ac:dyDescent="0.3">
      <c r="A1412" s="2">
        <v>42775</v>
      </c>
      <c r="B1412" s="9">
        <f>MONTH(Table1[[#This Row],[Order Date]])</f>
        <v>2</v>
      </c>
      <c r="C1412" s="9">
        <f>YEAR(Table1[[#This Row],[Order Date]])</f>
        <v>2017</v>
      </c>
      <c r="D1412" t="s">
        <v>563</v>
      </c>
      <c r="E1412" t="s">
        <v>27</v>
      </c>
      <c r="F1412" t="s">
        <v>34</v>
      </c>
      <c r="G1412" t="s">
        <v>47</v>
      </c>
      <c r="H1412" t="s">
        <v>1364</v>
      </c>
      <c r="I1412" s="7">
        <v>511.5</v>
      </c>
      <c r="J1412" s="8">
        <v>5</v>
      </c>
      <c r="K1412" s="7">
        <v>132.99</v>
      </c>
    </row>
    <row r="1413" spans="1:11" x14ac:dyDescent="0.3">
      <c r="A1413" s="2">
        <v>42776</v>
      </c>
      <c r="B1413" s="9">
        <f>MONTH(Table1[[#This Row],[Order Date]])</f>
        <v>2</v>
      </c>
      <c r="C1413" s="9">
        <f>YEAR(Table1[[#This Row],[Order Date]])</f>
        <v>2017</v>
      </c>
      <c r="D1413" t="s">
        <v>1052</v>
      </c>
      <c r="E1413" t="s">
        <v>108</v>
      </c>
      <c r="F1413" t="s">
        <v>34</v>
      </c>
      <c r="G1413" t="s">
        <v>47</v>
      </c>
      <c r="H1413" t="s">
        <v>959</v>
      </c>
      <c r="I1413" s="7">
        <v>157.74</v>
      </c>
      <c r="J1413" s="8">
        <v>11</v>
      </c>
      <c r="K1413" s="7">
        <v>56.79</v>
      </c>
    </row>
    <row r="1414" spans="1:11" x14ac:dyDescent="0.3">
      <c r="A1414" s="2">
        <v>42776</v>
      </c>
      <c r="B1414" s="9">
        <f>MONTH(Table1[[#This Row],[Order Date]])</f>
        <v>2</v>
      </c>
      <c r="C1414" s="9">
        <f>YEAR(Table1[[#This Row],[Order Date]])</f>
        <v>2017</v>
      </c>
      <c r="D1414" t="s">
        <v>862</v>
      </c>
      <c r="E1414" t="s">
        <v>144</v>
      </c>
      <c r="F1414" t="s">
        <v>39</v>
      </c>
      <c r="G1414" t="s">
        <v>40</v>
      </c>
      <c r="H1414" t="s">
        <v>855</v>
      </c>
      <c r="I1414" s="7">
        <v>65.989999999999995</v>
      </c>
      <c r="J1414" s="8">
        <v>1</v>
      </c>
      <c r="K1414" s="7">
        <v>17.16</v>
      </c>
    </row>
    <row r="1415" spans="1:11" x14ac:dyDescent="0.3">
      <c r="A1415" s="2">
        <v>42776</v>
      </c>
      <c r="B1415" s="9">
        <f>MONTH(Table1[[#This Row],[Order Date]])</f>
        <v>2</v>
      </c>
      <c r="C1415" s="9">
        <f>YEAR(Table1[[#This Row],[Order Date]])</f>
        <v>2017</v>
      </c>
      <c r="D1415" t="s">
        <v>682</v>
      </c>
      <c r="E1415" t="s">
        <v>158</v>
      </c>
      <c r="F1415" t="s">
        <v>39</v>
      </c>
      <c r="G1415" t="s">
        <v>40</v>
      </c>
      <c r="H1415" t="s">
        <v>1880</v>
      </c>
      <c r="I1415" s="7">
        <v>84.78</v>
      </c>
      <c r="J1415" s="8">
        <v>2</v>
      </c>
      <c r="K1415" s="7">
        <v>-20.14</v>
      </c>
    </row>
    <row r="1416" spans="1:11" x14ac:dyDescent="0.3">
      <c r="A1416" s="2">
        <v>42776</v>
      </c>
      <c r="B1416" s="9">
        <f>MONTH(Table1[[#This Row],[Order Date]])</f>
        <v>2</v>
      </c>
      <c r="C1416" s="9">
        <f>YEAR(Table1[[#This Row],[Order Date]])</f>
        <v>2017</v>
      </c>
      <c r="D1416" t="s">
        <v>707</v>
      </c>
      <c r="E1416" t="s">
        <v>117</v>
      </c>
      <c r="F1416" t="s">
        <v>34</v>
      </c>
      <c r="G1416" t="s">
        <v>140</v>
      </c>
      <c r="H1416" t="s">
        <v>392</v>
      </c>
      <c r="I1416" s="7">
        <v>2314.12</v>
      </c>
      <c r="J1416" s="8">
        <v>7</v>
      </c>
      <c r="K1416" s="7">
        <v>-1002.78</v>
      </c>
    </row>
    <row r="1417" spans="1:11" x14ac:dyDescent="0.3">
      <c r="A1417" s="2">
        <v>42776</v>
      </c>
      <c r="B1417" s="9">
        <f>MONTH(Table1[[#This Row],[Order Date]])</f>
        <v>2</v>
      </c>
      <c r="C1417" s="9">
        <f>YEAR(Table1[[#This Row],[Order Date]])</f>
        <v>2017</v>
      </c>
      <c r="D1417" t="s">
        <v>707</v>
      </c>
      <c r="E1417" t="s">
        <v>117</v>
      </c>
      <c r="F1417" t="s">
        <v>11</v>
      </c>
      <c r="G1417" t="s">
        <v>20</v>
      </c>
      <c r="H1417" t="s">
        <v>1783</v>
      </c>
      <c r="I1417" s="7">
        <v>34.24</v>
      </c>
      <c r="J1417" s="8">
        <v>4</v>
      </c>
      <c r="K1417" s="7">
        <v>-26.25</v>
      </c>
    </row>
    <row r="1418" spans="1:11" x14ac:dyDescent="0.3">
      <c r="A1418" s="2">
        <v>42776</v>
      </c>
      <c r="B1418" s="9">
        <f>MONTH(Table1[[#This Row],[Order Date]])</f>
        <v>2</v>
      </c>
      <c r="C1418" s="9">
        <f>YEAR(Table1[[#This Row],[Order Date]])</f>
        <v>2017</v>
      </c>
      <c r="D1418" t="s">
        <v>2002</v>
      </c>
      <c r="E1418" t="s">
        <v>474</v>
      </c>
      <c r="F1418" t="s">
        <v>34</v>
      </c>
      <c r="G1418" t="s">
        <v>47</v>
      </c>
      <c r="H1418" t="s">
        <v>2357</v>
      </c>
      <c r="I1418" s="7">
        <v>10.16</v>
      </c>
      <c r="J1418" s="8">
        <v>2</v>
      </c>
      <c r="K1418" s="7">
        <v>3.45</v>
      </c>
    </row>
    <row r="1419" spans="1:11" x14ac:dyDescent="0.3">
      <c r="A1419" s="2">
        <v>42776</v>
      </c>
      <c r="B1419" s="9">
        <f>MONTH(Table1[[#This Row],[Order Date]])</f>
        <v>2</v>
      </c>
      <c r="C1419" s="9">
        <f>YEAR(Table1[[#This Row],[Order Date]])</f>
        <v>2017</v>
      </c>
      <c r="D1419" t="s">
        <v>1940</v>
      </c>
      <c r="E1419" t="s">
        <v>27</v>
      </c>
      <c r="F1419" t="s">
        <v>39</v>
      </c>
      <c r="G1419" t="s">
        <v>293</v>
      </c>
      <c r="H1419" t="s">
        <v>2311</v>
      </c>
      <c r="I1419" s="7">
        <v>369.16</v>
      </c>
      <c r="J1419" s="8">
        <v>11</v>
      </c>
      <c r="K1419" s="7">
        <v>32.299999999999997</v>
      </c>
    </row>
    <row r="1420" spans="1:11" x14ac:dyDescent="0.3">
      <c r="A1420" s="2">
        <v>42776</v>
      </c>
      <c r="B1420" s="9">
        <f>MONTH(Table1[[#This Row],[Order Date]])</f>
        <v>2</v>
      </c>
      <c r="C1420" s="9">
        <f>YEAR(Table1[[#This Row],[Order Date]])</f>
        <v>2017</v>
      </c>
      <c r="D1420" t="s">
        <v>1753</v>
      </c>
      <c r="E1420" t="s">
        <v>10</v>
      </c>
      <c r="F1420" t="s">
        <v>11</v>
      </c>
      <c r="G1420" t="s">
        <v>92</v>
      </c>
      <c r="H1420" t="s">
        <v>1937</v>
      </c>
      <c r="I1420" s="7">
        <v>21.98</v>
      </c>
      <c r="J1420" s="8">
        <v>6</v>
      </c>
      <c r="K1420" s="7">
        <v>-56.06</v>
      </c>
    </row>
    <row r="1421" spans="1:11" x14ac:dyDescent="0.3">
      <c r="A1421" s="2">
        <v>42777</v>
      </c>
      <c r="B1421" s="9">
        <f>MONTH(Table1[[#This Row],[Order Date]])</f>
        <v>2</v>
      </c>
      <c r="C1421" s="9">
        <f>YEAR(Table1[[#This Row],[Order Date]])</f>
        <v>2017</v>
      </c>
      <c r="D1421" t="s">
        <v>1499</v>
      </c>
      <c r="E1421" t="s">
        <v>27</v>
      </c>
      <c r="F1421" t="s">
        <v>34</v>
      </c>
      <c r="G1421" t="s">
        <v>47</v>
      </c>
      <c r="H1421" t="s">
        <v>345</v>
      </c>
      <c r="I1421" s="7">
        <v>25.02</v>
      </c>
      <c r="J1421" s="8">
        <v>3</v>
      </c>
      <c r="K1421" s="7">
        <v>10.51</v>
      </c>
    </row>
    <row r="1422" spans="1:11" x14ac:dyDescent="0.3">
      <c r="A1422" s="2">
        <v>42777</v>
      </c>
      <c r="B1422" s="9">
        <f>MONTH(Table1[[#This Row],[Order Date]])</f>
        <v>2</v>
      </c>
      <c r="C1422" s="9">
        <f>YEAR(Table1[[#This Row],[Order Date]])</f>
        <v>2017</v>
      </c>
      <c r="D1422" t="s">
        <v>1499</v>
      </c>
      <c r="E1422" t="s">
        <v>27</v>
      </c>
      <c r="F1422" t="s">
        <v>11</v>
      </c>
      <c r="G1422" t="s">
        <v>18</v>
      </c>
      <c r="H1422" t="s">
        <v>407</v>
      </c>
      <c r="I1422" s="7">
        <v>452.55</v>
      </c>
      <c r="J1422" s="8">
        <v>7</v>
      </c>
      <c r="K1422" s="7">
        <v>22.63</v>
      </c>
    </row>
    <row r="1423" spans="1:11" x14ac:dyDescent="0.3">
      <c r="A1423" s="2">
        <v>42777</v>
      </c>
      <c r="B1423" s="9">
        <f>MONTH(Table1[[#This Row],[Order Date]])</f>
        <v>2</v>
      </c>
      <c r="C1423" s="9">
        <f>YEAR(Table1[[#This Row],[Order Date]])</f>
        <v>2017</v>
      </c>
      <c r="D1423" t="s">
        <v>1337</v>
      </c>
      <c r="E1423" t="s">
        <v>23</v>
      </c>
      <c r="F1423" t="s">
        <v>34</v>
      </c>
      <c r="G1423" t="s">
        <v>47</v>
      </c>
      <c r="H1423" t="s">
        <v>134</v>
      </c>
      <c r="I1423" s="7">
        <v>3.31</v>
      </c>
      <c r="J1423" s="8">
        <v>1</v>
      </c>
      <c r="K1423" s="7">
        <v>0.66</v>
      </c>
    </row>
    <row r="1424" spans="1:11" x14ac:dyDescent="0.3">
      <c r="A1424" s="2">
        <v>42777</v>
      </c>
      <c r="B1424" s="9">
        <f>MONTH(Table1[[#This Row],[Order Date]])</f>
        <v>2</v>
      </c>
      <c r="C1424" s="9">
        <f>YEAR(Table1[[#This Row],[Order Date]])</f>
        <v>2017</v>
      </c>
      <c r="D1424" t="s">
        <v>1337</v>
      </c>
      <c r="E1424" t="s">
        <v>23</v>
      </c>
      <c r="F1424" t="s">
        <v>11</v>
      </c>
      <c r="G1424" t="s">
        <v>63</v>
      </c>
      <c r="H1424" t="s">
        <v>1272</v>
      </c>
      <c r="I1424" s="7">
        <v>8.86</v>
      </c>
      <c r="J1424" s="8">
        <v>3</v>
      </c>
      <c r="K1424" s="7">
        <v>2.88</v>
      </c>
    </row>
    <row r="1425" spans="1:11" x14ac:dyDescent="0.3">
      <c r="A1425" s="2">
        <v>42777</v>
      </c>
      <c r="B1425" s="9">
        <f>MONTH(Table1[[#This Row],[Order Date]])</f>
        <v>2</v>
      </c>
      <c r="C1425" s="9">
        <f>YEAR(Table1[[#This Row],[Order Date]])</f>
        <v>2017</v>
      </c>
      <c r="D1425" t="s">
        <v>383</v>
      </c>
      <c r="E1425" t="s">
        <v>27</v>
      </c>
      <c r="F1425" t="s">
        <v>11</v>
      </c>
      <c r="G1425" t="s">
        <v>92</v>
      </c>
      <c r="H1425" t="s">
        <v>2354</v>
      </c>
      <c r="I1425" s="7">
        <v>168.1</v>
      </c>
      <c r="J1425" s="8">
        <v>5</v>
      </c>
      <c r="K1425" s="7">
        <v>43.71</v>
      </c>
    </row>
    <row r="1426" spans="1:11" x14ac:dyDescent="0.3">
      <c r="A1426" s="2">
        <v>42778</v>
      </c>
      <c r="B1426" s="9">
        <f>MONTH(Table1[[#This Row],[Order Date]])</f>
        <v>2</v>
      </c>
      <c r="C1426" s="9">
        <f>YEAR(Table1[[#This Row],[Order Date]])</f>
        <v>2017</v>
      </c>
      <c r="D1426" t="s">
        <v>646</v>
      </c>
      <c r="E1426" t="s">
        <v>27</v>
      </c>
      <c r="F1426" t="s">
        <v>11</v>
      </c>
      <c r="G1426" t="s">
        <v>12</v>
      </c>
      <c r="H1426" t="s">
        <v>1163</v>
      </c>
      <c r="I1426" s="7">
        <v>109.92</v>
      </c>
      <c r="J1426" s="8">
        <v>2</v>
      </c>
      <c r="K1426" s="7">
        <v>53.86</v>
      </c>
    </row>
    <row r="1427" spans="1:11" x14ac:dyDescent="0.3">
      <c r="A1427" s="2">
        <v>42778</v>
      </c>
      <c r="B1427" s="9">
        <f>MONTH(Table1[[#This Row],[Order Date]])</f>
        <v>2</v>
      </c>
      <c r="C1427" s="9">
        <f>YEAR(Table1[[#This Row],[Order Date]])</f>
        <v>2017</v>
      </c>
      <c r="D1427" t="s">
        <v>1675</v>
      </c>
      <c r="E1427" t="s">
        <v>269</v>
      </c>
      <c r="F1427" t="s">
        <v>34</v>
      </c>
      <c r="G1427" t="s">
        <v>74</v>
      </c>
      <c r="H1427" t="s">
        <v>1614</v>
      </c>
      <c r="I1427" s="7">
        <v>242.35</v>
      </c>
      <c r="J1427" s="8">
        <v>8</v>
      </c>
      <c r="K1427" s="7">
        <v>-363.53</v>
      </c>
    </row>
    <row r="1428" spans="1:11" x14ac:dyDescent="0.3">
      <c r="A1428" s="2">
        <v>42778</v>
      </c>
      <c r="B1428" s="9">
        <f>MONTH(Table1[[#This Row],[Order Date]])</f>
        <v>2</v>
      </c>
      <c r="C1428" s="9">
        <f>YEAR(Table1[[#This Row],[Order Date]])</f>
        <v>2017</v>
      </c>
      <c r="D1428" t="s">
        <v>1675</v>
      </c>
      <c r="E1428" t="s">
        <v>269</v>
      </c>
      <c r="F1428" t="s">
        <v>39</v>
      </c>
      <c r="G1428" t="s">
        <v>40</v>
      </c>
      <c r="H1428" t="s">
        <v>1790</v>
      </c>
      <c r="I1428" s="7">
        <v>49.62</v>
      </c>
      <c r="J1428" s="8">
        <v>2</v>
      </c>
      <c r="K1428" s="7">
        <v>4.96</v>
      </c>
    </row>
    <row r="1429" spans="1:11" x14ac:dyDescent="0.3">
      <c r="A1429" s="2">
        <v>42778</v>
      </c>
      <c r="B1429" s="9">
        <f>MONTH(Table1[[#This Row],[Order Date]])</f>
        <v>2</v>
      </c>
      <c r="C1429" s="9">
        <f>YEAR(Table1[[#This Row],[Order Date]])</f>
        <v>2017</v>
      </c>
      <c r="D1429" t="s">
        <v>1675</v>
      </c>
      <c r="E1429" t="s">
        <v>269</v>
      </c>
      <c r="F1429" t="s">
        <v>39</v>
      </c>
      <c r="G1429" t="s">
        <v>40</v>
      </c>
      <c r="H1429" t="s">
        <v>133</v>
      </c>
      <c r="I1429" s="7">
        <v>57.36</v>
      </c>
      <c r="J1429" s="8">
        <v>6</v>
      </c>
      <c r="K1429" s="7">
        <v>-14.34</v>
      </c>
    </row>
    <row r="1430" spans="1:11" x14ac:dyDescent="0.3">
      <c r="A1430" s="2">
        <v>42778</v>
      </c>
      <c r="B1430" s="9">
        <f>MONTH(Table1[[#This Row],[Order Date]])</f>
        <v>2</v>
      </c>
      <c r="C1430" s="9">
        <f>YEAR(Table1[[#This Row],[Order Date]])</f>
        <v>2017</v>
      </c>
      <c r="D1430" t="s">
        <v>1384</v>
      </c>
      <c r="E1430" t="s">
        <v>78</v>
      </c>
      <c r="F1430" t="s">
        <v>39</v>
      </c>
      <c r="G1430" t="s">
        <v>40</v>
      </c>
      <c r="H1430" t="s">
        <v>555</v>
      </c>
      <c r="I1430" s="7">
        <v>151.19</v>
      </c>
      <c r="J1430" s="8">
        <v>2</v>
      </c>
      <c r="K1430" s="7">
        <v>-25.2</v>
      </c>
    </row>
    <row r="1431" spans="1:11" x14ac:dyDescent="0.3">
      <c r="A1431" s="2">
        <v>42795</v>
      </c>
      <c r="B1431" s="9">
        <f>MONTH(Table1[[#This Row],[Order Date]])</f>
        <v>3</v>
      </c>
      <c r="C1431" s="9">
        <f>YEAR(Table1[[#This Row],[Order Date]])</f>
        <v>2017</v>
      </c>
      <c r="D1431" t="s">
        <v>1903</v>
      </c>
      <c r="E1431" t="s">
        <v>27</v>
      </c>
      <c r="F1431" t="s">
        <v>11</v>
      </c>
      <c r="G1431" t="s">
        <v>20</v>
      </c>
      <c r="H1431" t="s">
        <v>2455</v>
      </c>
      <c r="I1431" s="7">
        <v>2022.27</v>
      </c>
      <c r="J1431" s="8">
        <v>8</v>
      </c>
      <c r="K1431" s="7">
        <v>682.52</v>
      </c>
    </row>
    <row r="1432" spans="1:11" x14ac:dyDescent="0.3">
      <c r="A1432" s="2">
        <v>42796</v>
      </c>
      <c r="B1432" s="9">
        <f>MONTH(Table1[[#This Row],[Order Date]])</f>
        <v>3</v>
      </c>
      <c r="C1432" s="9">
        <f>YEAR(Table1[[#This Row],[Order Date]])</f>
        <v>2017</v>
      </c>
      <c r="D1432" t="s">
        <v>1481</v>
      </c>
      <c r="E1432" t="s">
        <v>15</v>
      </c>
      <c r="F1432" t="s">
        <v>11</v>
      </c>
      <c r="G1432" t="s">
        <v>12</v>
      </c>
      <c r="H1432" t="s">
        <v>956</v>
      </c>
      <c r="I1432" s="7">
        <v>419.4</v>
      </c>
      <c r="J1432" s="8">
        <v>5</v>
      </c>
      <c r="K1432" s="7">
        <v>146.79</v>
      </c>
    </row>
    <row r="1433" spans="1:11" x14ac:dyDescent="0.3">
      <c r="A1433" s="2">
        <v>42797</v>
      </c>
      <c r="B1433" s="9">
        <f>MONTH(Table1[[#This Row],[Order Date]])</f>
        <v>3</v>
      </c>
      <c r="C1433" s="9">
        <f>YEAR(Table1[[#This Row],[Order Date]])</f>
        <v>2017</v>
      </c>
      <c r="D1433" t="s">
        <v>138</v>
      </c>
      <c r="E1433" t="s">
        <v>27</v>
      </c>
      <c r="F1433" t="s">
        <v>39</v>
      </c>
      <c r="G1433" t="s">
        <v>52</v>
      </c>
      <c r="H1433" t="s">
        <v>2312</v>
      </c>
      <c r="I1433" s="7">
        <v>1049.44</v>
      </c>
      <c r="J1433" s="8">
        <v>8</v>
      </c>
      <c r="K1433" s="7">
        <v>440.76</v>
      </c>
    </row>
    <row r="1434" spans="1:11" x14ac:dyDescent="0.3">
      <c r="A1434" s="2">
        <v>42799</v>
      </c>
      <c r="B1434" s="9">
        <f>MONTH(Table1[[#This Row],[Order Date]])</f>
        <v>3</v>
      </c>
      <c r="C1434" s="9">
        <f>YEAR(Table1[[#This Row],[Order Date]])</f>
        <v>2017</v>
      </c>
      <c r="D1434" t="s">
        <v>1578</v>
      </c>
      <c r="E1434" t="s">
        <v>27</v>
      </c>
      <c r="F1434" t="s">
        <v>11</v>
      </c>
      <c r="G1434" t="s">
        <v>18</v>
      </c>
      <c r="H1434" t="s">
        <v>68</v>
      </c>
      <c r="I1434" s="7">
        <v>763.44</v>
      </c>
      <c r="J1434" s="8">
        <v>8</v>
      </c>
      <c r="K1434" s="7">
        <v>45.81</v>
      </c>
    </row>
    <row r="1435" spans="1:11" x14ac:dyDescent="0.3">
      <c r="A1435" s="2">
        <v>42799</v>
      </c>
      <c r="B1435" s="9">
        <f>MONTH(Table1[[#This Row],[Order Date]])</f>
        <v>3</v>
      </c>
      <c r="C1435" s="9">
        <f>YEAR(Table1[[#This Row],[Order Date]])</f>
        <v>2017</v>
      </c>
      <c r="D1435" t="s">
        <v>2386</v>
      </c>
      <c r="E1435" t="s">
        <v>23</v>
      </c>
      <c r="F1435" t="s">
        <v>34</v>
      </c>
      <c r="G1435" t="s">
        <v>47</v>
      </c>
      <c r="H1435" t="s">
        <v>2650</v>
      </c>
      <c r="I1435" s="7">
        <v>32.450000000000003</v>
      </c>
      <c r="J1435" s="8">
        <v>2</v>
      </c>
      <c r="K1435" s="7">
        <v>7.3</v>
      </c>
    </row>
    <row r="1436" spans="1:11" x14ac:dyDescent="0.3">
      <c r="A1436" s="2">
        <v>42800</v>
      </c>
      <c r="B1436" s="9">
        <f>MONTH(Table1[[#This Row],[Order Date]])</f>
        <v>3</v>
      </c>
      <c r="C1436" s="9">
        <f>YEAR(Table1[[#This Row],[Order Date]])</f>
        <v>2017</v>
      </c>
      <c r="D1436" t="s">
        <v>611</v>
      </c>
      <c r="E1436" t="s">
        <v>158</v>
      </c>
      <c r="F1436" t="s">
        <v>39</v>
      </c>
      <c r="G1436" t="s">
        <v>52</v>
      </c>
      <c r="H1436" t="s">
        <v>2240</v>
      </c>
      <c r="I1436" s="7">
        <v>1099.5</v>
      </c>
      <c r="J1436" s="8">
        <v>10</v>
      </c>
      <c r="K1436" s="7">
        <v>362.84</v>
      </c>
    </row>
    <row r="1437" spans="1:11" x14ac:dyDescent="0.3">
      <c r="A1437" s="2">
        <v>42800</v>
      </c>
      <c r="B1437" s="9">
        <f>MONTH(Table1[[#This Row],[Order Date]])</f>
        <v>3</v>
      </c>
      <c r="C1437" s="9">
        <f>YEAR(Table1[[#This Row],[Order Date]])</f>
        <v>2017</v>
      </c>
      <c r="D1437" t="s">
        <v>1690</v>
      </c>
      <c r="E1437" t="s">
        <v>144</v>
      </c>
      <c r="F1437" t="s">
        <v>39</v>
      </c>
      <c r="G1437" t="s">
        <v>293</v>
      </c>
      <c r="H1437" t="s">
        <v>2672</v>
      </c>
      <c r="I1437" s="7">
        <v>78.66</v>
      </c>
      <c r="J1437" s="8">
        <v>6</v>
      </c>
      <c r="K1437" s="7">
        <v>36.18</v>
      </c>
    </row>
    <row r="1438" spans="1:11" x14ac:dyDescent="0.3">
      <c r="A1438" s="2">
        <v>42801</v>
      </c>
      <c r="B1438" s="9">
        <f>MONTH(Table1[[#This Row],[Order Date]])</f>
        <v>3</v>
      </c>
      <c r="C1438" s="9">
        <f>YEAR(Table1[[#This Row],[Order Date]])</f>
        <v>2017</v>
      </c>
      <c r="D1438" t="s">
        <v>2684</v>
      </c>
      <c r="E1438" t="s">
        <v>30</v>
      </c>
      <c r="F1438" t="s">
        <v>34</v>
      </c>
      <c r="G1438" t="s">
        <v>47</v>
      </c>
      <c r="H1438" t="s">
        <v>1793</v>
      </c>
      <c r="I1438" s="7">
        <v>23.99</v>
      </c>
      <c r="J1438" s="8">
        <v>1</v>
      </c>
      <c r="K1438" s="7">
        <v>5.52</v>
      </c>
    </row>
    <row r="1439" spans="1:11" x14ac:dyDescent="0.3">
      <c r="A1439" s="2">
        <v>42801</v>
      </c>
      <c r="B1439" s="9">
        <f>MONTH(Table1[[#This Row],[Order Date]])</f>
        <v>3</v>
      </c>
      <c r="C1439" s="9">
        <f>YEAR(Table1[[#This Row],[Order Date]])</f>
        <v>2017</v>
      </c>
      <c r="D1439" t="s">
        <v>469</v>
      </c>
      <c r="E1439" t="s">
        <v>10</v>
      </c>
      <c r="F1439" t="s">
        <v>39</v>
      </c>
      <c r="G1439" t="s">
        <v>293</v>
      </c>
      <c r="H1439" t="s">
        <v>2685</v>
      </c>
      <c r="I1439" s="7">
        <v>597.13</v>
      </c>
      <c r="J1439" s="8">
        <v>3</v>
      </c>
      <c r="K1439" s="7">
        <v>49.76</v>
      </c>
    </row>
    <row r="1440" spans="1:11" x14ac:dyDescent="0.3">
      <c r="A1440" s="2">
        <v>42801</v>
      </c>
      <c r="B1440" s="9">
        <f>MONTH(Table1[[#This Row],[Order Date]])</f>
        <v>3</v>
      </c>
      <c r="C1440" s="9">
        <f>YEAR(Table1[[#This Row],[Order Date]])</f>
        <v>2017</v>
      </c>
      <c r="D1440" t="s">
        <v>1306</v>
      </c>
      <c r="E1440" t="s">
        <v>158</v>
      </c>
      <c r="F1440" t="s">
        <v>39</v>
      </c>
      <c r="G1440" t="s">
        <v>293</v>
      </c>
      <c r="H1440" t="s">
        <v>2428</v>
      </c>
      <c r="I1440" s="7">
        <v>2395.1999999999998</v>
      </c>
      <c r="J1440" s="8">
        <v>6</v>
      </c>
      <c r="K1440" s="7">
        <v>209.58</v>
      </c>
    </row>
    <row r="1441" spans="1:11" x14ac:dyDescent="0.3">
      <c r="A1441" s="2">
        <v>42801</v>
      </c>
      <c r="B1441" s="9">
        <f>MONTH(Table1[[#This Row],[Order Date]])</f>
        <v>3</v>
      </c>
      <c r="C1441" s="9">
        <f>YEAR(Table1[[#This Row],[Order Date]])</f>
        <v>2017</v>
      </c>
      <c r="D1441" t="s">
        <v>1306</v>
      </c>
      <c r="E1441" t="s">
        <v>158</v>
      </c>
      <c r="F1441" t="s">
        <v>39</v>
      </c>
      <c r="G1441" t="s">
        <v>40</v>
      </c>
      <c r="H1441" t="s">
        <v>515</v>
      </c>
      <c r="I1441" s="7">
        <v>7.99</v>
      </c>
      <c r="J1441" s="8">
        <v>1</v>
      </c>
      <c r="K1441" s="7">
        <v>2.7</v>
      </c>
    </row>
    <row r="1442" spans="1:11" x14ac:dyDescent="0.3">
      <c r="A1442" s="2">
        <v>42802</v>
      </c>
      <c r="B1442" s="9">
        <f>MONTH(Table1[[#This Row],[Order Date]])</f>
        <v>3</v>
      </c>
      <c r="C1442" s="9">
        <f>YEAR(Table1[[#This Row],[Order Date]])</f>
        <v>2017</v>
      </c>
      <c r="D1442" t="s">
        <v>2209</v>
      </c>
      <c r="E1442" t="s">
        <v>15</v>
      </c>
      <c r="F1442" t="s">
        <v>34</v>
      </c>
      <c r="G1442" t="s">
        <v>74</v>
      </c>
      <c r="H1442" t="s">
        <v>75</v>
      </c>
      <c r="I1442" s="7">
        <v>183.37</v>
      </c>
      <c r="J1442" s="8">
        <v>2</v>
      </c>
      <c r="K1442" s="7">
        <v>-36.67</v>
      </c>
    </row>
    <row r="1443" spans="1:11" x14ac:dyDescent="0.3">
      <c r="A1443" s="2">
        <v>42802</v>
      </c>
      <c r="B1443" s="9">
        <f>MONTH(Table1[[#This Row],[Order Date]])</f>
        <v>3</v>
      </c>
      <c r="C1443" s="9">
        <f>YEAR(Table1[[#This Row],[Order Date]])</f>
        <v>2017</v>
      </c>
      <c r="D1443" t="s">
        <v>667</v>
      </c>
      <c r="E1443" t="s">
        <v>27</v>
      </c>
      <c r="F1443" t="s">
        <v>11</v>
      </c>
      <c r="G1443" t="s">
        <v>18</v>
      </c>
      <c r="H1443" t="s">
        <v>113</v>
      </c>
      <c r="I1443" s="7">
        <v>99.87</v>
      </c>
      <c r="J1443" s="8">
        <v>3</v>
      </c>
      <c r="K1443" s="7">
        <v>23.97</v>
      </c>
    </row>
    <row r="1444" spans="1:11" x14ac:dyDescent="0.3">
      <c r="A1444" s="2">
        <v>42802</v>
      </c>
      <c r="B1444" s="9">
        <f>MONTH(Table1[[#This Row],[Order Date]])</f>
        <v>3</v>
      </c>
      <c r="C1444" s="9">
        <f>YEAR(Table1[[#This Row],[Order Date]])</f>
        <v>2017</v>
      </c>
      <c r="D1444" t="s">
        <v>2504</v>
      </c>
      <c r="E1444" t="s">
        <v>158</v>
      </c>
      <c r="F1444" t="s">
        <v>11</v>
      </c>
      <c r="G1444" t="s">
        <v>18</v>
      </c>
      <c r="H1444" t="s">
        <v>1488</v>
      </c>
      <c r="I1444" s="7">
        <v>16.059999999999999</v>
      </c>
      <c r="J1444" s="8">
        <v>1</v>
      </c>
      <c r="K1444" s="7">
        <v>4.18</v>
      </c>
    </row>
    <row r="1445" spans="1:11" x14ac:dyDescent="0.3">
      <c r="A1445" s="2">
        <v>42803</v>
      </c>
      <c r="B1445" s="9">
        <f>MONTH(Table1[[#This Row],[Order Date]])</f>
        <v>3</v>
      </c>
      <c r="C1445" s="9">
        <f>YEAR(Table1[[#This Row],[Order Date]])</f>
        <v>2017</v>
      </c>
      <c r="D1445" t="s">
        <v>337</v>
      </c>
      <c r="E1445" t="s">
        <v>27</v>
      </c>
      <c r="F1445" t="s">
        <v>39</v>
      </c>
      <c r="G1445" t="s">
        <v>52</v>
      </c>
      <c r="H1445" t="s">
        <v>531</v>
      </c>
      <c r="I1445" s="7">
        <v>284.97000000000003</v>
      </c>
      <c r="J1445" s="8">
        <v>3</v>
      </c>
      <c r="K1445" s="7">
        <v>85.49</v>
      </c>
    </row>
    <row r="1446" spans="1:11" x14ac:dyDescent="0.3">
      <c r="A1446" s="2">
        <v>42803</v>
      </c>
      <c r="B1446" s="9">
        <f>MONTH(Table1[[#This Row],[Order Date]])</f>
        <v>3</v>
      </c>
      <c r="C1446" s="9">
        <f>YEAR(Table1[[#This Row],[Order Date]])</f>
        <v>2017</v>
      </c>
      <c r="D1446" t="s">
        <v>2305</v>
      </c>
      <c r="E1446" t="s">
        <v>144</v>
      </c>
      <c r="F1446" t="s">
        <v>34</v>
      </c>
      <c r="G1446" t="s">
        <v>35</v>
      </c>
      <c r="H1446" t="s">
        <v>1451</v>
      </c>
      <c r="I1446" s="7">
        <v>90.8</v>
      </c>
      <c r="J1446" s="8">
        <v>1</v>
      </c>
      <c r="K1446" s="7">
        <v>14.12</v>
      </c>
    </row>
    <row r="1447" spans="1:11" x14ac:dyDescent="0.3">
      <c r="A1447" s="2">
        <v>42803</v>
      </c>
      <c r="B1447" s="9">
        <f>MONTH(Table1[[#This Row],[Order Date]])</f>
        <v>3</v>
      </c>
      <c r="C1447" s="9">
        <f>YEAR(Table1[[#This Row],[Order Date]])</f>
        <v>2017</v>
      </c>
      <c r="D1447" t="s">
        <v>565</v>
      </c>
      <c r="E1447" t="s">
        <v>15</v>
      </c>
      <c r="F1447" t="s">
        <v>11</v>
      </c>
      <c r="G1447" t="s">
        <v>12</v>
      </c>
      <c r="H1447" t="s">
        <v>2697</v>
      </c>
      <c r="I1447" s="7">
        <v>8.9</v>
      </c>
      <c r="J1447" s="8">
        <v>3</v>
      </c>
      <c r="K1447" s="7">
        <v>3.34</v>
      </c>
    </row>
    <row r="1448" spans="1:11" x14ac:dyDescent="0.3">
      <c r="A1448" s="2">
        <v>42804</v>
      </c>
      <c r="B1448" s="9">
        <f>MONTH(Table1[[#This Row],[Order Date]])</f>
        <v>3</v>
      </c>
      <c r="C1448" s="9">
        <f>YEAR(Table1[[#This Row],[Order Date]])</f>
        <v>2017</v>
      </c>
      <c r="D1448" t="s">
        <v>1510</v>
      </c>
      <c r="E1448" t="s">
        <v>120</v>
      </c>
      <c r="F1448" t="s">
        <v>11</v>
      </c>
      <c r="G1448" t="s">
        <v>92</v>
      </c>
      <c r="H1448" t="s">
        <v>1878</v>
      </c>
      <c r="I1448" s="7">
        <v>17.920000000000002</v>
      </c>
      <c r="J1448" s="8">
        <v>5</v>
      </c>
      <c r="K1448" s="7">
        <v>1.1200000000000001</v>
      </c>
    </row>
    <row r="1449" spans="1:11" x14ac:dyDescent="0.3">
      <c r="A1449" s="2">
        <v>42804</v>
      </c>
      <c r="B1449" s="9">
        <f>MONTH(Table1[[#This Row],[Order Date]])</f>
        <v>3</v>
      </c>
      <c r="C1449" s="9">
        <f>YEAR(Table1[[#This Row],[Order Date]])</f>
        <v>2017</v>
      </c>
      <c r="D1449" t="s">
        <v>2179</v>
      </c>
      <c r="E1449" t="s">
        <v>144</v>
      </c>
      <c r="F1449" t="s">
        <v>11</v>
      </c>
      <c r="G1449" t="s">
        <v>24</v>
      </c>
      <c r="H1449" t="s">
        <v>2686</v>
      </c>
      <c r="I1449" s="7">
        <v>6.63</v>
      </c>
      <c r="J1449" s="8">
        <v>3</v>
      </c>
      <c r="K1449" s="7">
        <v>3.12</v>
      </c>
    </row>
    <row r="1450" spans="1:11" x14ac:dyDescent="0.3">
      <c r="A1450" s="2">
        <v>42805</v>
      </c>
      <c r="B1450" s="9">
        <f>MONTH(Table1[[#This Row],[Order Date]])</f>
        <v>3</v>
      </c>
      <c r="C1450" s="9">
        <f>YEAR(Table1[[#This Row],[Order Date]])</f>
        <v>2017</v>
      </c>
      <c r="D1450" t="s">
        <v>1738</v>
      </c>
      <c r="E1450" t="s">
        <v>158</v>
      </c>
      <c r="F1450" t="s">
        <v>34</v>
      </c>
      <c r="G1450" t="s">
        <v>35</v>
      </c>
      <c r="H1450" t="s">
        <v>1795</v>
      </c>
      <c r="I1450" s="7">
        <v>307.14</v>
      </c>
      <c r="J1450" s="8">
        <v>4</v>
      </c>
      <c r="K1450" s="7">
        <v>26.87</v>
      </c>
    </row>
    <row r="1451" spans="1:11" x14ac:dyDescent="0.3">
      <c r="A1451" s="2">
        <v>42805</v>
      </c>
      <c r="B1451" s="9">
        <f>MONTH(Table1[[#This Row],[Order Date]])</f>
        <v>3</v>
      </c>
      <c r="C1451" s="9">
        <f>YEAR(Table1[[#This Row],[Order Date]])</f>
        <v>2017</v>
      </c>
      <c r="D1451" t="s">
        <v>1276</v>
      </c>
      <c r="E1451" t="s">
        <v>23</v>
      </c>
      <c r="F1451" t="s">
        <v>11</v>
      </c>
      <c r="G1451" t="s">
        <v>20</v>
      </c>
      <c r="H1451" t="s">
        <v>2692</v>
      </c>
      <c r="I1451" s="7">
        <v>11.67</v>
      </c>
      <c r="J1451" s="8">
        <v>3</v>
      </c>
      <c r="K1451" s="7">
        <v>-7.78</v>
      </c>
    </row>
    <row r="1452" spans="1:11" x14ac:dyDescent="0.3">
      <c r="A1452" s="2">
        <v>42805</v>
      </c>
      <c r="B1452" s="9">
        <f>MONTH(Table1[[#This Row],[Order Date]])</f>
        <v>3</v>
      </c>
      <c r="C1452" s="9">
        <f>YEAR(Table1[[#This Row],[Order Date]])</f>
        <v>2017</v>
      </c>
      <c r="D1452" t="s">
        <v>638</v>
      </c>
      <c r="E1452" t="s">
        <v>27</v>
      </c>
      <c r="F1452" t="s">
        <v>11</v>
      </c>
      <c r="G1452" t="s">
        <v>12</v>
      </c>
      <c r="H1452" t="s">
        <v>684</v>
      </c>
      <c r="I1452" s="7">
        <v>35.880000000000003</v>
      </c>
      <c r="J1452" s="8">
        <v>6</v>
      </c>
      <c r="K1452" s="7">
        <v>17.579999999999998</v>
      </c>
    </row>
    <row r="1453" spans="1:11" x14ac:dyDescent="0.3">
      <c r="A1453" s="2">
        <v>42805</v>
      </c>
      <c r="B1453" s="9">
        <f>MONTH(Table1[[#This Row],[Order Date]])</f>
        <v>3</v>
      </c>
      <c r="C1453" s="9">
        <f>YEAR(Table1[[#This Row],[Order Date]])</f>
        <v>2017</v>
      </c>
      <c r="D1453" t="s">
        <v>586</v>
      </c>
      <c r="E1453" t="s">
        <v>237</v>
      </c>
      <c r="F1453" t="s">
        <v>11</v>
      </c>
      <c r="G1453" t="s">
        <v>12</v>
      </c>
      <c r="H1453" t="s">
        <v>2630</v>
      </c>
      <c r="I1453" s="7">
        <v>16.27</v>
      </c>
      <c r="J1453" s="8">
        <v>3</v>
      </c>
      <c r="K1453" s="7">
        <v>5.29</v>
      </c>
    </row>
    <row r="1454" spans="1:11" x14ac:dyDescent="0.3">
      <c r="A1454" s="2">
        <v>42805</v>
      </c>
      <c r="B1454" s="9">
        <f>MONTH(Table1[[#This Row],[Order Date]])</f>
        <v>3</v>
      </c>
      <c r="C1454" s="9">
        <f>YEAR(Table1[[#This Row],[Order Date]])</f>
        <v>2017</v>
      </c>
      <c r="D1454" t="s">
        <v>1888</v>
      </c>
      <c r="E1454" t="s">
        <v>120</v>
      </c>
      <c r="F1454" t="s">
        <v>39</v>
      </c>
      <c r="G1454" t="s">
        <v>590</v>
      </c>
      <c r="H1454" t="s">
        <v>2639</v>
      </c>
      <c r="I1454" s="7">
        <v>959.98</v>
      </c>
      <c r="J1454" s="8">
        <v>2</v>
      </c>
      <c r="K1454" s="7">
        <v>311.99</v>
      </c>
    </row>
    <row r="1455" spans="1:11" x14ac:dyDescent="0.3">
      <c r="A1455" s="2">
        <v>42806</v>
      </c>
      <c r="B1455" s="9">
        <f>MONTH(Table1[[#This Row],[Order Date]])</f>
        <v>3</v>
      </c>
      <c r="C1455" s="9">
        <f>YEAR(Table1[[#This Row],[Order Date]])</f>
        <v>2017</v>
      </c>
      <c r="D1455" t="s">
        <v>1438</v>
      </c>
      <c r="E1455" t="s">
        <v>27</v>
      </c>
      <c r="F1455" t="s">
        <v>11</v>
      </c>
      <c r="G1455" t="s">
        <v>12</v>
      </c>
      <c r="H1455" t="s">
        <v>1621</v>
      </c>
      <c r="I1455" s="7">
        <v>166.44</v>
      </c>
      <c r="J1455" s="8">
        <v>3</v>
      </c>
      <c r="K1455" s="7">
        <v>79.89</v>
      </c>
    </row>
    <row r="1456" spans="1:11" x14ac:dyDescent="0.3">
      <c r="A1456" s="2">
        <v>42806</v>
      </c>
      <c r="B1456" s="9">
        <f>MONTH(Table1[[#This Row],[Order Date]])</f>
        <v>3</v>
      </c>
      <c r="C1456" s="9">
        <f>YEAR(Table1[[#This Row],[Order Date]])</f>
        <v>2017</v>
      </c>
      <c r="D1456" t="s">
        <v>2014</v>
      </c>
      <c r="E1456" t="s">
        <v>269</v>
      </c>
      <c r="F1456" t="s">
        <v>39</v>
      </c>
      <c r="G1456" t="s">
        <v>52</v>
      </c>
      <c r="H1456" t="s">
        <v>998</v>
      </c>
      <c r="I1456" s="7">
        <v>76.75</v>
      </c>
      <c r="J1456" s="8">
        <v>6</v>
      </c>
      <c r="K1456" s="7">
        <v>10.55</v>
      </c>
    </row>
    <row r="1457" spans="1:11" x14ac:dyDescent="0.3">
      <c r="A1457" s="2">
        <v>42806</v>
      </c>
      <c r="B1457" s="9">
        <f>MONTH(Table1[[#This Row],[Order Date]])</f>
        <v>3</v>
      </c>
      <c r="C1457" s="9">
        <f>YEAR(Table1[[#This Row],[Order Date]])</f>
        <v>2017</v>
      </c>
      <c r="D1457" t="s">
        <v>2014</v>
      </c>
      <c r="E1457" t="s">
        <v>269</v>
      </c>
      <c r="F1457" t="s">
        <v>34</v>
      </c>
      <c r="G1457" t="s">
        <v>47</v>
      </c>
      <c r="H1457" t="s">
        <v>2413</v>
      </c>
      <c r="I1457" s="7">
        <v>16.190000000000001</v>
      </c>
      <c r="J1457" s="8">
        <v>1</v>
      </c>
      <c r="K1457" s="7">
        <v>4.66</v>
      </c>
    </row>
    <row r="1458" spans="1:11" x14ac:dyDescent="0.3">
      <c r="A1458" s="2">
        <v>42828</v>
      </c>
      <c r="B1458" s="9">
        <f>MONTH(Table1[[#This Row],[Order Date]])</f>
        <v>4</v>
      </c>
      <c r="C1458" s="9">
        <f>YEAR(Table1[[#This Row],[Order Date]])</f>
        <v>2017</v>
      </c>
      <c r="D1458" t="s">
        <v>2344</v>
      </c>
      <c r="E1458" t="s">
        <v>10</v>
      </c>
      <c r="F1458" t="s">
        <v>11</v>
      </c>
      <c r="G1458" t="s">
        <v>16</v>
      </c>
      <c r="H1458" t="s">
        <v>2381</v>
      </c>
      <c r="I1458" s="7">
        <v>2.46</v>
      </c>
      <c r="J1458" s="8">
        <v>1</v>
      </c>
      <c r="K1458" s="7">
        <v>0.86</v>
      </c>
    </row>
    <row r="1459" spans="1:11" x14ac:dyDescent="0.3">
      <c r="A1459" s="2">
        <v>42829</v>
      </c>
      <c r="B1459" s="9">
        <f>MONTH(Table1[[#This Row],[Order Date]])</f>
        <v>4</v>
      </c>
      <c r="C1459" s="9">
        <f>YEAR(Table1[[#This Row],[Order Date]])</f>
        <v>2017</v>
      </c>
      <c r="D1459" t="s">
        <v>906</v>
      </c>
      <c r="E1459" t="s">
        <v>144</v>
      </c>
      <c r="F1459" t="s">
        <v>39</v>
      </c>
      <c r="G1459" t="s">
        <v>40</v>
      </c>
      <c r="H1459" t="s">
        <v>2652</v>
      </c>
      <c r="I1459" s="7">
        <v>41.22</v>
      </c>
      <c r="J1459" s="8">
        <v>1</v>
      </c>
      <c r="K1459" s="7">
        <v>11.13</v>
      </c>
    </row>
    <row r="1460" spans="1:11" x14ac:dyDescent="0.3">
      <c r="A1460" s="2">
        <v>42830</v>
      </c>
      <c r="B1460" s="9">
        <f>MONTH(Table1[[#This Row],[Order Date]])</f>
        <v>4</v>
      </c>
      <c r="C1460" s="9">
        <f>YEAR(Table1[[#This Row],[Order Date]])</f>
        <v>2017</v>
      </c>
      <c r="D1460" t="s">
        <v>2476</v>
      </c>
      <c r="E1460" t="s">
        <v>27</v>
      </c>
      <c r="F1460" t="s">
        <v>39</v>
      </c>
      <c r="G1460" t="s">
        <v>40</v>
      </c>
      <c r="H1460" t="s">
        <v>692</v>
      </c>
      <c r="I1460" s="7">
        <v>183.96</v>
      </c>
      <c r="J1460" s="8">
        <v>5</v>
      </c>
      <c r="K1460" s="7">
        <v>20.7</v>
      </c>
    </row>
    <row r="1461" spans="1:11" x14ac:dyDescent="0.3">
      <c r="A1461" s="2">
        <v>42830</v>
      </c>
      <c r="B1461" s="9">
        <f>MONTH(Table1[[#This Row],[Order Date]])</f>
        <v>4</v>
      </c>
      <c r="C1461" s="9">
        <f>YEAR(Table1[[#This Row],[Order Date]])</f>
        <v>2017</v>
      </c>
      <c r="D1461" t="s">
        <v>1757</v>
      </c>
      <c r="E1461" t="s">
        <v>55</v>
      </c>
      <c r="F1461" t="s">
        <v>11</v>
      </c>
      <c r="G1461" t="s">
        <v>18</v>
      </c>
      <c r="H1461" t="s">
        <v>1911</v>
      </c>
      <c r="I1461" s="7">
        <v>16.91</v>
      </c>
      <c r="J1461" s="8">
        <v>1</v>
      </c>
      <c r="K1461" s="7">
        <v>4.57</v>
      </c>
    </row>
    <row r="1462" spans="1:11" x14ac:dyDescent="0.3">
      <c r="A1462" s="2">
        <v>42831</v>
      </c>
      <c r="B1462" s="9">
        <f>MONTH(Table1[[#This Row],[Order Date]])</f>
        <v>4</v>
      </c>
      <c r="C1462" s="9">
        <f>YEAR(Table1[[#This Row],[Order Date]])</f>
        <v>2017</v>
      </c>
      <c r="D1462" t="s">
        <v>2476</v>
      </c>
      <c r="E1462" t="s">
        <v>237</v>
      </c>
      <c r="F1462" t="s">
        <v>39</v>
      </c>
      <c r="G1462" t="s">
        <v>40</v>
      </c>
      <c r="H1462" t="s">
        <v>404</v>
      </c>
      <c r="I1462" s="7">
        <v>71.98</v>
      </c>
      <c r="J1462" s="8">
        <v>2</v>
      </c>
      <c r="K1462" s="7">
        <v>25.19</v>
      </c>
    </row>
    <row r="1463" spans="1:11" x14ac:dyDescent="0.3">
      <c r="A1463" s="2">
        <v>42831</v>
      </c>
      <c r="B1463" s="9">
        <f>MONTH(Table1[[#This Row],[Order Date]])</f>
        <v>4</v>
      </c>
      <c r="C1463" s="9">
        <f>YEAR(Table1[[#This Row],[Order Date]])</f>
        <v>2017</v>
      </c>
      <c r="D1463" t="s">
        <v>885</v>
      </c>
      <c r="E1463" t="s">
        <v>474</v>
      </c>
      <c r="F1463" t="s">
        <v>11</v>
      </c>
      <c r="G1463" t="s">
        <v>12</v>
      </c>
      <c r="H1463" t="s">
        <v>2092</v>
      </c>
      <c r="I1463" s="7">
        <v>12.48</v>
      </c>
      <c r="J1463" s="8">
        <v>2</v>
      </c>
      <c r="K1463" s="7">
        <v>5.62</v>
      </c>
    </row>
    <row r="1464" spans="1:11" x14ac:dyDescent="0.3">
      <c r="A1464" s="2">
        <v>42831</v>
      </c>
      <c r="B1464" s="9">
        <f>MONTH(Table1[[#This Row],[Order Date]])</f>
        <v>4</v>
      </c>
      <c r="C1464" s="9">
        <f>YEAR(Table1[[#This Row],[Order Date]])</f>
        <v>2017</v>
      </c>
      <c r="D1464" t="s">
        <v>617</v>
      </c>
      <c r="E1464" t="s">
        <v>308</v>
      </c>
      <c r="F1464" t="s">
        <v>11</v>
      </c>
      <c r="G1464" t="s">
        <v>24</v>
      </c>
      <c r="H1464" t="s">
        <v>2147</v>
      </c>
      <c r="I1464" s="7">
        <v>8.64</v>
      </c>
      <c r="J1464" s="8">
        <v>3</v>
      </c>
      <c r="K1464" s="7">
        <v>2.5099999999999998</v>
      </c>
    </row>
    <row r="1465" spans="1:11" x14ac:dyDescent="0.3">
      <c r="A1465" s="2">
        <v>42833</v>
      </c>
      <c r="B1465" s="9">
        <f>MONTH(Table1[[#This Row],[Order Date]])</f>
        <v>4</v>
      </c>
      <c r="C1465" s="9">
        <f>YEAR(Table1[[#This Row],[Order Date]])</f>
        <v>2017</v>
      </c>
      <c r="D1465" t="s">
        <v>969</v>
      </c>
      <c r="E1465" t="s">
        <v>269</v>
      </c>
      <c r="F1465" t="s">
        <v>11</v>
      </c>
      <c r="G1465" t="s">
        <v>12</v>
      </c>
      <c r="H1465" t="s">
        <v>1635</v>
      </c>
      <c r="I1465" s="7">
        <v>7.97</v>
      </c>
      <c r="J1465" s="8">
        <v>2</v>
      </c>
      <c r="K1465" s="7">
        <v>2.89</v>
      </c>
    </row>
    <row r="1466" spans="1:11" x14ac:dyDescent="0.3">
      <c r="A1466" s="2">
        <v>42834</v>
      </c>
      <c r="B1466" s="9">
        <f>MONTH(Table1[[#This Row],[Order Date]])</f>
        <v>4</v>
      </c>
      <c r="C1466" s="9">
        <f>YEAR(Table1[[#This Row],[Order Date]])</f>
        <v>2017</v>
      </c>
      <c r="D1466" t="s">
        <v>1948</v>
      </c>
      <c r="E1466" t="s">
        <v>10</v>
      </c>
      <c r="F1466" t="s">
        <v>11</v>
      </c>
      <c r="G1466" t="s">
        <v>24</v>
      </c>
      <c r="H1466" t="s">
        <v>2317</v>
      </c>
      <c r="I1466" s="7">
        <v>13.12</v>
      </c>
      <c r="J1466" s="8">
        <v>5</v>
      </c>
      <c r="K1466" s="7">
        <v>3.77</v>
      </c>
    </row>
    <row r="1467" spans="1:11" x14ac:dyDescent="0.3">
      <c r="A1467" s="2">
        <v>42834</v>
      </c>
      <c r="B1467" s="9">
        <f>MONTH(Table1[[#This Row],[Order Date]])</f>
        <v>4</v>
      </c>
      <c r="C1467" s="9">
        <f>YEAR(Table1[[#This Row],[Order Date]])</f>
        <v>2017</v>
      </c>
      <c r="D1467" t="s">
        <v>2225</v>
      </c>
      <c r="E1467" t="s">
        <v>15</v>
      </c>
      <c r="F1467" t="s">
        <v>34</v>
      </c>
      <c r="G1467" t="s">
        <v>74</v>
      </c>
      <c r="H1467" t="s">
        <v>2698</v>
      </c>
      <c r="I1467" s="7">
        <v>825.17</v>
      </c>
      <c r="J1467" s="8">
        <v>9</v>
      </c>
      <c r="K1467" s="7">
        <v>-117.88</v>
      </c>
    </row>
    <row r="1468" spans="1:11" x14ac:dyDescent="0.3">
      <c r="A1468" s="2">
        <v>42834</v>
      </c>
      <c r="B1468" s="9">
        <f>MONTH(Table1[[#This Row],[Order Date]])</f>
        <v>4</v>
      </c>
      <c r="C1468" s="9">
        <f>YEAR(Table1[[#This Row],[Order Date]])</f>
        <v>2017</v>
      </c>
      <c r="D1468" t="s">
        <v>1535</v>
      </c>
      <c r="E1468" t="s">
        <v>78</v>
      </c>
      <c r="F1468" t="s">
        <v>11</v>
      </c>
      <c r="G1468" t="s">
        <v>12</v>
      </c>
      <c r="H1468" t="s">
        <v>2401</v>
      </c>
      <c r="I1468" s="7">
        <v>11.52</v>
      </c>
      <c r="J1468" s="8">
        <v>4</v>
      </c>
      <c r="K1468" s="7">
        <v>3.74</v>
      </c>
    </row>
    <row r="1469" spans="1:11" x14ac:dyDescent="0.3">
      <c r="A1469" s="2">
        <v>42834</v>
      </c>
      <c r="B1469" s="9">
        <f>MONTH(Table1[[#This Row],[Order Date]])</f>
        <v>4</v>
      </c>
      <c r="C1469" s="9">
        <f>YEAR(Table1[[#This Row],[Order Date]])</f>
        <v>2017</v>
      </c>
      <c r="D1469" t="s">
        <v>1736</v>
      </c>
      <c r="E1469" t="s">
        <v>27</v>
      </c>
      <c r="F1469" t="s">
        <v>39</v>
      </c>
      <c r="G1469" t="s">
        <v>40</v>
      </c>
      <c r="H1469" t="s">
        <v>1313</v>
      </c>
      <c r="I1469" s="7">
        <v>5.56</v>
      </c>
      <c r="J1469" s="8">
        <v>1</v>
      </c>
      <c r="K1469" s="7">
        <v>1.74</v>
      </c>
    </row>
    <row r="1470" spans="1:11" x14ac:dyDescent="0.3">
      <c r="A1470" s="2">
        <v>42834</v>
      </c>
      <c r="B1470" s="9">
        <f>MONTH(Table1[[#This Row],[Order Date]])</f>
        <v>4</v>
      </c>
      <c r="C1470" s="9">
        <f>YEAR(Table1[[#This Row],[Order Date]])</f>
        <v>2017</v>
      </c>
      <c r="D1470" t="s">
        <v>246</v>
      </c>
      <c r="E1470" t="s">
        <v>27</v>
      </c>
      <c r="F1470" t="s">
        <v>11</v>
      </c>
      <c r="G1470" t="s">
        <v>18</v>
      </c>
      <c r="H1470" t="s">
        <v>1467</v>
      </c>
      <c r="I1470" s="7">
        <v>421.1</v>
      </c>
      <c r="J1470" s="8">
        <v>2</v>
      </c>
      <c r="K1470" s="7">
        <v>105.28</v>
      </c>
    </row>
    <row r="1471" spans="1:11" x14ac:dyDescent="0.3">
      <c r="A1471" s="2">
        <v>42834</v>
      </c>
      <c r="B1471" s="9">
        <f>MONTH(Table1[[#This Row],[Order Date]])</f>
        <v>4</v>
      </c>
      <c r="C1471" s="9">
        <f>YEAR(Table1[[#This Row],[Order Date]])</f>
        <v>2017</v>
      </c>
      <c r="D1471" t="s">
        <v>1009</v>
      </c>
      <c r="E1471" t="s">
        <v>91</v>
      </c>
      <c r="F1471" t="s">
        <v>11</v>
      </c>
      <c r="G1471" t="s">
        <v>20</v>
      </c>
      <c r="H1471" t="s">
        <v>827</v>
      </c>
      <c r="I1471" s="7">
        <v>88.07</v>
      </c>
      <c r="J1471" s="8">
        <v>7</v>
      </c>
      <c r="K1471" s="7">
        <v>-58.72</v>
      </c>
    </row>
    <row r="1472" spans="1:11" x14ac:dyDescent="0.3">
      <c r="A1472" s="2">
        <v>42836</v>
      </c>
      <c r="B1472" s="9">
        <f>MONTH(Table1[[#This Row],[Order Date]])</f>
        <v>4</v>
      </c>
      <c r="C1472" s="9">
        <f>YEAR(Table1[[#This Row],[Order Date]])</f>
        <v>2017</v>
      </c>
      <c r="D1472" t="s">
        <v>761</v>
      </c>
      <c r="E1472" t="s">
        <v>237</v>
      </c>
      <c r="F1472" t="s">
        <v>39</v>
      </c>
      <c r="G1472" t="s">
        <v>293</v>
      </c>
      <c r="H1472" t="s">
        <v>2724</v>
      </c>
      <c r="I1472" s="7">
        <v>7999.98</v>
      </c>
      <c r="J1472" s="8">
        <v>4</v>
      </c>
      <c r="K1472" s="7">
        <v>-3839.99</v>
      </c>
    </row>
    <row r="1473" spans="1:11" x14ac:dyDescent="0.3">
      <c r="A1473" s="2">
        <v>42836</v>
      </c>
      <c r="B1473" s="9">
        <f>MONTH(Table1[[#This Row],[Order Date]])</f>
        <v>4</v>
      </c>
      <c r="C1473" s="9">
        <f>YEAR(Table1[[#This Row],[Order Date]])</f>
        <v>2017</v>
      </c>
      <c r="D1473" t="s">
        <v>1832</v>
      </c>
      <c r="E1473" t="s">
        <v>117</v>
      </c>
      <c r="F1473" t="s">
        <v>11</v>
      </c>
      <c r="G1473" t="s">
        <v>12</v>
      </c>
      <c r="H1473" t="s">
        <v>686</v>
      </c>
      <c r="I1473" s="7">
        <v>9.66</v>
      </c>
      <c r="J1473" s="8">
        <v>2</v>
      </c>
      <c r="K1473" s="7">
        <v>3.26</v>
      </c>
    </row>
    <row r="1474" spans="1:11" x14ac:dyDescent="0.3">
      <c r="A1474" s="2">
        <v>42836</v>
      </c>
      <c r="B1474" s="9">
        <f>MONTH(Table1[[#This Row],[Order Date]])</f>
        <v>4</v>
      </c>
      <c r="C1474" s="9">
        <f>YEAR(Table1[[#This Row],[Order Date]])</f>
        <v>2017</v>
      </c>
      <c r="D1474" t="s">
        <v>798</v>
      </c>
      <c r="E1474" t="s">
        <v>237</v>
      </c>
      <c r="F1474" t="s">
        <v>39</v>
      </c>
      <c r="G1474" t="s">
        <v>40</v>
      </c>
      <c r="H1474" t="s">
        <v>2618</v>
      </c>
      <c r="I1474" s="7">
        <v>1359.96</v>
      </c>
      <c r="J1474" s="8">
        <v>5</v>
      </c>
      <c r="K1474" s="7">
        <v>119</v>
      </c>
    </row>
    <row r="1475" spans="1:11" x14ac:dyDescent="0.3">
      <c r="A1475" s="2">
        <v>42836</v>
      </c>
      <c r="B1475" s="9">
        <f>MONTH(Table1[[#This Row],[Order Date]])</f>
        <v>4</v>
      </c>
      <c r="C1475" s="9">
        <f>YEAR(Table1[[#This Row],[Order Date]])</f>
        <v>2017</v>
      </c>
      <c r="D1475" t="s">
        <v>373</v>
      </c>
      <c r="E1475" t="s">
        <v>117</v>
      </c>
      <c r="F1475" t="s">
        <v>39</v>
      </c>
      <c r="G1475" t="s">
        <v>40</v>
      </c>
      <c r="H1475" t="s">
        <v>2699</v>
      </c>
      <c r="I1475" s="7">
        <v>143.93</v>
      </c>
      <c r="J1475" s="8">
        <v>9</v>
      </c>
      <c r="K1475" s="7">
        <v>-32.380000000000003</v>
      </c>
    </row>
    <row r="1476" spans="1:11" x14ac:dyDescent="0.3">
      <c r="A1476" s="2">
        <v>42837</v>
      </c>
      <c r="B1476" s="9">
        <f>MONTH(Table1[[#This Row],[Order Date]])</f>
        <v>4</v>
      </c>
      <c r="C1476" s="9">
        <f>YEAR(Table1[[#This Row],[Order Date]])</f>
        <v>2017</v>
      </c>
      <c r="D1476" t="s">
        <v>871</v>
      </c>
      <c r="E1476" t="s">
        <v>23</v>
      </c>
      <c r="F1476" t="s">
        <v>11</v>
      </c>
      <c r="G1476" t="s">
        <v>12</v>
      </c>
      <c r="H1476" t="s">
        <v>1010</v>
      </c>
      <c r="I1476" s="7">
        <v>23.92</v>
      </c>
      <c r="J1476" s="8">
        <v>5</v>
      </c>
      <c r="K1476" s="7">
        <v>8.67</v>
      </c>
    </row>
    <row r="1477" spans="1:11" x14ac:dyDescent="0.3">
      <c r="A1477" s="2">
        <v>42837</v>
      </c>
      <c r="B1477" s="9">
        <f>MONTH(Table1[[#This Row],[Order Date]])</f>
        <v>4</v>
      </c>
      <c r="C1477" s="9">
        <f>YEAR(Table1[[#This Row],[Order Date]])</f>
        <v>2017</v>
      </c>
      <c r="D1477" t="s">
        <v>1975</v>
      </c>
      <c r="E1477" t="s">
        <v>308</v>
      </c>
      <c r="F1477" t="s">
        <v>39</v>
      </c>
      <c r="G1477" t="s">
        <v>52</v>
      </c>
      <c r="H1477" t="s">
        <v>2537</v>
      </c>
      <c r="I1477" s="7">
        <v>142.80000000000001</v>
      </c>
      <c r="J1477" s="8">
        <v>1</v>
      </c>
      <c r="K1477" s="7">
        <v>29.99</v>
      </c>
    </row>
    <row r="1478" spans="1:11" x14ac:dyDescent="0.3">
      <c r="A1478" s="2">
        <v>42837</v>
      </c>
      <c r="B1478" s="9">
        <f>MONTH(Table1[[#This Row],[Order Date]])</f>
        <v>4</v>
      </c>
      <c r="C1478" s="9">
        <f>YEAR(Table1[[#This Row],[Order Date]])</f>
        <v>2017</v>
      </c>
      <c r="D1478" t="s">
        <v>1975</v>
      </c>
      <c r="E1478" t="s">
        <v>308</v>
      </c>
      <c r="F1478" t="s">
        <v>39</v>
      </c>
      <c r="G1478" t="s">
        <v>52</v>
      </c>
      <c r="H1478" t="s">
        <v>1772</v>
      </c>
      <c r="I1478" s="7">
        <v>399.95</v>
      </c>
      <c r="J1478" s="8">
        <v>5</v>
      </c>
      <c r="K1478" s="7">
        <v>143.97999999999999</v>
      </c>
    </row>
    <row r="1479" spans="1:11" x14ac:dyDescent="0.3">
      <c r="A1479" s="2">
        <v>42837</v>
      </c>
      <c r="B1479" s="9">
        <f>MONTH(Table1[[#This Row],[Order Date]])</f>
        <v>4</v>
      </c>
      <c r="C1479" s="9">
        <f>YEAR(Table1[[#This Row],[Order Date]])</f>
        <v>2017</v>
      </c>
      <c r="D1479" t="s">
        <v>2279</v>
      </c>
      <c r="E1479" t="s">
        <v>171</v>
      </c>
      <c r="F1479" t="s">
        <v>34</v>
      </c>
      <c r="G1479" t="s">
        <v>47</v>
      </c>
      <c r="H1479" t="s">
        <v>2042</v>
      </c>
      <c r="I1479" s="7">
        <v>12.99</v>
      </c>
      <c r="J1479" s="8">
        <v>1</v>
      </c>
      <c r="K1479" s="7">
        <v>1.56</v>
      </c>
    </row>
    <row r="1480" spans="1:11" x14ac:dyDescent="0.3">
      <c r="A1480" s="2">
        <v>42857</v>
      </c>
      <c r="B1480" s="9">
        <f>MONTH(Table1[[#This Row],[Order Date]])</f>
        <v>5</v>
      </c>
      <c r="C1480" s="9">
        <f>YEAR(Table1[[#This Row],[Order Date]])</f>
        <v>2017</v>
      </c>
      <c r="D1480" t="s">
        <v>1412</v>
      </c>
      <c r="E1480" t="s">
        <v>27</v>
      </c>
      <c r="F1480" t="s">
        <v>11</v>
      </c>
      <c r="G1480" t="s">
        <v>92</v>
      </c>
      <c r="H1480" t="s">
        <v>2246</v>
      </c>
      <c r="I1480" s="7">
        <v>1640.7</v>
      </c>
      <c r="J1480" s="8">
        <v>5</v>
      </c>
      <c r="K1480" s="7">
        <v>459.4</v>
      </c>
    </row>
    <row r="1481" spans="1:11" x14ac:dyDescent="0.3">
      <c r="A1481" s="2">
        <v>42858</v>
      </c>
      <c r="B1481" s="9">
        <f>MONTH(Table1[[#This Row],[Order Date]])</f>
        <v>5</v>
      </c>
      <c r="C1481" s="9">
        <f>YEAR(Table1[[#This Row],[Order Date]])</f>
        <v>2017</v>
      </c>
      <c r="D1481" t="s">
        <v>1557</v>
      </c>
      <c r="E1481" t="s">
        <v>152</v>
      </c>
      <c r="F1481" t="s">
        <v>11</v>
      </c>
      <c r="G1481" t="s">
        <v>16</v>
      </c>
      <c r="H1481" t="s">
        <v>2555</v>
      </c>
      <c r="I1481" s="7">
        <v>25.06</v>
      </c>
      <c r="J1481" s="8">
        <v>2</v>
      </c>
      <c r="K1481" s="7">
        <v>11.78</v>
      </c>
    </row>
    <row r="1482" spans="1:11" x14ac:dyDescent="0.3">
      <c r="A1482" s="2">
        <v>42858</v>
      </c>
      <c r="B1482" s="9">
        <f>MONTH(Table1[[#This Row],[Order Date]])</f>
        <v>5</v>
      </c>
      <c r="C1482" s="9">
        <f>YEAR(Table1[[#This Row],[Order Date]])</f>
        <v>2017</v>
      </c>
      <c r="D1482" t="s">
        <v>1838</v>
      </c>
      <c r="E1482" t="s">
        <v>322</v>
      </c>
      <c r="F1482" t="s">
        <v>11</v>
      </c>
      <c r="G1482" t="s">
        <v>92</v>
      </c>
      <c r="H1482" t="s">
        <v>1270</v>
      </c>
      <c r="I1482" s="7">
        <v>262.24</v>
      </c>
      <c r="J1482" s="8">
        <v>2</v>
      </c>
      <c r="K1482" s="7">
        <v>78.67</v>
      </c>
    </row>
    <row r="1483" spans="1:11" x14ac:dyDescent="0.3">
      <c r="A1483" s="2">
        <v>42860</v>
      </c>
      <c r="B1483" s="9">
        <f>MONTH(Table1[[#This Row],[Order Date]])</f>
        <v>5</v>
      </c>
      <c r="C1483" s="9">
        <f>YEAR(Table1[[#This Row],[Order Date]])</f>
        <v>2017</v>
      </c>
      <c r="D1483" t="s">
        <v>1649</v>
      </c>
      <c r="E1483" t="s">
        <v>27</v>
      </c>
      <c r="F1483" t="s">
        <v>11</v>
      </c>
      <c r="G1483" t="s">
        <v>63</v>
      </c>
      <c r="H1483" t="s">
        <v>1624</v>
      </c>
      <c r="I1483" s="7">
        <v>23.16</v>
      </c>
      <c r="J1483" s="8">
        <v>2</v>
      </c>
      <c r="K1483" s="7">
        <v>11.58</v>
      </c>
    </row>
    <row r="1484" spans="1:11" x14ac:dyDescent="0.3">
      <c r="A1484" s="2">
        <v>42863</v>
      </c>
      <c r="B1484" s="9">
        <f>MONTH(Table1[[#This Row],[Order Date]])</f>
        <v>5</v>
      </c>
      <c r="C1484" s="9">
        <f>YEAR(Table1[[#This Row],[Order Date]])</f>
        <v>2017</v>
      </c>
      <c r="D1484" t="s">
        <v>1022</v>
      </c>
      <c r="E1484" t="s">
        <v>10</v>
      </c>
      <c r="F1484" t="s">
        <v>11</v>
      </c>
      <c r="G1484" t="s">
        <v>18</v>
      </c>
      <c r="H1484" t="s">
        <v>1920</v>
      </c>
      <c r="I1484" s="7">
        <v>151.06</v>
      </c>
      <c r="J1484" s="8">
        <v>9</v>
      </c>
      <c r="K1484" s="7">
        <v>7.55</v>
      </c>
    </row>
    <row r="1485" spans="1:11" x14ac:dyDescent="0.3">
      <c r="A1485" s="2">
        <v>42865</v>
      </c>
      <c r="B1485" s="9">
        <f>MONTH(Table1[[#This Row],[Order Date]])</f>
        <v>5</v>
      </c>
      <c r="C1485" s="9">
        <f>YEAR(Table1[[#This Row],[Order Date]])</f>
        <v>2017</v>
      </c>
      <c r="D1485" t="s">
        <v>1482</v>
      </c>
      <c r="E1485" t="s">
        <v>144</v>
      </c>
      <c r="F1485" t="s">
        <v>39</v>
      </c>
      <c r="G1485" t="s">
        <v>293</v>
      </c>
      <c r="H1485" t="s">
        <v>2458</v>
      </c>
      <c r="I1485" s="7">
        <v>5199.96</v>
      </c>
      <c r="J1485" s="8">
        <v>4</v>
      </c>
      <c r="K1485" s="7">
        <v>1351.99</v>
      </c>
    </row>
    <row r="1486" spans="1:11" x14ac:dyDescent="0.3">
      <c r="A1486" s="2">
        <v>42865</v>
      </c>
      <c r="B1486" s="9">
        <f>MONTH(Table1[[#This Row],[Order Date]])</f>
        <v>5</v>
      </c>
      <c r="C1486" s="9">
        <f>YEAR(Table1[[#This Row],[Order Date]])</f>
        <v>2017</v>
      </c>
      <c r="D1486" t="s">
        <v>1487</v>
      </c>
      <c r="E1486" t="s">
        <v>27</v>
      </c>
      <c r="F1486" t="s">
        <v>11</v>
      </c>
      <c r="G1486" t="s">
        <v>92</v>
      </c>
      <c r="H1486" t="s">
        <v>1435</v>
      </c>
      <c r="I1486" s="7">
        <v>15.8</v>
      </c>
      <c r="J1486" s="8">
        <v>4</v>
      </c>
      <c r="K1486" s="7">
        <v>4.1100000000000003</v>
      </c>
    </row>
    <row r="1487" spans="1:11" x14ac:dyDescent="0.3">
      <c r="A1487" s="2">
        <v>42867</v>
      </c>
      <c r="B1487" s="9">
        <f>MONTH(Table1[[#This Row],[Order Date]])</f>
        <v>5</v>
      </c>
      <c r="C1487" s="9">
        <f>YEAR(Table1[[#This Row],[Order Date]])</f>
        <v>2017</v>
      </c>
      <c r="D1487" t="s">
        <v>1368</v>
      </c>
      <c r="E1487" t="s">
        <v>144</v>
      </c>
      <c r="F1487" t="s">
        <v>34</v>
      </c>
      <c r="G1487" t="s">
        <v>47</v>
      </c>
      <c r="H1487" t="s">
        <v>1373</v>
      </c>
      <c r="I1487" s="7">
        <v>58.68</v>
      </c>
      <c r="J1487" s="8">
        <v>2</v>
      </c>
      <c r="K1487" s="7">
        <v>18.190000000000001</v>
      </c>
    </row>
    <row r="1488" spans="1:11" x14ac:dyDescent="0.3">
      <c r="A1488" s="2">
        <v>42867</v>
      </c>
      <c r="B1488" s="9">
        <f>MONTH(Table1[[#This Row],[Order Date]])</f>
        <v>5</v>
      </c>
      <c r="C1488" s="9">
        <f>YEAR(Table1[[#This Row],[Order Date]])</f>
        <v>2017</v>
      </c>
      <c r="D1488" t="s">
        <v>771</v>
      </c>
      <c r="E1488" t="s">
        <v>144</v>
      </c>
      <c r="F1488" t="s">
        <v>11</v>
      </c>
      <c r="G1488" t="s">
        <v>16</v>
      </c>
      <c r="H1488" t="s">
        <v>2031</v>
      </c>
      <c r="I1488" s="7">
        <v>9.4499999999999993</v>
      </c>
      <c r="J1488" s="8">
        <v>3</v>
      </c>
      <c r="K1488" s="7">
        <v>4.54</v>
      </c>
    </row>
    <row r="1489" spans="1:11" x14ac:dyDescent="0.3">
      <c r="A1489" s="2">
        <v>42888</v>
      </c>
      <c r="B1489" s="9">
        <f>MONTH(Table1[[#This Row],[Order Date]])</f>
        <v>6</v>
      </c>
      <c r="C1489" s="9">
        <f>YEAR(Table1[[#This Row],[Order Date]])</f>
        <v>2017</v>
      </c>
      <c r="D1489" t="s">
        <v>1430</v>
      </c>
      <c r="E1489" t="s">
        <v>144</v>
      </c>
      <c r="F1489" t="s">
        <v>11</v>
      </c>
      <c r="G1489" t="s">
        <v>20</v>
      </c>
      <c r="H1489" t="s">
        <v>2490</v>
      </c>
      <c r="I1489" s="7">
        <v>46.24</v>
      </c>
      <c r="J1489" s="8">
        <v>4</v>
      </c>
      <c r="K1489" s="7">
        <v>15.61</v>
      </c>
    </row>
    <row r="1490" spans="1:11" x14ac:dyDescent="0.3">
      <c r="A1490" s="2">
        <v>42889</v>
      </c>
      <c r="B1490" s="9">
        <f>MONTH(Table1[[#This Row],[Order Date]])</f>
        <v>6</v>
      </c>
      <c r="C1490" s="9">
        <f>YEAR(Table1[[#This Row],[Order Date]])</f>
        <v>2017</v>
      </c>
      <c r="D1490" t="s">
        <v>516</v>
      </c>
      <c r="E1490" t="s">
        <v>27</v>
      </c>
      <c r="F1490" t="s">
        <v>11</v>
      </c>
      <c r="G1490" t="s">
        <v>20</v>
      </c>
      <c r="H1490" t="s">
        <v>2119</v>
      </c>
      <c r="I1490" s="7">
        <v>14.98</v>
      </c>
      <c r="J1490" s="8">
        <v>9</v>
      </c>
      <c r="K1490" s="7">
        <v>5.43</v>
      </c>
    </row>
    <row r="1491" spans="1:11" x14ac:dyDescent="0.3">
      <c r="A1491" s="2">
        <v>42889</v>
      </c>
      <c r="B1491" s="9">
        <f>MONTH(Table1[[#This Row],[Order Date]])</f>
        <v>6</v>
      </c>
      <c r="C1491" s="9">
        <f>YEAR(Table1[[#This Row],[Order Date]])</f>
        <v>2017</v>
      </c>
      <c r="D1491" t="s">
        <v>1725</v>
      </c>
      <c r="E1491" t="s">
        <v>27</v>
      </c>
      <c r="F1491" t="s">
        <v>11</v>
      </c>
      <c r="G1491" t="s">
        <v>18</v>
      </c>
      <c r="H1491" t="s">
        <v>1329</v>
      </c>
      <c r="I1491" s="7">
        <v>67.78</v>
      </c>
      <c r="J1491" s="8">
        <v>2</v>
      </c>
      <c r="K1491" s="7">
        <v>16.95</v>
      </c>
    </row>
    <row r="1492" spans="1:11" x14ac:dyDescent="0.3">
      <c r="A1492" s="2">
        <v>42891</v>
      </c>
      <c r="B1492" s="9">
        <f>MONTH(Table1[[#This Row],[Order Date]])</f>
        <v>6</v>
      </c>
      <c r="C1492" s="9">
        <f>YEAR(Table1[[#This Row],[Order Date]])</f>
        <v>2017</v>
      </c>
      <c r="D1492" t="s">
        <v>22</v>
      </c>
      <c r="E1492" t="s">
        <v>237</v>
      </c>
      <c r="F1492" t="s">
        <v>11</v>
      </c>
      <c r="G1492" t="s">
        <v>16</v>
      </c>
      <c r="H1492" t="s">
        <v>1469</v>
      </c>
      <c r="I1492" s="7">
        <v>122.12</v>
      </c>
      <c r="J1492" s="8">
        <v>5</v>
      </c>
      <c r="K1492" s="7">
        <v>39.69</v>
      </c>
    </row>
    <row r="1493" spans="1:11" x14ac:dyDescent="0.3">
      <c r="A1493" s="2">
        <v>42892</v>
      </c>
      <c r="B1493" s="9">
        <f>MONTH(Table1[[#This Row],[Order Date]])</f>
        <v>6</v>
      </c>
      <c r="C1493" s="9">
        <f>YEAR(Table1[[#This Row],[Order Date]])</f>
        <v>2017</v>
      </c>
      <c r="D1493" t="s">
        <v>903</v>
      </c>
      <c r="E1493" t="s">
        <v>27</v>
      </c>
      <c r="F1493" t="s">
        <v>34</v>
      </c>
      <c r="G1493" t="s">
        <v>47</v>
      </c>
      <c r="H1493" t="s">
        <v>2538</v>
      </c>
      <c r="I1493" s="7">
        <v>4.95</v>
      </c>
      <c r="J1493" s="8">
        <v>1</v>
      </c>
      <c r="K1493" s="7">
        <v>2.1800000000000002</v>
      </c>
    </row>
    <row r="1494" spans="1:11" x14ac:dyDescent="0.3">
      <c r="A1494" s="2">
        <v>42893</v>
      </c>
      <c r="B1494" s="9">
        <f>MONTH(Table1[[#This Row],[Order Date]])</f>
        <v>6</v>
      </c>
      <c r="C1494" s="9">
        <f>YEAR(Table1[[#This Row],[Order Date]])</f>
        <v>2017</v>
      </c>
      <c r="D1494" t="s">
        <v>1464</v>
      </c>
      <c r="E1494" t="s">
        <v>23</v>
      </c>
      <c r="F1494" t="s">
        <v>11</v>
      </c>
      <c r="G1494" t="s">
        <v>12</v>
      </c>
      <c r="H1494" t="s">
        <v>1916</v>
      </c>
      <c r="I1494" s="7">
        <v>16.059999999999999</v>
      </c>
      <c r="J1494" s="8">
        <v>3</v>
      </c>
      <c r="K1494" s="7">
        <v>5.82</v>
      </c>
    </row>
    <row r="1495" spans="1:11" x14ac:dyDescent="0.3">
      <c r="A1495" s="2">
        <v>42896</v>
      </c>
      <c r="B1495" s="9">
        <f>MONTH(Table1[[#This Row],[Order Date]])</f>
        <v>6</v>
      </c>
      <c r="C1495" s="9">
        <f>YEAR(Table1[[#This Row],[Order Date]])</f>
        <v>2017</v>
      </c>
      <c r="D1495" t="s">
        <v>1855</v>
      </c>
      <c r="E1495" t="s">
        <v>144</v>
      </c>
      <c r="F1495" t="s">
        <v>11</v>
      </c>
      <c r="G1495" t="s">
        <v>12</v>
      </c>
      <c r="H1495" t="s">
        <v>1879</v>
      </c>
      <c r="I1495" s="7">
        <v>17.04</v>
      </c>
      <c r="J1495" s="8">
        <v>3</v>
      </c>
      <c r="K1495" s="7">
        <v>7.67</v>
      </c>
    </row>
    <row r="1496" spans="1:11" x14ac:dyDescent="0.3">
      <c r="A1496" s="2">
        <v>42896</v>
      </c>
      <c r="B1496" s="9">
        <f>MONTH(Table1[[#This Row],[Order Date]])</f>
        <v>6</v>
      </c>
      <c r="C1496" s="9">
        <f>YEAR(Table1[[#This Row],[Order Date]])</f>
        <v>2017</v>
      </c>
      <c r="D1496" t="s">
        <v>107</v>
      </c>
      <c r="E1496" t="s">
        <v>171</v>
      </c>
      <c r="F1496" t="s">
        <v>11</v>
      </c>
      <c r="G1496" t="s">
        <v>12</v>
      </c>
      <c r="H1496" t="s">
        <v>1334</v>
      </c>
      <c r="I1496" s="7">
        <v>6.48</v>
      </c>
      <c r="J1496" s="8">
        <v>1</v>
      </c>
      <c r="K1496" s="7">
        <v>3.11</v>
      </c>
    </row>
    <row r="1497" spans="1:11" x14ac:dyDescent="0.3">
      <c r="A1497" s="2">
        <v>42897</v>
      </c>
      <c r="B1497" s="9">
        <f>MONTH(Table1[[#This Row],[Order Date]])</f>
        <v>6</v>
      </c>
      <c r="C1497" s="9">
        <f>YEAR(Table1[[#This Row],[Order Date]])</f>
        <v>2017</v>
      </c>
      <c r="D1497" t="s">
        <v>2161</v>
      </c>
      <c r="E1497" t="s">
        <v>91</v>
      </c>
      <c r="F1497" t="s">
        <v>11</v>
      </c>
      <c r="G1497" t="s">
        <v>20</v>
      </c>
      <c r="H1497" t="s">
        <v>1429</v>
      </c>
      <c r="I1497" s="7">
        <v>5.68</v>
      </c>
      <c r="J1497" s="8">
        <v>1</v>
      </c>
      <c r="K1497" s="7">
        <v>-3.79</v>
      </c>
    </row>
    <row r="1498" spans="1:11" x14ac:dyDescent="0.3">
      <c r="A1498" s="2">
        <v>42897</v>
      </c>
      <c r="B1498" s="9">
        <f>MONTH(Table1[[#This Row],[Order Date]])</f>
        <v>6</v>
      </c>
      <c r="C1498" s="9">
        <f>YEAR(Table1[[#This Row],[Order Date]])</f>
        <v>2017</v>
      </c>
      <c r="D1498" t="s">
        <v>478</v>
      </c>
      <c r="E1498" t="s">
        <v>171</v>
      </c>
      <c r="F1498" t="s">
        <v>11</v>
      </c>
      <c r="G1498" t="s">
        <v>18</v>
      </c>
      <c r="H1498" t="s">
        <v>2725</v>
      </c>
      <c r="I1498" s="7">
        <v>46.26</v>
      </c>
      <c r="J1498" s="8">
        <v>3</v>
      </c>
      <c r="K1498" s="7">
        <v>12.03</v>
      </c>
    </row>
    <row r="1499" spans="1:11" x14ac:dyDescent="0.3">
      <c r="A1499" s="2">
        <v>42897</v>
      </c>
      <c r="B1499" s="9">
        <f>MONTH(Table1[[#This Row],[Order Date]])</f>
        <v>6</v>
      </c>
      <c r="C1499" s="9">
        <f>YEAR(Table1[[#This Row],[Order Date]])</f>
        <v>2017</v>
      </c>
      <c r="D1499" t="s">
        <v>2179</v>
      </c>
      <c r="E1499" t="s">
        <v>308</v>
      </c>
      <c r="F1499" t="s">
        <v>11</v>
      </c>
      <c r="G1499" t="s">
        <v>24</v>
      </c>
      <c r="H1499" t="s">
        <v>2542</v>
      </c>
      <c r="I1499" s="7">
        <v>13.9</v>
      </c>
      <c r="J1499" s="8">
        <v>5</v>
      </c>
      <c r="K1499" s="7">
        <v>3.61</v>
      </c>
    </row>
    <row r="1500" spans="1:11" x14ac:dyDescent="0.3">
      <c r="A1500" s="2">
        <v>42917</v>
      </c>
      <c r="B1500" s="9">
        <f>MONTH(Table1[[#This Row],[Order Date]])</f>
        <v>7</v>
      </c>
      <c r="C1500" s="9">
        <f>YEAR(Table1[[#This Row],[Order Date]])</f>
        <v>2017</v>
      </c>
      <c r="D1500" t="s">
        <v>1585</v>
      </c>
      <c r="E1500" t="s">
        <v>27</v>
      </c>
      <c r="F1500" t="s">
        <v>11</v>
      </c>
      <c r="G1500" t="s">
        <v>18</v>
      </c>
      <c r="H1500" t="s">
        <v>351</v>
      </c>
      <c r="I1500" s="7">
        <v>61.02</v>
      </c>
      <c r="J1500" s="8">
        <v>3</v>
      </c>
      <c r="K1500" s="7">
        <v>0.61</v>
      </c>
    </row>
    <row r="1501" spans="1:11" x14ac:dyDescent="0.3">
      <c r="A1501" s="2">
        <v>42917</v>
      </c>
      <c r="B1501" s="9">
        <f>MONTH(Table1[[#This Row],[Order Date]])</f>
        <v>7</v>
      </c>
      <c r="C1501" s="9">
        <f>YEAR(Table1[[#This Row],[Order Date]])</f>
        <v>2017</v>
      </c>
      <c r="D1501" t="s">
        <v>1585</v>
      </c>
      <c r="E1501" t="s">
        <v>27</v>
      </c>
      <c r="F1501" t="s">
        <v>11</v>
      </c>
      <c r="G1501" t="s">
        <v>194</v>
      </c>
      <c r="H1501" t="s">
        <v>2228</v>
      </c>
      <c r="I1501" s="7">
        <v>110.11</v>
      </c>
      <c r="J1501" s="8">
        <v>7</v>
      </c>
      <c r="K1501" s="7">
        <v>31.93</v>
      </c>
    </row>
    <row r="1502" spans="1:11" x14ac:dyDescent="0.3">
      <c r="A1502" s="2">
        <v>42920</v>
      </c>
      <c r="B1502" s="9">
        <f>MONTH(Table1[[#This Row],[Order Date]])</f>
        <v>7</v>
      </c>
      <c r="C1502" s="9">
        <f>YEAR(Table1[[#This Row],[Order Date]])</f>
        <v>2017</v>
      </c>
      <c r="D1502" t="s">
        <v>1350</v>
      </c>
      <c r="E1502" t="s">
        <v>120</v>
      </c>
      <c r="F1502" t="s">
        <v>11</v>
      </c>
      <c r="G1502" t="s">
        <v>20</v>
      </c>
      <c r="H1502" t="s">
        <v>1006</v>
      </c>
      <c r="I1502" s="7">
        <v>5.33</v>
      </c>
      <c r="J1502" s="8">
        <v>2</v>
      </c>
      <c r="K1502" s="7">
        <v>-3.55</v>
      </c>
    </row>
    <row r="1503" spans="1:11" x14ac:dyDescent="0.3">
      <c r="A1503" s="2">
        <v>42920</v>
      </c>
      <c r="B1503" s="9">
        <f>MONTH(Table1[[#This Row],[Order Date]])</f>
        <v>7</v>
      </c>
      <c r="C1503" s="9">
        <f>YEAR(Table1[[#This Row],[Order Date]])</f>
        <v>2017</v>
      </c>
      <c r="D1503" t="s">
        <v>1350</v>
      </c>
      <c r="E1503" t="s">
        <v>120</v>
      </c>
      <c r="F1503" t="s">
        <v>34</v>
      </c>
      <c r="G1503" t="s">
        <v>47</v>
      </c>
      <c r="H1503" t="s">
        <v>2326</v>
      </c>
      <c r="I1503" s="7">
        <v>258.07</v>
      </c>
      <c r="J1503" s="8">
        <v>3</v>
      </c>
      <c r="K1503" s="7">
        <v>0</v>
      </c>
    </row>
    <row r="1504" spans="1:11" x14ac:dyDescent="0.3">
      <c r="A1504" s="2">
        <v>42921</v>
      </c>
      <c r="B1504" s="9">
        <f>MONTH(Table1[[#This Row],[Order Date]])</f>
        <v>7</v>
      </c>
      <c r="C1504" s="9">
        <f>YEAR(Table1[[#This Row],[Order Date]])</f>
        <v>2017</v>
      </c>
      <c r="D1504" t="s">
        <v>1862</v>
      </c>
      <c r="E1504" t="s">
        <v>108</v>
      </c>
      <c r="F1504" t="s">
        <v>34</v>
      </c>
      <c r="G1504" t="s">
        <v>35</v>
      </c>
      <c r="H1504" t="s">
        <v>1594</v>
      </c>
      <c r="I1504" s="7">
        <v>26.64</v>
      </c>
      <c r="J1504" s="8">
        <v>1</v>
      </c>
      <c r="K1504" s="7">
        <v>7.46</v>
      </c>
    </row>
    <row r="1505" spans="1:11" x14ac:dyDescent="0.3">
      <c r="A1505" s="2">
        <v>42921</v>
      </c>
      <c r="B1505" s="9">
        <f>MONTH(Table1[[#This Row],[Order Date]])</f>
        <v>7</v>
      </c>
      <c r="C1505" s="9">
        <f>YEAR(Table1[[#This Row],[Order Date]])</f>
        <v>2017</v>
      </c>
      <c r="D1505" t="s">
        <v>1862</v>
      </c>
      <c r="E1505" t="s">
        <v>108</v>
      </c>
      <c r="F1505" t="s">
        <v>11</v>
      </c>
      <c r="G1505" t="s">
        <v>92</v>
      </c>
      <c r="H1505" t="s">
        <v>1776</v>
      </c>
      <c r="I1505" s="7">
        <v>87.44</v>
      </c>
      <c r="J1505" s="8">
        <v>2</v>
      </c>
      <c r="K1505" s="7">
        <v>18.46</v>
      </c>
    </row>
    <row r="1506" spans="1:11" x14ac:dyDescent="0.3">
      <c r="A1506" s="2">
        <v>42921</v>
      </c>
      <c r="B1506" s="9">
        <f>MONTH(Table1[[#This Row],[Order Date]])</f>
        <v>7</v>
      </c>
      <c r="C1506" s="9">
        <f>YEAR(Table1[[#This Row],[Order Date]])</f>
        <v>2017</v>
      </c>
      <c r="D1506" t="s">
        <v>771</v>
      </c>
      <c r="E1506" t="s">
        <v>27</v>
      </c>
      <c r="F1506" t="s">
        <v>39</v>
      </c>
      <c r="G1506" t="s">
        <v>40</v>
      </c>
      <c r="H1506" t="s">
        <v>2533</v>
      </c>
      <c r="I1506" s="7">
        <v>419.94</v>
      </c>
      <c r="J1506" s="8">
        <v>7</v>
      </c>
      <c r="K1506" s="7">
        <v>52.49</v>
      </c>
    </row>
    <row r="1507" spans="1:11" x14ac:dyDescent="0.3">
      <c r="A1507" s="2">
        <v>42923</v>
      </c>
      <c r="B1507" s="9">
        <f>MONTH(Table1[[#This Row],[Order Date]])</f>
        <v>7</v>
      </c>
      <c r="C1507" s="9">
        <f>YEAR(Table1[[#This Row],[Order Date]])</f>
        <v>2017</v>
      </c>
      <c r="D1507" t="s">
        <v>1705</v>
      </c>
      <c r="E1507" t="s">
        <v>23</v>
      </c>
      <c r="F1507" t="s">
        <v>34</v>
      </c>
      <c r="G1507" t="s">
        <v>74</v>
      </c>
      <c r="H1507" t="s">
        <v>1978</v>
      </c>
      <c r="I1507" s="7">
        <v>87.21</v>
      </c>
      <c r="J1507" s="8">
        <v>3</v>
      </c>
      <c r="K1507" s="7">
        <v>-45.35</v>
      </c>
    </row>
    <row r="1508" spans="1:11" x14ac:dyDescent="0.3">
      <c r="A1508" s="2">
        <v>42923</v>
      </c>
      <c r="B1508" s="9">
        <f>MONTH(Table1[[#This Row],[Order Date]])</f>
        <v>7</v>
      </c>
      <c r="C1508" s="9">
        <f>YEAR(Table1[[#This Row],[Order Date]])</f>
        <v>2017</v>
      </c>
      <c r="D1508" t="s">
        <v>1705</v>
      </c>
      <c r="E1508" t="s">
        <v>23</v>
      </c>
      <c r="F1508" t="s">
        <v>39</v>
      </c>
      <c r="G1508" t="s">
        <v>40</v>
      </c>
      <c r="H1508" t="s">
        <v>994</v>
      </c>
      <c r="I1508" s="7">
        <v>683.99</v>
      </c>
      <c r="J1508" s="8">
        <v>2</v>
      </c>
      <c r="K1508" s="7">
        <v>-114</v>
      </c>
    </row>
    <row r="1509" spans="1:11" x14ac:dyDescent="0.3">
      <c r="A1509" s="2">
        <v>42923</v>
      </c>
      <c r="B1509" s="9">
        <f>MONTH(Table1[[#This Row],[Order Date]])</f>
        <v>7</v>
      </c>
      <c r="C1509" s="9">
        <f>YEAR(Table1[[#This Row],[Order Date]])</f>
        <v>2017</v>
      </c>
      <c r="D1509" t="s">
        <v>1705</v>
      </c>
      <c r="E1509" t="s">
        <v>23</v>
      </c>
      <c r="F1509" t="s">
        <v>11</v>
      </c>
      <c r="G1509" t="s">
        <v>18</v>
      </c>
      <c r="H1509" t="s">
        <v>2665</v>
      </c>
      <c r="I1509" s="7">
        <v>13.39</v>
      </c>
      <c r="J1509" s="8">
        <v>3</v>
      </c>
      <c r="K1509" s="7">
        <v>1</v>
      </c>
    </row>
    <row r="1510" spans="1:11" x14ac:dyDescent="0.3">
      <c r="A1510" s="2">
        <v>42923</v>
      </c>
      <c r="B1510" s="9">
        <f>MONTH(Table1[[#This Row],[Order Date]])</f>
        <v>7</v>
      </c>
      <c r="C1510" s="9">
        <f>YEAR(Table1[[#This Row],[Order Date]])</f>
        <v>2017</v>
      </c>
      <c r="D1510" t="s">
        <v>1705</v>
      </c>
      <c r="E1510" t="s">
        <v>23</v>
      </c>
      <c r="F1510" t="s">
        <v>39</v>
      </c>
      <c r="G1510" t="s">
        <v>52</v>
      </c>
      <c r="H1510" t="s">
        <v>1743</v>
      </c>
      <c r="I1510" s="7">
        <v>527.91999999999996</v>
      </c>
      <c r="J1510" s="8">
        <v>2</v>
      </c>
      <c r="K1510" s="7">
        <v>85.79</v>
      </c>
    </row>
    <row r="1511" spans="1:11" x14ac:dyDescent="0.3">
      <c r="A1511" s="2">
        <v>42924</v>
      </c>
      <c r="B1511" s="9">
        <f>MONTH(Table1[[#This Row],[Order Date]])</f>
        <v>7</v>
      </c>
      <c r="C1511" s="9">
        <f>YEAR(Table1[[#This Row],[Order Date]])</f>
        <v>2017</v>
      </c>
      <c r="D1511" t="s">
        <v>2152</v>
      </c>
      <c r="E1511" t="s">
        <v>144</v>
      </c>
      <c r="F1511" t="s">
        <v>11</v>
      </c>
      <c r="G1511" t="s">
        <v>24</v>
      </c>
      <c r="H1511" t="s">
        <v>2159</v>
      </c>
      <c r="I1511" s="7">
        <v>11.68</v>
      </c>
      <c r="J1511" s="8">
        <v>2</v>
      </c>
      <c r="K1511" s="7">
        <v>5.49</v>
      </c>
    </row>
    <row r="1512" spans="1:11" x14ac:dyDescent="0.3">
      <c r="A1512" s="2">
        <v>42924</v>
      </c>
      <c r="B1512" s="9">
        <f>MONTH(Table1[[#This Row],[Order Date]])</f>
        <v>7</v>
      </c>
      <c r="C1512" s="9">
        <f>YEAR(Table1[[#This Row],[Order Date]])</f>
        <v>2017</v>
      </c>
      <c r="D1512" t="s">
        <v>490</v>
      </c>
      <c r="E1512" t="s">
        <v>27</v>
      </c>
      <c r="F1512" t="s">
        <v>11</v>
      </c>
      <c r="G1512" t="s">
        <v>20</v>
      </c>
      <c r="H1512" t="s">
        <v>2247</v>
      </c>
      <c r="I1512" s="7">
        <v>13.76</v>
      </c>
      <c r="J1512" s="8">
        <v>2</v>
      </c>
      <c r="K1512" s="7">
        <v>4.6399999999999997</v>
      </c>
    </row>
    <row r="1513" spans="1:11" x14ac:dyDescent="0.3">
      <c r="A1513" s="2">
        <v>42924</v>
      </c>
      <c r="B1513" s="9">
        <f>MONTH(Table1[[#This Row],[Order Date]])</f>
        <v>7</v>
      </c>
      <c r="C1513" s="9">
        <f>YEAR(Table1[[#This Row],[Order Date]])</f>
        <v>2017</v>
      </c>
      <c r="D1513" t="s">
        <v>1580</v>
      </c>
      <c r="E1513" t="s">
        <v>27</v>
      </c>
      <c r="F1513" t="s">
        <v>39</v>
      </c>
      <c r="G1513" t="s">
        <v>40</v>
      </c>
      <c r="H1513" t="s">
        <v>305</v>
      </c>
      <c r="I1513" s="7">
        <v>707.88</v>
      </c>
      <c r="J1513" s="8">
        <v>3</v>
      </c>
      <c r="K1513" s="7">
        <v>44.24</v>
      </c>
    </row>
    <row r="1514" spans="1:11" x14ac:dyDescent="0.3">
      <c r="A1514" s="2">
        <v>42924</v>
      </c>
      <c r="B1514" s="9">
        <f>MONTH(Table1[[#This Row],[Order Date]])</f>
        <v>7</v>
      </c>
      <c r="C1514" s="9">
        <f>YEAR(Table1[[#This Row],[Order Date]])</f>
        <v>2017</v>
      </c>
      <c r="D1514" t="s">
        <v>1580</v>
      </c>
      <c r="E1514" t="s">
        <v>27</v>
      </c>
      <c r="F1514" t="s">
        <v>34</v>
      </c>
      <c r="G1514" t="s">
        <v>35</v>
      </c>
      <c r="H1514" t="s">
        <v>2693</v>
      </c>
      <c r="I1514" s="7">
        <v>207.18</v>
      </c>
      <c r="J1514" s="8">
        <v>1</v>
      </c>
      <c r="K1514" s="7">
        <v>25.9</v>
      </c>
    </row>
    <row r="1515" spans="1:11" x14ac:dyDescent="0.3">
      <c r="A1515" s="2">
        <v>42925</v>
      </c>
      <c r="B1515" s="9">
        <f>MONTH(Table1[[#This Row],[Order Date]])</f>
        <v>7</v>
      </c>
      <c r="C1515" s="9">
        <f>YEAR(Table1[[#This Row],[Order Date]])</f>
        <v>2017</v>
      </c>
      <c r="D1515" t="s">
        <v>586</v>
      </c>
      <c r="E1515" t="s">
        <v>287</v>
      </c>
      <c r="F1515" t="s">
        <v>34</v>
      </c>
      <c r="G1515" t="s">
        <v>47</v>
      </c>
      <c r="H1515" t="s">
        <v>203</v>
      </c>
      <c r="I1515" s="7">
        <v>25.16</v>
      </c>
      <c r="J1515" s="8">
        <v>2</v>
      </c>
      <c r="K1515" s="7">
        <v>10.57</v>
      </c>
    </row>
    <row r="1516" spans="1:11" x14ac:dyDescent="0.3">
      <c r="A1516" s="2">
        <v>42925</v>
      </c>
      <c r="B1516" s="9">
        <f>MONTH(Table1[[#This Row],[Order Date]])</f>
        <v>7</v>
      </c>
      <c r="C1516" s="9">
        <f>YEAR(Table1[[#This Row],[Order Date]])</f>
        <v>2017</v>
      </c>
      <c r="D1516" t="s">
        <v>586</v>
      </c>
      <c r="E1516" t="s">
        <v>287</v>
      </c>
      <c r="F1516" t="s">
        <v>39</v>
      </c>
      <c r="G1516" t="s">
        <v>40</v>
      </c>
      <c r="H1516" t="s">
        <v>2329</v>
      </c>
      <c r="I1516" s="7">
        <v>126.56</v>
      </c>
      <c r="J1516" s="8">
        <v>4</v>
      </c>
      <c r="K1516" s="7">
        <v>47.46</v>
      </c>
    </row>
    <row r="1517" spans="1:11" x14ac:dyDescent="0.3">
      <c r="A1517" s="2">
        <v>42925</v>
      </c>
      <c r="B1517" s="9">
        <f>MONTH(Table1[[#This Row],[Order Date]])</f>
        <v>7</v>
      </c>
      <c r="C1517" s="9">
        <f>YEAR(Table1[[#This Row],[Order Date]])</f>
        <v>2017</v>
      </c>
      <c r="D1517" t="s">
        <v>2528</v>
      </c>
      <c r="E1517" t="s">
        <v>158</v>
      </c>
      <c r="F1517" t="s">
        <v>11</v>
      </c>
      <c r="G1517" t="s">
        <v>24</v>
      </c>
      <c r="H1517" t="s">
        <v>2675</v>
      </c>
      <c r="I1517" s="7">
        <v>25.98</v>
      </c>
      <c r="J1517" s="8">
        <v>1</v>
      </c>
      <c r="K1517" s="7">
        <v>7.27</v>
      </c>
    </row>
    <row r="1518" spans="1:11" x14ac:dyDescent="0.3">
      <c r="A1518" s="2">
        <v>42926</v>
      </c>
      <c r="B1518" s="9">
        <f>MONTH(Table1[[#This Row],[Order Date]])</f>
        <v>7</v>
      </c>
      <c r="C1518" s="9">
        <f>YEAR(Table1[[#This Row],[Order Date]])</f>
        <v>2017</v>
      </c>
      <c r="D1518" t="s">
        <v>1612</v>
      </c>
      <c r="E1518" t="s">
        <v>10</v>
      </c>
      <c r="F1518" t="s">
        <v>11</v>
      </c>
      <c r="G1518" t="s">
        <v>20</v>
      </c>
      <c r="H1518" t="s">
        <v>813</v>
      </c>
      <c r="I1518" s="7">
        <v>4.24</v>
      </c>
      <c r="J1518" s="8">
        <v>5</v>
      </c>
      <c r="K1518" s="7">
        <v>-6.36</v>
      </c>
    </row>
    <row r="1519" spans="1:11" x14ac:dyDescent="0.3">
      <c r="A1519" s="2">
        <v>42927</v>
      </c>
      <c r="B1519" s="9">
        <f>MONTH(Table1[[#This Row],[Order Date]])</f>
        <v>7</v>
      </c>
      <c r="C1519" s="9">
        <f>YEAR(Table1[[#This Row],[Order Date]])</f>
        <v>2017</v>
      </c>
      <c r="D1519" t="s">
        <v>1712</v>
      </c>
      <c r="E1519" t="s">
        <v>144</v>
      </c>
      <c r="F1519" t="s">
        <v>39</v>
      </c>
      <c r="G1519" t="s">
        <v>52</v>
      </c>
      <c r="H1519" t="s">
        <v>1356</v>
      </c>
      <c r="I1519" s="7">
        <v>7.88</v>
      </c>
      <c r="J1519" s="8">
        <v>4</v>
      </c>
      <c r="K1519" s="7">
        <v>2.52</v>
      </c>
    </row>
    <row r="1520" spans="1:11" x14ac:dyDescent="0.3">
      <c r="A1520" s="2">
        <v>42928</v>
      </c>
      <c r="B1520" s="9">
        <f>MONTH(Table1[[#This Row],[Order Date]])</f>
        <v>7</v>
      </c>
      <c r="C1520" s="9">
        <f>YEAR(Table1[[#This Row],[Order Date]])</f>
        <v>2017</v>
      </c>
      <c r="D1520" t="s">
        <v>1314</v>
      </c>
      <c r="E1520" t="s">
        <v>15</v>
      </c>
      <c r="F1520" t="s">
        <v>11</v>
      </c>
      <c r="G1520" t="s">
        <v>20</v>
      </c>
      <c r="H1520" t="s">
        <v>1335</v>
      </c>
      <c r="I1520" s="7">
        <v>1889.99</v>
      </c>
      <c r="J1520" s="8">
        <v>5</v>
      </c>
      <c r="K1520" s="7">
        <v>-2929.48</v>
      </c>
    </row>
    <row r="1521" spans="1:11" x14ac:dyDescent="0.3">
      <c r="A1521" s="2">
        <v>42928</v>
      </c>
      <c r="B1521" s="9">
        <f>MONTH(Table1[[#This Row],[Order Date]])</f>
        <v>7</v>
      </c>
      <c r="C1521" s="9">
        <f>YEAR(Table1[[#This Row],[Order Date]])</f>
        <v>2017</v>
      </c>
      <c r="D1521" t="s">
        <v>776</v>
      </c>
      <c r="E1521" t="s">
        <v>322</v>
      </c>
      <c r="F1521" t="s">
        <v>11</v>
      </c>
      <c r="G1521" t="s">
        <v>92</v>
      </c>
      <c r="H1521" t="s">
        <v>2046</v>
      </c>
      <c r="I1521" s="7">
        <v>320.64</v>
      </c>
      <c r="J1521" s="8">
        <v>4</v>
      </c>
      <c r="K1521" s="7">
        <v>89.78</v>
      </c>
    </row>
    <row r="1522" spans="1:11" x14ac:dyDescent="0.3">
      <c r="A1522" s="2">
        <v>42928</v>
      </c>
      <c r="B1522" s="9">
        <f>MONTH(Table1[[#This Row],[Order Date]])</f>
        <v>7</v>
      </c>
      <c r="C1522" s="9">
        <f>YEAR(Table1[[#This Row],[Order Date]])</f>
        <v>2017</v>
      </c>
      <c r="D1522" t="s">
        <v>1521</v>
      </c>
      <c r="E1522" t="s">
        <v>27</v>
      </c>
      <c r="F1522" t="s">
        <v>11</v>
      </c>
      <c r="G1522" t="s">
        <v>12</v>
      </c>
      <c r="H1522" t="s">
        <v>132</v>
      </c>
      <c r="I1522" s="7">
        <v>50.04</v>
      </c>
      <c r="J1522" s="8">
        <v>6</v>
      </c>
      <c r="K1522" s="7">
        <v>25.02</v>
      </c>
    </row>
    <row r="1523" spans="1:11" x14ac:dyDescent="0.3">
      <c r="A1523" s="2">
        <v>42950</v>
      </c>
      <c r="B1523" s="9">
        <f>MONTH(Table1[[#This Row],[Order Date]])</f>
        <v>8</v>
      </c>
      <c r="C1523" s="9">
        <f>YEAR(Table1[[#This Row],[Order Date]])</f>
        <v>2017</v>
      </c>
      <c r="D1523" t="s">
        <v>2118</v>
      </c>
      <c r="E1523" t="s">
        <v>30</v>
      </c>
      <c r="F1523" t="s">
        <v>11</v>
      </c>
      <c r="G1523" t="s">
        <v>92</v>
      </c>
      <c r="H1523" t="s">
        <v>2645</v>
      </c>
      <c r="I1523" s="7">
        <v>647.84</v>
      </c>
      <c r="J1523" s="8">
        <v>8</v>
      </c>
      <c r="K1523" s="7">
        <v>168.44</v>
      </c>
    </row>
    <row r="1524" spans="1:11" x14ac:dyDescent="0.3">
      <c r="A1524" s="2">
        <v>42950</v>
      </c>
      <c r="B1524" s="9">
        <f>MONTH(Table1[[#This Row],[Order Date]])</f>
        <v>8</v>
      </c>
      <c r="C1524" s="9">
        <f>YEAR(Table1[[#This Row],[Order Date]])</f>
        <v>2017</v>
      </c>
      <c r="D1524" t="s">
        <v>2118</v>
      </c>
      <c r="E1524" t="s">
        <v>30</v>
      </c>
      <c r="F1524" t="s">
        <v>11</v>
      </c>
      <c r="G1524" t="s">
        <v>16</v>
      </c>
      <c r="H1524" t="s">
        <v>1664</v>
      </c>
      <c r="I1524" s="7">
        <v>20.7</v>
      </c>
      <c r="J1524" s="8">
        <v>2</v>
      </c>
      <c r="K1524" s="7">
        <v>9.94</v>
      </c>
    </row>
    <row r="1525" spans="1:11" x14ac:dyDescent="0.3">
      <c r="A1525" s="2">
        <v>42950</v>
      </c>
      <c r="B1525" s="9">
        <f>MONTH(Table1[[#This Row],[Order Date]])</f>
        <v>8</v>
      </c>
      <c r="C1525" s="9">
        <f>YEAR(Table1[[#This Row],[Order Date]])</f>
        <v>2017</v>
      </c>
      <c r="D1525" t="s">
        <v>1676</v>
      </c>
      <c r="E1525" t="s">
        <v>27</v>
      </c>
      <c r="F1525" t="s">
        <v>11</v>
      </c>
      <c r="G1525" t="s">
        <v>24</v>
      </c>
      <c r="H1525" t="s">
        <v>2211</v>
      </c>
      <c r="I1525" s="7">
        <v>3.36</v>
      </c>
      <c r="J1525" s="8">
        <v>2</v>
      </c>
      <c r="K1525" s="7">
        <v>0.87</v>
      </c>
    </row>
    <row r="1526" spans="1:11" x14ac:dyDescent="0.3">
      <c r="A1526" s="2">
        <v>42953</v>
      </c>
      <c r="B1526" s="9">
        <f>MONTH(Table1[[#This Row],[Order Date]])</f>
        <v>8</v>
      </c>
      <c r="C1526" s="9">
        <f>YEAR(Table1[[#This Row],[Order Date]])</f>
        <v>2017</v>
      </c>
      <c r="D1526" t="s">
        <v>397</v>
      </c>
      <c r="E1526" t="s">
        <v>10</v>
      </c>
      <c r="F1526" t="s">
        <v>11</v>
      </c>
      <c r="G1526" t="s">
        <v>92</v>
      </c>
      <c r="H1526" t="s">
        <v>2673</v>
      </c>
      <c r="I1526" s="7">
        <v>1.62</v>
      </c>
      <c r="J1526" s="8">
        <v>2</v>
      </c>
      <c r="K1526" s="7">
        <v>-4.47</v>
      </c>
    </row>
    <row r="1527" spans="1:11" x14ac:dyDescent="0.3">
      <c r="A1527" s="2">
        <v>42953</v>
      </c>
      <c r="B1527" s="9">
        <f>MONTH(Table1[[#This Row],[Order Date]])</f>
        <v>8</v>
      </c>
      <c r="C1527" s="9">
        <f>YEAR(Table1[[#This Row],[Order Date]])</f>
        <v>2017</v>
      </c>
      <c r="D1527" t="s">
        <v>1532</v>
      </c>
      <c r="E1527" t="s">
        <v>10</v>
      </c>
      <c r="F1527" t="s">
        <v>11</v>
      </c>
      <c r="G1527" t="s">
        <v>194</v>
      </c>
      <c r="H1527" t="s">
        <v>2162</v>
      </c>
      <c r="I1527" s="7">
        <v>23.76</v>
      </c>
      <c r="J1527" s="8">
        <v>3</v>
      </c>
      <c r="K1527" s="7">
        <v>2.08</v>
      </c>
    </row>
    <row r="1528" spans="1:11" x14ac:dyDescent="0.3">
      <c r="A1528" s="2">
        <v>42953</v>
      </c>
      <c r="B1528" s="9">
        <f>MONTH(Table1[[#This Row],[Order Date]])</f>
        <v>8</v>
      </c>
      <c r="C1528" s="9">
        <f>YEAR(Table1[[#This Row],[Order Date]])</f>
        <v>2017</v>
      </c>
      <c r="D1528" t="s">
        <v>1532</v>
      </c>
      <c r="E1528" t="s">
        <v>10</v>
      </c>
      <c r="F1528" t="s">
        <v>39</v>
      </c>
      <c r="G1528" t="s">
        <v>40</v>
      </c>
      <c r="H1528" t="s">
        <v>2252</v>
      </c>
      <c r="I1528" s="7">
        <v>381.58</v>
      </c>
      <c r="J1528" s="8">
        <v>3</v>
      </c>
      <c r="K1528" s="7">
        <v>28.62</v>
      </c>
    </row>
    <row r="1529" spans="1:11" x14ac:dyDescent="0.3">
      <c r="A1529" s="2">
        <v>42953</v>
      </c>
      <c r="B1529" s="9">
        <f>MONTH(Table1[[#This Row],[Order Date]])</f>
        <v>8</v>
      </c>
      <c r="C1529" s="9">
        <f>YEAR(Table1[[#This Row],[Order Date]])</f>
        <v>2017</v>
      </c>
      <c r="D1529" t="s">
        <v>789</v>
      </c>
      <c r="E1529" t="s">
        <v>95</v>
      </c>
      <c r="F1529" t="s">
        <v>11</v>
      </c>
      <c r="G1529" t="s">
        <v>20</v>
      </c>
      <c r="H1529" t="s">
        <v>2223</v>
      </c>
      <c r="I1529" s="7">
        <v>72.59</v>
      </c>
      <c r="J1529" s="8">
        <v>2</v>
      </c>
      <c r="K1529" s="7">
        <v>-48.39</v>
      </c>
    </row>
    <row r="1530" spans="1:11" x14ac:dyDescent="0.3">
      <c r="A1530" s="2">
        <v>42954</v>
      </c>
      <c r="B1530" s="9">
        <f>MONTH(Table1[[#This Row],[Order Date]])</f>
        <v>8</v>
      </c>
      <c r="C1530" s="9">
        <f>YEAR(Table1[[#This Row],[Order Date]])</f>
        <v>2017</v>
      </c>
      <c r="D1530" t="s">
        <v>670</v>
      </c>
      <c r="E1530" t="s">
        <v>422</v>
      </c>
      <c r="F1530" t="s">
        <v>11</v>
      </c>
      <c r="G1530" t="s">
        <v>24</v>
      </c>
      <c r="H1530" t="s">
        <v>349</v>
      </c>
      <c r="I1530" s="7">
        <v>7.56</v>
      </c>
      <c r="J1530" s="8">
        <v>3</v>
      </c>
      <c r="K1530" s="7">
        <v>3.1</v>
      </c>
    </row>
    <row r="1531" spans="1:11" x14ac:dyDescent="0.3">
      <c r="A1531" s="2">
        <v>42954</v>
      </c>
      <c r="B1531" s="9">
        <f>MONTH(Table1[[#This Row],[Order Date]])</f>
        <v>8</v>
      </c>
      <c r="C1531" s="9">
        <f>YEAR(Table1[[#This Row],[Order Date]])</f>
        <v>2017</v>
      </c>
      <c r="D1531" t="s">
        <v>1069</v>
      </c>
      <c r="E1531" t="s">
        <v>27</v>
      </c>
      <c r="F1531" t="s">
        <v>11</v>
      </c>
      <c r="G1531" t="s">
        <v>16</v>
      </c>
      <c r="H1531" t="s">
        <v>1001</v>
      </c>
      <c r="I1531" s="7">
        <v>75.180000000000007</v>
      </c>
      <c r="J1531" s="8">
        <v>6</v>
      </c>
      <c r="K1531" s="7">
        <v>35.33</v>
      </c>
    </row>
    <row r="1532" spans="1:11" x14ac:dyDescent="0.3">
      <c r="A1532" s="2">
        <v>42954</v>
      </c>
      <c r="B1532" s="9">
        <f>MONTH(Table1[[#This Row],[Order Date]])</f>
        <v>8</v>
      </c>
      <c r="C1532" s="9">
        <f>YEAR(Table1[[#This Row],[Order Date]])</f>
        <v>2017</v>
      </c>
      <c r="D1532" t="s">
        <v>2404</v>
      </c>
      <c r="E1532" t="s">
        <v>59</v>
      </c>
      <c r="F1532" t="s">
        <v>34</v>
      </c>
      <c r="G1532" t="s">
        <v>47</v>
      </c>
      <c r="H1532" t="s">
        <v>934</v>
      </c>
      <c r="I1532" s="7">
        <v>39.979999999999997</v>
      </c>
      <c r="J1532" s="8">
        <v>2</v>
      </c>
      <c r="K1532" s="7">
        <v>9.1999999999999993</v>
      </c>
    </row>
    <row r="1533" spans="1:11" x14ac:dyDescent="0.3">
      <c r="A1533" s="2">
        <v>42954</v>
      </c>
      <c r="B1533" s="9">
        <f>MONTH(Table1[[#This Row],[Order Date]])</f>
        <v>8</v>
      </c>
      <c r="C1533" s="9">
        <f>YEAR(Table1[[#This Row],[Order Date]])</f>
        <v>2017</v>
      </c>
      <c r="D1533" t="s">
        <v>2404</v>
      </c>
      <c r="E1533" t="s">
        <v>59</v>
      </c>
      <c r="F1533" t="s">
        <v>11</v>
      </c>
      <c r="G1533" t="s">
        <v>24</v>
      </c>
      <c r="H1533" t="s">
        <v>1493</v>
      </c>
      <c r="I1533" s="7">
        <v>28.91</v>
      </c>
      <c r="J1533" s="8">
        <v>7</v>
      </c>
      <c r="K1533" s="7">
        <v>8.67</v>
      </c>
    </row>
    <row r="1534" spans="1:11" x14ac:dyDescent="0.3">
      <c r="A1534" s="2">
        <v>42956</v>
      </c>
      <c r="B1534" s="9">
        <f>MONTH(Table1[[#This Row],[Order Date]])</f>
        <v>8</v>
      </c>
      <c r="C1534" s="9">
        <f>YEAR(Table1[[#This Row],[Order Date]])</f>
        <v>2017</v>
      </c>
      <c r="D1534" t="s">
        <v>543</v>
      </c>
      <c r="E1534" t="s">
        <v>78</v>
      </c>
      <c r="F1534" t="s">
        <v>39</v>
      </c>
      <c r="G1534" t="s">
        <v>52</v>
      </c>
      <c r="H1534" t="s">
        <v>375</v>
      </c>
      <c r="I1534" s="7">
        <v>9.1</v>
      </c>
      <c r="J1534" s="8">
        <v>1</v>
      </c>
      <c r="K1534" s="7">
        <v>1.71</v>
      </c>
    </row>
    <row r="1535" spans="1:11" x14ac:dyDescent="0.3">
      <c r="A1535" s="2">
        <v>42956</v>
      </c>
      <c r="B1535" s="9">
        <f>MONTH(Table1[[#This Row],[Order Date]])</f>
        <v>8</v>
      </c>
      <c r="C1535" s="9">
        <f>YEAR(Table1[[#This Row],[Order Date]])</f>
        <v>2017</v>
      </c>
      <c r="D1535" t="s">
        <v>1824</v>
      </c>
      <c r="E1535" t="s">
        <v>10</v>
      </c>
      <c r="F1535" t="s">
        <v>39</v>
      </c>
      <c r="G1535" t="s">
        <v>52</v>
      </c>
      <c r="H1535" t="s">
        <v>1939</v>
      </c>
      <c r="I1535" s="7">
        <v>85.2</v>
      </c>
      <c r="J1535" s="8">
        <v>6</v>
      </c>
      <c r="K1535" s="7">
        <v>20.239999999999998</v>
      </c>
    </row>
    <row r="1536" spans="1:11" x14ac:dyDescent="0.3">
      <c r="A1536" s="2">
        <v>42958</v>
      </c>
      <c r="B1536" s="9">
        <f>MONTH(Table1[[#This Row],[Order Date]])</f>
        <v>8</v>
      </c>
      <c r="C1536" s="9">
        <f>YEAR(Table1[[#This Row],[Order Date]])</f>
        <v>2017</v>
      </c>
      <c r="D1536" t="s">
        <v>796</v>
      </c>
      <c r="E1536" t="s">
        <v>144</v>
      </c>
      <c r="F1536" t="s">
        <v>11</v>
      </c>
      <c r="G1536" t="s">
        <v>24</v>
      </c>
      <c r="H1536" t="s">
        <v>2718</v>
      </c>
      <c r="I1536" s="7">
        <v>109.9</v>
      </c>
      <c r="J1536" s="8">
        <v>5</v>
      </c>
      <c r="K1536" s="7">
        <v>32.97</v>
      </c>
    </row>
    <row r="1537" spans="1:11" x14ac:dyDescent="0.3">
      <c r="A1537" s="2">
        <v>42958</v>
      </c>
      <c r="B1537" s="9">
        <f>MONTH(Table1[[#This Row],[Order Date]])</f>
        <v>8</v>
      </c>
      <c r="C1537" s="9">
        <f>YEAR(Table1[[#This Row],[Order Date]])</f>
        <v>2017</v>
      </c>
      <c r="D1537" t="s">
        <v>504</v>
      </c>
      <c r="E1537" t="s">
        <v>517</v>
      </c>
      <c r="F1537" t="s">
        <v>34</v>
      </c>
      <c r="G1537" t="s">
        <v>47</v>
      </c>
      <c r="H1537" t="s">
        <v>2204</v>
      </c>
      <c r="I1537" s="7">
        <v>274.2</v>
      </c>
      <c r="J1537" s="8">
        <v>10</v>
      </c>
      <c r="K1537" s="7">
        <v>112.42</v>
      </c>
    </row>
    <row r="1538" spans="1:11" x14ac:dyDescent="0.3">
      <c r="A1538" s="2">
        <v>42959</v>
      </c>
      <c r="B1538" s="9">
        <f>MONTH(Table1[[#This Row],[Order Date]])</f>
        <v>8</v>
      </c>
      <c r="C1538" s="9">
        <f>YEAR(Table1[[#This Row],[Order Date]])</f>
        <v>2017</v>
      </c>
      <c r="D1538" t="s">
        <v>1097</v>
      </c>
      <c r="E1538" t="s">
        <v>27</v>
      </c>
      <c r="F1538" t="s">
        <v>11</v>
      </c>
      <c r="G1538" t="s">
        <v>12</v>
      </c>
      <c r="H1538" t="s">
        <v>106</v>
      </c>
      <c r="I1538" s="7">
        <v>9.68</v>
      </c>
      <c r="J1538" s="8">
        <v>1</v>
      </c>
      <c r="K1538" s="7">
        <v>4.6500000000000004</v>
      </c>
    </row>
    <row r="1539" spans="1:11" x14ac:dyDescent="0.3">
      <c r="A1539" s="2">
        <v>42959</v>
      </c>
      <c r="B1539" s="9">
        <f>MONTH(Table1[[#This Row],[Order Date]])</f>
        <v>8</v>
      </c>
      <c r="C1539" s="9">
        <f>YEAR(Table1[[#This Row],[Order Date]])</f>
        <v>2017</v>
      </c>
      <c r="D1539" t="s">
        <v>85</v>
      </c>
      <c r="E1539" t="s">
        <v>144</v>
      </c>
      <c r="F1539" t="s">
        <v>34</v>
      </c>
      <c r="G1539" t="s">
        <v>47</v>
      </c>
      <c r="H1539" t="s">
        <v>1311</v>
      </c>
      <c r="I1539" s="7">
        <v>109.48</v>
      </c>
      <c r="J1539" s="8">
        <v>2</v>
      </c>
      <c r="K1539" s="7">
        <v>33.94</v>
      </c>
    </row>
    <row r="1540" spans="1:11" x14ac:dyDescent="0.3">
      <c r="A1540" s="2">
        <v>42959</v>
      </c>
      <c r="B1540" s="9">
        <f>MONTH(Table1[[#This Row],[Order Date]])</f>
        <v>8</v>
      </c>
      <c r="C1540" s="9">
        <f>YEAR(Table1[[#This Row],[Order Date]])</f>
        <v>2017</v>
      </c>
      <c r="D1540" t="s">
        <v>85</v>
      </c>
      <c r="E1540" t="s">
        <v>144</v>
      </c>
      <c r="F1540" t="s">
        <v>11</v>
      </c>
      <c r="G1540" t="s">
        <v>18</v>
      </c>
      <c r="H1540" t="s">
        <v>817</v>
      </c>
      <c r="I1540" s="7">
        <v>272.94</v>
      </c>
      <c r="J1540" s="8">
        <v>3</v>
      </c>
      <c r="K1540" s="7">
        <v>0</v>
      </c>
    </row>
    <row r="1541" spans="1:11" x14ac:dyDescent="0.3">
      <c r="A1541" s="2">
        <v>42959</v>
      </c>
      <c r="B1541" s="9">
        <f>MONTH(Table1[[#This Row],[Order Date]])</f>
        <v>8</v>
      </c>
      <c r="C1541" s="9">
        <f>YEAR(Table1[[#This Row],[Order Date]])</f>
        <v>2017</v>
      </c>
      <c r="D1541" t="s">
        <v>1003</v>
      </c>
      <c r="E1541" t="s">
        <v>27</v>
      </c>
      <c r="F1541" t="s">
        <v>34</v>
      </c>
      <c r="G1541" t="s">
        <v>47</v>
      </c>
      <c r="H1541" t="s">
        <v>2051</v>
      </c>
      <c r="I1541" s="7">
        <v>128.9</v>
      </c>
      <c r="J1541" s="8">
        <v>2</v>
      </c>
      <c r="K1541" s="7">
        <v>15.47</v>
      </c>
    </row>
    <row r="1542" spans="1:11" x14ac:dyDescent="0.3">
      <c r="A1542" s="2">
        <v>42959</v>
      </c>
      <c r="B1542" s="9">
        <f>MONTH(Table1[[#This Row],[Order Date]])</f>
        <v>8</v>
      </c>
      <c r="C1542" s="9">
        <f>YEAR(Table1[[#This Row],[Order Date]])</f>
        <v>2017</v>
      </c>
      <c r="D1542" t="s">
        <v>1003</v>
      </c>
      <c r="E1542" t="s">
        <v>27</v>
      </c>
      <c r="F1542" t="s">
        <v>11</v>
      </c>
      <c r="G1542" t="s">
        <v>12</v>
      </c>
      <c r="H1542" t="s">
        <v>2571</v>
      </c>
      <c r="I1542" s="7">
        <v>60.12</v>
      </c>
      <c r="J1542" s="8">
        <v>9</v>
      </c>
      <c r="K1542" s="7">
        <v>28.86</v>
      </c>
    </row>
    <row r="1543" spans="1:11" x14ac:dyDescent="0.3">
      <c r="A1543" s="2">
        <v>42959</v>
      </c>
      <c r="B1543" s="9">
        <f>MONTH(Table1[[#This Row],[Order Date]])</f>
        <v>8</v>
      </c>
      <c r="C1543" s="9">
        <f>YEAR(Table1[[#This Row],[Order Date]])</f>
        <v>2017</v>
      </c>
      <c r="D1543" t="s">
        <v>1446</v>
      </c>
      <c r="E1543" t="s">
        <v>27</v>
      </c>
      <c r="F1543" t="s">
        <v>11</v>
      </c>
      <c r="G1543" t="s">
        <v>92</v>
      </c>
      <c r="H1543" t="s">
        <v>2669</v>
      </c>
      <c r="I1543" s="7">
        <v>69.48</v>
      </c>
      <c r="J1543" s="8">
        <v>1</v>
      </c>
      <c r="K1543" s="7">
        <v>20.84</v>
      </c>
    </row>
    <row r="1544" spans="1:11" x14ac:dyDescent="0.3">
      <c r="A1544" s="2">
        <v>42959</v>
      </c>
      <c r="B1544" s="9">
        <f>MONTH(Table1[[#This Row],[Order Date]])</f>
        <v>8</v>
      </c>
      <c r="C1544" s="9">
        <f>YEAR(Table1[[#This Row],[Order Date]])</f>
        <v>2017</v>
      </c>
      <c r="D1544" t="s">
        <v>1519</v>
      </c>
      <c r="E1544" t="s">
        <v>27</v>
      </c>
      <c r="F1544" t="s">
        <v>11</v>
      </c>
      <c r="G1544" t="s">
        <v>12</v>
      </c>
      <c r="H1544" t="s">
        <v>2459</v>
      </c>
      <c r="I1544" s="7">
        <v>87.92</v>
      </c>
      <c r="J1544" s="8">
        <v>4</v>
      </c>
      <c r="K1544" s="7">
        <v>40.44</v>
      </c>
    </row>
    <row r="1545" spans="1:11" x14ac:dyDescent="0.3">
      <c r="A1545" s="2">
        <v>42959</v>
      </c>
      <c r="B1545" s="9">
        <f>MONTH(Table1[[#This Row],[Order Date]])</f>
        <v>8</v>
      </c>
      <c r="C1545" s="9">
        <f>YEAR(Table1[[#This Row],[Order Date]])</f>
        <v>2017</v>
      </c>
      <c r="D1545" t="s">
        <v>2060</v>
      </c>
      <c r="E1545" t="s">
        <v>23</v>
      </c>
      <c r="F1545" t="s">
        <v>39</v>
      </c>
      <c r="G1545" t="s">
        <v>40</v>
      </c>
      <c r="H1545" t="s">
        <v>2540</v>
      </c>
      <c r="I1545" s="7">
        <v>83.99</v>
      </c>
      <c r="J1545" s="8">
        <v>2</v>
      </c>
      <c r="K1545" s="7">
        <v>-21</v>
      </c>
    </row>
    <row r="1546" spans="1:11" x14ac:dyDescent="0.3">
      <c r="A1546" s="2">
        <v>42980</v>
      </c>
      <c r="B1546" s="9">
        <f>MONTH(Table1[[#This Row],[Order Date]])</f>
        <v>9</v>
      </c>
      <c r="C1546" s="9">
        <f>YEAR(Table1[[#This Row],[Order Date]])</f>
        <v>2017</v>
      </c>
      <c r="D1546" t="s">
        <v>2325</v>
      </c>
      <c r="E1546" t="s">
        <v>10</v>
      </c>
      <c r="F1546" t="s">
        <v>34</v>
      </c>
      <c r="G1546" t="s">
        <v>47</v>
      </c>
      <c r="H1546" t="s">
        <v>829</v>
      </c>
      <c r="I1546" s="7">
        <v>3.98</v>
      </c>
      <c r="J1546" s="8">
        <v>2</v>
      </c>
      <c r="K1546" s="7">
        <v>-2.69</v>
      </c>
    </row>
    <row r="1547" spans="1:11" x14ac:dyDescent="0.3">
      <c r="A1547" s="2">
        <v>42982</v>
      </c>
      <c r="B1547" s="9">
        <f>MONTH(Table1[[#This Row],[Order Date]])</f>
        <v>9</v>
      </c>
      <c r="C1547" s="9">
        <f>YEAR(Table1[[#This Row],[Order Date]])</f>
        <v>2017</v>
      </c>
      <c r="D1547" t="s">
        <v>2224</v>
      </c>
      <c r="E1547" t="s">
        <v>144</v>
      </c>
      <c r="F1547" t="s">
        <v>11</v>
      </c>
      <c r="G1547" t="s">
        <v>16</v>
      </c>
      <c r="H1547" t="s">
        <v>2656</v>
      </c>
      <c r="I1547" s="7">
        <v>9.82</v>
      </c>
      <c r="J1547" s="8">
        <v>2</v>
      </c>
      <c r="K1547" s="7">
        <v>4.8099999999999996</v>
      </c>
    </row>
    <row r="1548" spans="1:11" x14ac:dyDescent="0.3">
      <c r="A1548" s="2">
        <v>42982</v>
      </c>
      <c r="B1548" s="9">
        <f>MONTH(Table1[[#This Row],[Order Date]])</f>
        <v>9</v>
      </c>
      <c r="C1548" s="9">
        <f>YEAR(Table1[[#This Row],[Order Date]])</f>
        <v>2017</v>
      </c>
      <c r="D1548" t="s">
        <v>2224</v>
      </c>
      <c r="E1548" t="s">
        <v>144</v>
      </c>
      <c r="F1548" t="s">
        <v>11</v>
      </c>
      <c r="G1548" t="s">
        <v>12</v>
      </c>
      <c r="H1548" t="s">
        <v>2657</v>
      </c>
      <c r="I1548" s="7">
        <v>191.6</v>
      </c>
      <c r="J1548" s="8">
        <v>4</v>
      </c>
      <c r="K1548" s="7">
        <v>91.97</v>
      </c>
    </row>
    <row r="1549" spans="1:11" x14ac:dyDescent="0.3">
      <c r="A1549" s="2">
        <v>42982</v>
      </c>
      <c r="B1549" s="9">
        <f>MONTH(Table1[[#This Row],[Order Date]])</f>
        <v>9</v>
      </c>
      <c r="C1549" s="9">
        <f>YEAR(Table1[[#This Row],[Order Date]])</f>
        <v>2017</v>
      </c>
      <c r="D1549" t="s">
        <v>2224</v>
      </c>
      <c r="E1549" t="s">
        <v>144</v>
      </c>
      <c r="F1549" t="s">
        <v>11</v>
      </c>
      <c r="G1549" t="s">
        <v>18</v>
      </c>
      <c r="H1549" t="s">
        <v>840</v>
      </c>
      <c r="I1549" s="7">
        <v>501.81</v>
      </c>
      <c r="J1549" s="8">
        <v>3</v>
      </c>
      <c r="K1549" s="7">
        <v>0</v>
      </c>
    </row>
    <row r="1550" spans="1:11" x14ac:dyDescent="0.3">
      <c r="A1550" s="2">
        <v>42982</v>
      </c>
      <c r="B1550" s="9">
        <f>MONTH(Table1[[#This Row],[Order Date]])</f>
        <v>9</v>
      </c>
      <c r="C1550" s="9">
        <f>YEAR(Table1[[#This Row],[Order Date]])</f>
        <v>2017</v>
      </c>
      <c r="D1550" t="s">
        <v>212</v>
      </c>
      <c r="E1550" t="s">
        <v>120</v>
      </c>
      <c r="F1550" t="s">
        <v>11</v>
      </c>
      <c r="G1550" t="s">
        <v>16</v>
      </c>
      <c r="H1550" t="s">
        <v>1374</v>
      </c>
      <c r="I1550" s="7">
        <v>15.12</v>
      </c>
      <c r="J1550" s="8">
        <v>3</v>
      </c>
      <c r="K1550" s="7">
        <v>4.91</v>
      </c>
    </row>
    <row r="1551" spans="1:11" x14ac:dyDescent="0.3">
      <c r="A1551" s="2">
        <v>42983</v>
      </c>
      <c r="B1551" s="9">
        <f>MONTH(Table1[[#This Row],[Order Date]])</f>
        <v>9</v>
      </c>
      <c r="C1551" s="9">
        <f>YEAR(Table1[[#This Row],[Order Date]])</f>
        <v>2017</v>
      </c>
      <c r="D1551" t="s">
        <v>549</v>
      </c>
      <c r="E1551" t="s">
        <v>158</v>
      </c>
      <c r="F1551" t="s">
        <v>11</v>
      </c>
      <c r="G1551" t="s">
        <v>18</v>
      </c>
      <c r="H1551" t="s">
        <v>2295</v>
      </c>
      <c r="I1551" s="7">
        <v>104.28</v>
      </c>
      <c r="J1551" s="8">
        <v>3</v>
      </c>
      <c r="K1551" s="7">
        <v>26.07</v>
      </c>
    </row>
    <row r="1552" spans="1:11" x14ac:dyDescent="0.3">
      <c r="A1552" s="2">
        <v>42987</v>
      </c>
      <c r="B1552" s="9">
        <f>MONTH(Table1[[#This Row],[Order Date]])</f>
        <v>9</v>
      </c>
      <c r="C1552" s="9">
        <f>YEAR(Table1[[#This Row],[Order Date]])</f>
        <v>2017</v>
      </c>
      <c r="D1552" t="s">
        <v>1221</v>
      </c>
      <c r="E1552" t="s">
        <v>23</v>
      </c>
      <c r="F1552" t="s">
        <v>39</v>
      </c>
      <c r="G1552" t="s">
        <v>40</v>
      </c>
      <c r="H1552" t="s">
        <v>2633</v>
      </c>
      <c r="I1552" s="7">
        <v>1931.96</v>
      </c>
      <c r="J1552" s="8">
        <v>7</v>
      </c>
      <c r="K1552" s="7">
        <v>-386.39</v>
      </c>
    </row>
    <row r="1553" spans="1:11" x14ac:dyDescent="0.3">
      <c r="A1553" s="2">
        <v>42987</v>
      </c>
      <c r="B1553" s="9">
        <f>MONTH(Table1[[#This Row],[Order Date]])</f>
        <v>9</v>
      </c>
      <c r="C1553" s="9">
        <f>YEAR(Table1[[#This Row],[Order Date]])</f>
        <v>2017</v>
      </c>
      <c r="D1553" t="s">
        <v>624</v>
      </c>
      <c r="E1553" t="s">
        <v>70</v>
      </c>
      <c r="F1553" t="s">
        <v>11</v>
      </c>
      <c r="G1553" t="s">
        <v>18</v>
      </c>
      <c r="H1553" t="s">
        <v>712</v>
      </c>
      <c r="I1553" s="7">
        <v>628.80999999999995</v>
      </c>
      <c r="J1553" s="8">
        <v>7</v>
      </c>
      <c r="K1553" s="7">
        <v>12.58</v>
      </c>
    </row>
    <row r="1554" spans="1:11" x14ac:dyDescent="0.3">
      <c r="A1554" s="2">
        <v>42987</v>
      </c>
      <c r="B1554" s="9">
        <f>MONTH(Table1[[#This Row],[Order Date]])</f>
        <v>9</v>
      </c>
      <c r="C1554" s="9">
        <f>YEAR(Table1[[#This Row],[Order Date]])</f>
        <v>2017</v>
      </c>
      <c r="D1554" t="s">
        <v>574</v>
      </c>
      <c r="E1554" t="s">
        <v>95</v>
      </c>
      <c r="F1554" t="s">
        <v>11</v>
      </c>
      <c r="G1554" t="s">
        <v>12</v>
      </c>
      <c r="H1554" t="s">
        <v>2651</v>
      </c>
      <c r="I1554" s="7">
        <v>6.37</v>
      </c>
      <c r="J1554" s="8">
        <v>2</v>
      </c>
      <c r="K1554" s="7">
        <v>2.39</v>
      </c>
    </row>
    <row r="1555" spans="1:11" x14ac:dyDescent="0.3">
      <c r="A1555" s="2">
        <v>42987</v>
      </c>
      <c r="B1555" s="9">
        <f>MONTH(Table1[[#This Row],[Order Date]])</f>
        <v>9</v>
      </c>
      <c r="C1555" s="9">
        <f>YEAR(Table1[[#This Row],[Order Date]])</f>
        <v>2017</v>
      </c>
      <c r="D1555" t="s">
        <v>149</v>
      </c>
      <c r="E1555" t="s">
        <v>27</v>
      </c>
      <c r="F1555" t="s">
        <v>11</v>
      </c>
      <c r="G1555" t="s">
        <v>24</v>
      </c>
      <c r="H1555" t="s">
        <v>310</v>
      </c>
      <c r="I1555" s="7">
        <v>6.56</v>
      </c>
      <c r="J1555" s="8">
        <v>2</v>
      </c>
      <c r="K1555" s="7">
        <v>1.9</v>
      </c>
    </row>
    <row r="1556" spans="1:11" x14ac:dyDescent="0.3">
      <c r="A1556" s="2">
        <v>42987</v>
      </c>
      <c r="B1556" s="9">
        <f>MONTH(Table1[[#This Row],[Order Date]])</f>
        <v>9</v>
      </c>
      <c r="C1556" s="9">
        <f>YEAR(Table1[[#This Row],[Order Date]])</f>
        <v>2017</v>
      </c>
      <c r="D1556" t="s">
        <v>341</v>
      </c>
      <c r="E1556" t="s">
        <v>27</v>
      </c>
      <c r="F1556" t="s">
        <v>39</v>
      </c>
      <c r="G1556" t="s">
        <v>52</v>
      </c>
      <c r="H1556" t="s">
        <v>2643</v>
      </c>
      <c r="I1556" s="7">
        <v>159.96</v>
      </c>
      <c r="J1556" s="8">
        <v>4</v>
      </c>
      <c r="K1556" s="7">
        <v>51.19</v>
      </c>
    </row>
    <row r="1557" spans="1:11" x14ac:dyDescent="0.3">
      <c r="A1557" s="2">
        <v>42987</v>
      </c>
      <c r="B1557" s="9">
        <f>MONTH(Table1[[#This Row],[Order Date]])</f>
        <v>9</v>
      </c>
      <c r="C1557" s="9">
        <f>YEAR(Table1[[#This Row],[Order Date]])</f>
        <v>2017</v>
      </c>
      <c r="D1557" t="s">
        <v>1400</v>
      </c>
      <c r="E1557" t="s">
        <v>78</v>
      </c>
      <c r="F1557" t="s">
        <v>11</v>
      </c>
      <c r="G1557" t="s">
        <v>20</v>
      </c>
      <c r="H1557" t="s">
        <v>566</v>
      </c>
      <c r="I1557" s="7">
        <v>6.26</v>
      </c>
      <c r="J1557" s="8">
        <v>2</v>
      </c>
      <c r="K1557" s="7">
        <v>-5.22</v>
      </c>
    </row>
    <row r="1558" spans="1:11" x14ac:dyDescent="0.3">
      <c r="A1558" s="2">
        <v>42988</v>
      </c>
      <c r="B1558" s="9">
        <f>MONTH(Table1[[#This Row],[Order Date]])</f>
        <v>9</v>
      </c>
      <c r="C1558" s="9">
        <f>YEAR(Table1[[#This Row],[Order Date]])</f>
        <v>2017</v>
      </c>
      <c r="D1558" t="s">
        <v>579</v>
      </c>
      <c r="E1558" t="s">
        <v>144</v>
      </c>
      <c r="F1558" t="s">
        <v>11</v>
      </c>
      <c r="G1558" t="s">
        <v>12</v>
      </c>
      <c r="H1558" t="s">
        <v>217</v>
      </c>
      <c r="I1558" s="7">
        <v>18.98</v>
      </c>
      <c r="J1558" s="8">
        <v>2</v>
      </c>
      <c r="K1558" s="7">
        <v>8.92</v>
      </c>
    </row>
    <row r="1559" spans="1:11" x14ac:dyDescent="0.3">
      <c r="A1559" s="2">
        <v>42988</v>
      </c>
      <c r="B1559" s="9">
        <f>MONTH(Table1[[#This Row],[Order Date]])</f>
        <v>9</v>
      </c>
      <c r="C1559" s="9">
        <f>YEAR(Table1[[#This Row],[Order Date]])</f>
        <v>2017</v>
      </c>
      <c r="D1559" t="s">
        <v>1060</v>
      </c>
      <c r="E1559" t="s">
        <v>10</v>
      </c>
      <c r="F1559" t="s">
        <v>34</v>
      </c>
      <c r="G1559" t="s">
        <v>35</v>
      </c>
      <c r="H1559" t="s">
        <v>2411</v>
      </c>
      <c r="I1559" s="7">
        <v>254.06</v>
      </c>
      <c r="J1559" s="8">
        <v>3</v>
      </c>
      <c r="K1559" s="7">
        <v>-32.659999999999997</v>
      </c>
    </row>
    <row r="1560" spans="1:11" x14ac:dyDescent="0.3">
      <c r="A1560" s="2">
        <v>42988</v>
      </c>
      <c r="B1560" s="9">
        <f>MONTH(Table1[[#This Row],[Order Date]])</f>
        <v>9</v>
      </c>
      <c r="C1560" s="9">
        <f>YEAR(Table1[[#This Row],[Order Date]])</f>
        <v>2017</v>
      </c>
      <c r="D1560" t="s">
        <v>107</v>
      </c>
      <c r="E1560" t="s">
        <v>27</v>
      </c>
      <c r="F1560" t="s">
        <v>11</v>
      </c>
      <c r="G1560" t="s">
        <v>12</v>
      </c>
      <c r="H1560" t="s">
        <v>2520</v>
      </c>
      <c r="I1560" s="7">
        <v>35.200000000000003</v>
      </c>
      <c r="J1560" s="8">
        <v>5</v>
      </c>
      <c r="K1560" s="7">
        <v>16.54</v>
      </c>
    </row>
    <row r="1561" spans="1:11" x14ac:dyDescent="0.3">
      <c r="A1561" s="2">
        <v>42990</v>
      </c>
      <c r="B1561" s="9">
        <f>MONTH(Table1[[#This Row],[Order Date]])</f>
        <v>9</v>
      </c>
      <c r="C1561" s="9">
        <f>YEAR(Table1[[#This Row],[Order Date]])</f>
        <v>2017</v>
      </c>
      <c r="D1561" t="s">
        <v>944</v>
      </c>
      <c r="E1561" t="s">
        <v>78</v>
      </c>
      <c r="F1561" t="s">
        <v>11</v>
      </c>
      <c r="G1561" t="s">
        <v>63</v>
      </c>
      <c r="H1561" t="s">
        <v>1919</v>
      </c>
      <c r="I1561" s="7">
        <v>57.58</v>
      </c>
      <c r="J1561" s="8">
        <v>3</v>
      </c>
      <c r="K1561" s="7">
        <v>21.59</v>
      </c>
    </row>
    <row r="1562" spans="1:11" x14ac:dyDescent="0.3">
      <c r="A1562" s="2">
        <v>42990</v>
      </c>
      <c r="B1562" s="9">
        <f>MONTH(Table1[[#This Row],[Order Date]])</f>
        <v>9</v>
      </c>
      <c r="C1562" s="9">
        <f>YEAR(Table1[[#This Row],[Order Date]])</f>
        <v>2017</v>
      </c>
      <c r="D1562" t="s">
        <v>1924</v>
      </c>
      <c r="E1562" t="s">
        <v>108</v>
      </c>
      <c r="F1562" t="s">
        <v>39</v>
      </c>
      <c r="G1562" t="s">
        <v>52</v>
      </c>
      <c r="H1562" t="s">
        <v>1357</v>
      </c>
      <c r="I1562" s="7">
        <v>104.88</v>
      </c>
      <c r="J1562" s="8">
        <v>6</v>
      </c>
      <c r="K1562" s="7">
        <v>41.95</v>
      </c>
    </row>
    <row r="1563" spans="1:11" x14ac:dyDescent="0.3">
      <c r="A1563" s="2">
        <v>42990</v>
      </c>
      <c r="B1563" s="9">
        <f>MONTH(Table1[[#This Row],[Order Date]])</f>
        <v>9</v>
      </c>
      <c r="C1563" s="9">
        <f>YEAR(Table1[[#This Row],[Order Date]])</f>
        <v>2017</v>
      </c>
      <c r="D1563" t="s">
        <v>1924</v>
      </c>
      <c r="E1563" t="s">
        <v>108</v>
      </c>
      <c r="F1563" t="s">
        <v>11</v>
      </c>
      <c r="G1563" t="s">
        <v>24</v>
      </c>
      <c r="H1563" t="s">
        <v>2496</v>
      </c>
      <c r="I1563" s="7">
        <v>34.700000000000003</v>
      </c>
      <c r="J1563" s="8">
        <v>5</v>
      </c>
      <c r="K1563" s="7">
        <v>12.49</v>
      </c>
    </row>
    <row r="1564" spans="1:11" x14ac:dyDescent="0.3">
      <c r="A1564" s="2">
        <v>42990</v>
      </c>
      <c r="B1564" s="9">
        <f>MONTH(Table1[[#This Row],[Order Date]])</f>
        <v>9</v>
      </c>
      <c r="C1564" s="9">
        <f>YEAR(Table1[[#This Row],[Order Date]])</f>
        <v>2017</v>
      </c>
      <c r="D1564" t="s">
        <v>1654</v>
      </c>
      <c r="E1564" t="s">
        <v>27</v>
      </c>
      <c r="F1564" t="s">
        <v>11</v>
      </c>
      <c r="G1564" t="s">
        <v>92</v>
      </c>
      <c r="H1564" t="s">
        <v>700</v>
      </c>
      <c r="I1564" s="7">
        <v>189</v>
      </c>
      <c r="J1564" s="8">
        <v>1</v>
      </c>
      <c r="K1564" s="7">
        <v>68.040000000000006</v>
      </c>
    </row>
    <row r="1565" spans="1:11" x14ac:dyDescent="0.3">
      <c r="A1565" s="2">
        <v>42990</v>
      </c>
      <c r="B1565" s="9">
        <f>MONTH(Table1[[#This Row],[Order Date]])</f>
        <v>9</v>
      </c>
      <c r="C1565" s="9">
        <f>YEAR(Table1[[#This Row],[Order Date]])</f>
        <v>2017</v>
      </c>
      <c r="D1565" t="s">
        <v>1258</v>
      </c>
      <c r="E1565" t="s">
        <v>108</v>
      </c>
      <c r="F1565" t="s">
        <v>11</v>
      </c>
      <c r="G1565" t="s">
        <v>20</v>
      </c>
      <c r="H1565" t="s">
        <v>1914</v>
      </c>
      <c r="I1565" s="7">
        <v>54.9</v>
      </c>
      <c r="J1565" s="8">
        <v>5</v>
      </c>
      <c r="K1565" s="7">
        <v>26.9</v>
      </c>
    </row>
    <row r="1566" spans="1:11" x14ac:dyDescent="0.3">
      <c r="A1566" s="2">
        <v>43012</v>
      </c>
      <c r="B1566" s="9">
        <f>MONTH(Table1[[#This Row],[Order Date]])</f>
        <v>10</v>
      </c>
      <c r="C1566" s="9">
        <f>YEAR(Table1[[#This Row],[Order Date]])</f>
        <v>2017</v>
      </c>
      <c r="D1566" t="s">
        <v>662</v>
      </c>
      <c r="E1566" t="s">
        <v>23</v>
      </c>
      <c r="F1566" t="s">
        <v>11</v>
      </c>
      <c r="G1566" t="s">
        <v>92</v>
      </c>
      <c r="H1566" t="s">
        <v>2244</v>
      </c>
      <c r="I1566" s="7">
        <v>195.1</v>
      </c>
      <c r="J1566" s="8">
        <v>4</v>
      </c>
      <c r="K1566" s="7">
        <v>21.95</v>
      </c>
    </row>
    <row r="1567" spans="1:11" x14ac:dyDescent="0.3">
      <c r="A1567" s="2">
        <v>43014</v>
      </c>
      <c r="B1567" s="9">
        <f>MONTH(Table1[[#This Row],[Order Date]])</f>
        <v>10</v>
      </c>
      <c r="C1567" s="9">
        <f>YEAR(Table1[[#This Row],[Order Date]])</f>
        <v>2017</v>
      </c>
      <c r="D1567" t="s">
        <v>1089</v>
      </c>
      <c r="E1567" t="s">
        <v>27</v>
      </c>
      <c r="F1567" t="s">
        <v>11</v>
      </c>
      <c r="G1567" t="s">
        <v>24</v>
      </c>
      <c r="H1567" t="s">
        <v>102</v>
      </c>
      <c r="I1567" s="7">
        <v>16.399999999999999</v>
      </c>
      <c r="J1567" s="8">
        <v>5</v>
      </c>
      <c r="K1567" s="7">
        <v>4.76</v>
      </c>
    </row>
    <row r="1568" spans="1:11" x14ac:dyDescent="0.3">
      <c r="A1568" s="2">
        <v>43014</v>
      </c>
      <c r="B1568" s="9">
        <f>MONTH(Table1[[#This Row],[Order Date]])</f>
        <v>10</v>
      </c>
      <c r="C1568" s="9">
        <f>YEAR(Table1[[#This Row],[Order Date]])</f>
        <v>2017</v>
      </c>
      <c r="D1568" t="s">
        <v>1360</v>
      </c>
      <c r="E1568" t="s">
        <v>27</v>
      </c>
      <c r="F1568" t="s">
        <v>11</v>
      </c>
      <c r="G1568" t="s">
        <v>24</v>
      </c>
      <c r="H1568" t="s">
        <v>400</v>
      </c>
      <c r="I1568" s="7">
        <v>14.7</v>
      </c>
      <c r="J1568" s="8">
        <v>7</v>
      </c>
      <c r="K1568" s="7">
        <v>4.12</v>
      </c>
    </row>
    <row r="1569" spans="1:11" x14ac:dyDescent="0.3">
      <c r="A1569" s="2">
        <v>43015</v>
      </c>
      <c r="B1569" s="9">
        <f>MONTH(Table1[[#This Row],[Order Date]])</f>
        <v>10</v>
      </c>
      <c r="C1569" s="9">
        <f>YEAR(Table1[[#This Row],[Order Date]])</f>
        <v>2017</v>
      </c>
      <c r="D1569" t="s">
        <v>2054</v>
      </c>
      <c r="E1569" t="s">
        <v>30</v>
      </c>
      <c r="F1569" t="s">
        <v>34</v>
      </c>
      <c r="G1569" t="s">
        <v>47</v>
      </c>
      <c r="H1569" t="s">
        <v>1140</v>
      </c>
      <c r="I1569" s="7">
        <v>18.84</v>
      </c>
      <c r="J1569" s="8">
        <v>3</v>
      </c>
      <c r="K1569" s="7">
        <v>7.91</v>
      </c>
    </row>
    <row r="1570" spans="1:11" x14ac:dyDescent="0.3">
      <c r="A1570" s="2">
        <v>43017</v>
      </c>
      <c r="B1570" s="9">
        <f>MONTH(Table1[[#This Row],[Order Date]])</f>
        <v>10</v>
      </c>
      <c r="C1570" s="9">
        <f>YEAR(Table1[[#This Row],[Order Date]])</f>
        <v>2017</v>
      </c>
      <c r="D1570" t="s">
        <v>2501</v>
      </c>
      <c r="E1570" t="s">
        <v>179</v>
      </c>
      <c r="F1570" t="s">
        <v>11</v>
      </c>
      <c r="G1570" t="s">
        <v>92</v>
      </c>
      <c r="H1570" t="s">
        <v>1007</v>
      </c>
      <c r="I1570" s="7">
        <v>24.18</v>
      </c>
      <c r="J1570" s="8">
        <v>2</v>
      </c>
      <c r="K1570" s="7">
        <v>7.25</v>
      </c>
    </row>
    <row r="1571" spans="1:11" x14ac:dyDescent="0.3">
      <c r="A1571" s="2">
        <v>43017</v>
      </c>
      <c r="B1571" s="9">
        <f>MONTH(Table1[[#This Row],[Order Date]])</f>
        <v>10</v>
      </c>
      <c r="C1571" s="9">
        <f>YEAR(Table1[[#This Row],[Order Date]])</f>
        <v>2017</v>
      </c>
      <c r="D1571" t="s">
        <v>1512</v>
      </c>
      <c r="E1571" t="s">
        <v>144</v>
      </c>
      <c r="F1571" t="s">
        <v>11</v>
      </c>
      <c r="G1571" t="s">
        <v>12</v>
      </c>
      <c r="H1571" t="s">
        <v>2553</v>
      </c>
      <c r="I1571" s="7">
        <v>18.760000000000002</v>
      </c>
      <c r="J1571" s="8">
        <v>2</v>
      </c>
      <c r="K1571" s="7">
        <v>9</v>
      </c>
    </row>
    <row r="1572" spans="1:11" x14ac:dyDescent="0.3">
      <c r="A1572" s="2">
        <v>43017</v>
      </c>
      <c r="B1572" s="9">
        <f>MONTH(Table1[[#This Row],[Order Date]])</f>
        <v>10</v>
      </c>
      <c r="C1572" s="9">
        <f>YEAR(Table1[[#This Row],[Order Date]])</f>
        <v>2017</v>
      </c>
      <c r="D1572" t="s">
        <v>722</v>
      </c>
      <c r="E1572" t="s">
        <v>30</v>
      </c>
      <c r="F1572" t="s">
        <v>11</v>
      </c>
      <c r="G1572" t="s">
        <v>20</v>
      </c>
      <c r="H1572" t="s">
        <v>548</v>
      </c>
      <c r="I1572" s="7">
        <v>2.78</v>
      </c>
      <c r="J1572" s="8">
        <v>1</v>
      </c>
      <c r="K1572" s="7">
        <v>1.36</v>
      </c>
    </row>
    <row r="1573" spans="1:11" x14ac:dyDescent="0.3">
      <c r="A1573" s="2">
        <v>43019</v>
      </c>
      <c r="B1573" s="9">
        <f>MONTH(Table1[[#This Row],[Order Date]])</f>
        <v>10</v>
      </c>
      <c r="C1573" s="9">
        <f>YEAR(Table1[[#This Row],[Order Date]])</f>
        <v>2017</v>
      </c>
      <c r="D1573" t="s">
        <v>1608</v>
      </c>
      <c r="E1573" t="s">
        <v>95</v>
      </c>
      <c r="F1573" t="s">
        <v>39</v>
      </c>
      <c r="G1573" t="s">
        <v>293</v>
      </c>
      <c r="H1573" t="s">
        <v>1815</v>
      </c>
      <c r="I1573" s="7">
        <v>95.99</v>
      </c>
      <c r="J1573" s="8">
        <v>2</v>
      </c>
      <c r="K1573" s="7">
        <v>-64</v>
      </c>
    </row>
    <row r="1574" spans="1:11" x14ac:dyDescent="0.3">
      <c r="A1574" s="2">
        <v>43019</v>
      </c>
      <c r="B1574" s="9">
        <f>MONTH(Table1[[#This Row],[Order Date]])</f>
        <v>10</v>
      </c>
      <c r="C1574" s="9">
        <f>YEAR(Table1[[#This Row],[Order Date]])</f>
        <v>2017</v>
      </c>
      <c r="D1574" t="s">
        <v>469</v>
      </c>
      <c r="E1574" t="s">
        <v>144</v>
      </c>
      <c r="F1574" t="s">
        <v>11</v>
      </c>
      <c r="G1574" t="s">
        <v>20</v>
      </c>
      <c r="H1574" t="s">
        <v>680</v>
      </c>
      <c r="I1574" s="7">
        <v>931.18</v>
      </c>
      <c r="J1574" s="8">
        <v>3</v>
      </c>
      <c r="K1574" s="7">
        <v>314.27</v>
      </c>
    </row>
    <row r="1575" spans="1:11" x14ac:dyDescent="0.3">
      <c r="A1575" s="2">
        <v>43019</v>
      </c>
      <c r="B1575" s="9">
        <f>MONTH(Table1[[#This Row],[Order Date]])</f>
        <v>10</v>
      </c>
      <c r="C1575" s="9">
        <f>YEAR(Table1[[#This Row],[Order Date]])</f>
        <v>2017</v>
      </c>
      <c r="D1575" t="s">
        <v>1803</v>
      </c>
      <c r="E1575" t="s">
        <v>27</v>
      </c>
      <c r="F1575" t="s">
        <v>11</v>
      </c>
      <c r="G1575" t="s">
        <v>24</v>
      </c>
      <c r="H1575" t="s">
        <v>553</v>
      </c>
      <c r="I1575" s="7">
        <v>7.8</v>
      </c>
      <c r="J1575" s="8">
        <v>3</v>
      </c>
      <c r="K1575" s="7">
        <v>2.11</v>
      </c>
    </row>
    <row r="1576" spans="1:11" x14ac:dyDescent="0.3">
      <c r="A1576" s="2">
        <v>43019</v>
      </c>
      <c r="B1576" s="9">
        <f>MONTH(Table1[[#This Row],[Order Date]])</f>
        <v>10</v>
      </c>
      <c r="C1576" s="9">
        <f>YEAR(Table1[[#This Row],[Order Date]])</f>
        <v>2017</v>
      </c>
      <c r="D1576" t="s">
        <v>806</v>
      </c>
      <c r="E1576" t="s">
        <v>27</v>
      </c>
      <c r="F1576" t="s">
        <v>39</v>
      </c>
      <c r="G1576" t="s">
        <v>52</v>
      </c>
      <c r="H1576" t="s">
        <v>1646</v>
      </c>
      <c r="I1576" s="7">
        <v>111.79</v>
      </c>
      <c r="J1576" s="8">
        <v>7</v>
      </c>
      <c r="K1576" s="7">
        <v>43.6</v>
      </c>
    </row>
    <row r="1577" spans="1:11" x14ac:dyDescent="0.3">
      <c r="A1577" s="2">
        <v>43020</v>
      </c>
      <c r="B1577" s="9">
        <f>MONTH(Table1[[#This Row],[Order Date]])</f>
        <v>10</v>
      </c>
      <c r="C1577" s="9">
        <f>YEAR(Table1[[#This Row],[Order Date]])</f>
        <v>2017</v>
      </c>
      <c r="D1577" t="s">
        <v>1929</v>
      </c>
      <c r="E1577" t="s">
        <v>158</v>
      </c>
      <c r="F1577" t="s">
        <v>11</v>
      </c>
      <c r="G1577" t="s">
        <v>24</v>
      </c>
      <c r="H1577" t="s">
        <v>2647</v>
      </c>
      <c r="I1577" s="7">
        <v>18.239999999999998</v>
      </c>
      <c r="J1577" s="8">
        <v>3</v>
      </c>
      <c r="K1577" s="7">
        <v>5.29</v>
      </c>
    </row>
    <row r="1578" spans="1:11" x14ac:dyDescent="0.3">
      <c r="A1578" s="2">
        <v>43042</v>
      </c>
      <c r="B1578" s="9">
        <f>MONTH(Table1[[#This Row],[Order Date]])</f>
        <v>11</v>
      </c>
      <c r="C1578" s="9">
        <f>YEAR(Table1[[#This Row],[Order Date]])</f>
        <v>2017</v>
      </c>
      <c r="D1578" t="s">
        <v>2060</v>
      </c>
      <c r="E1578" t="s">
        <v>108</v>
      </c>
      <c r="F1578" t="s">
        <v>11</v>
      </c>
      <c r="G1578" t="s">
        <v>20</v>
      </c>
      <c r="H1578" t="s">
        <v>118</v>
      </c>
      <c r="I1578" s="7">
        <v>895.92</v>
      </c>
      <c r="J1578" s="8">
        <v>4</v>
      </c>
      <c r="K1578" s="7">
        <v>421.08</v>
      </c>
    </row>
    <row r="1579" spans="1:11" x14ac:dyDescent="0.3">
      <c r="A1579" s="2">
        <v>43042</v>
      </c>
      <c r="B1579" s="9">
        <f>MONTH(Table1[[#This Row],[Order Date]])</f>
        <v>11</v>
      </c>
      <c r="C1579" s="9">
        <f>YEAR(Table1[[#This Row],[Order Date]])</f>
        <v>2017</v>
      </c>
      <c r="D1579" t="s">
        <v>563</v>
      </c>
      <c r="E1579" t="s">
        <v>23</v>
      </c>
      <c r="F1579" t="s">
        <v>11</v>
      </c>
      <c r="G1579" t="s">
        <v>18</v>
      </c>
      <c r="H1579" t="s">
        <v>1780</v>
      </c>
      <c r="I1579" s="7">
        <v>43.28</v>
      </c>
      <c r="J1579" s="8">
        <v>1</v>
      </c>
      <c r="K1579" s="7">
        <v>3.25</v>
      </c>
    </row>
    <row r="1580" spans="1:11" x14ac:dyDescent="0.3">
      <c r="A1580" s="2">
        <v>43042</v>
      </c>
      <c r="B1580" s="9">
        <f>MONTH(Table1[[#This Row],[Order Date]])</f>
        <v>11</v>
      </c>
      <c r="C1580" s="9">
        <f>YEAR(Table1[[#This Row],[Order Date]])</f>
        <v>2017</v>
      </c>
      <c r="D1580" t="s">
        <v>925</v>
      </c>
      <c r="E1580" t="s">
        <v>422</v>
      </c>
      <c r="F1580" t="s">
        <v>34</v>
      </c>
      <c r="G1580" t="s">
        <v>47</v>
      </c>
      <c r="H1580" t="s">
        <v>2502</v>
      </c>
      <c r="I1580" s="7">
        <v>26.72</v>
      </c>
      <c r="J1580" s="8">
        <v>1</v>
      </c>
      <c r="K1580" s="7">
        <v>11.76</v>
      </c>
    </row>
    <row r="1581" spans="1:11" x14ac:dyDescent="0.3">
      <c r="A1581" s="2">
        <v>43043</v>
      </c>
      <c r="B1581" s="9">
        <f>MONTH(Table1[[#This Row],[Order Date]])</f>
        <v>11</v>
      </c>
      <c r="C1581" s="9">
        <f>YEAR(Table1[[#This Row],[Order Date]])</f>
        <v>2017</v>
      </c>
      <c r="D1581" t="s">
        <v>1258</v>
      </c>
      <c r="E1581" t="s">
        <v>27</v>
      </c>
      <c r="F1581" t="s">
        <v>11</v>
      </c>
      <c r="G1581" t="s">
        <v>24</v>
      </c>
      <c r="H1581" t="s">
        <v>2456</v>
      </c>
      <c r="I1581" s="7">
        <v>41.86</v>
      </c>
      <c r="J1581" s="8">
        <v>7</v>
      </c>
      <c r="K1581" s="7">
        <v>14.23</v>
      </c>
    </row>
    <row r="1582" spans="1:11" x14ac:dyDescent="0.3">
      <c r="A1582" s="2">
        <v>43044</v>
      </c>
      <c r="B1582" s="9">
        <f>MONTH(Table1[[#This Row],[Order Date]])</f>
        <v>11</v>
      </c>
      <c r="C1582" s="9">
        <f>YEAR(Table1[[#This Row],[Order Date]])</f>
        <v>2017</v>
      </c>
      <c r="D1582" t="s">
        <v>1511</v>
      </c>
      <c r="E1582" t="s">
        <v>10</v>
      </c>
      <c r="F1582" t="s">
        <v>11</v>
      </c>
      <c r="G1582" t="s">
        <v>24</v>
      </c>
      <c r="H1582" t="s">
        <v>965</v>
      </c>
      <c r="I1582" s="7">
        <v>5.25</v>
      </c>
      <c r="J1582" s="8">
        <v>2</v>
      </c>
      <c r="K1582" s="7">
        <v>0.59</v>
      </c>
    </row>
    <row r="1583" spans="1:11" x14ac:dyDescent="0.3">
      <c r="A1583" s="2">
        <v>43044</v>
      </c>
      <c r="B1583" s="9">
        <f>MONTH(Table1[[#This Row],[Order Date]])</f>
        <v>11</v>
      </c>
      <c r="C1583" s="9">
        <f>YEAR(Table1[[#This Row],[Order Date]])</f>
        <v>2017</v>
      </c>
      <c r="D1583" t="s">
        <v>1511</v>
      </c>
      <c r="E1583" t="s">
        <v>10</v>
      </c>
      <c r="F1583" t="s">
        <v>11</v>
      </c>
      <c r="G1583" t="s">
        <v>12</v>
      </c>
      <c r="H1583" t="s">
        <v>1802</v>
      </c>
      <c r="I1583" s="7">
        <v>6.85</v>
      </c>
      <c r="J1583" s="8">
        <v>2</v>
      </c>
      <c r="K1583" s="7">
        <v>2.14</v>
      </c>
    </row>
    <row r="1584" spans="1:11" x14ac:dyDescent="0.3">
      <c r="A1584" s="2">
        <v>43044</v>
      </c>
      <c r="B1584" s="9">
        <f>MONTH(Table1[[#This Row],[Order Date]])</f>
        <v>11</v>
      </c>
      <c r="C1584" s="9">
        <f>YEAR(Table1[[#This Row],[Order Date]])</f>
        <v>2017</v>
      </c>
      <c r="D1584" t="s">
        <v>1426</v>
      </c>
      <c r="E1584" t="s">
        <v>144</v>
      </c>
      <c r="F1584" t="s">
        <v>11</v>
      </c>
      <c r="G1584" t="s">
        <v>24</v>
      </c>
      <c r="H1584" t="s">
        <v>114</v>
      </c>
      <c r="I1584" s="7">
        <v>43.92</v>
      </c>
      <c r="J1584" s="8">
        <v>3</v>
      </c>
      <c r="K1584" s="7">
        <v>12.74</v>
      </c>
    </row>
    <row r="1585" spans="1:11" x14ac:dyDescent="0.3">
      <c r="A1585" s="2">
        <v>43045</v>
      </c>
      <c r="B1585" s="9">
        <f>MONTH(Table1[[#This Row],[Order Date]])</f>
        <v>11</v>
      </c>
      <c r="C1585" s="9">
        <f>YEAR(Table1[[#This Row],[Order Date]])</f>
        <v>2017</v>
      </c>
      <c r="D1585" t="s">
        <v>895</v>
      </c>
      <c r="E1585" t="s">
        <v>95</v>
      </c>
      <c r="F1585" t="s">
        <v>34</v>
      </c>
      <c r="G1585" t="s">
        <v>35</v>
      </c>
      <c r="H1585" t="s">
        <v>581</v>
      </c>
      <c r="I1585" s="7">
        <v>280.79000000000002</v>
      </c>
      <c r="J1585" s="8">
        <v>1</v>
      </c>
      <c r="K1585" s="7">
        <v>35.1</v>
      </c>
    </row>
    <row r="1586" spans="1:11" x14ac:dyDescent="0.3">
      <c r="A1586" s="2">
        <v>43045</v>
      </c>
      <c r="B1586" s="9">
        <f>MONTH(Table1[[#This Row],[Order Date]])</f>
        <v>11</v>
      </c>
      <c r="C1586" s="9">
        <f>YEAR(Table1[[#This Row],[Order Date]])</f>
        <v>2017</v>
      </c>
      <c r="D1586" t="s">
        <v>119</v>
      </c>
      <c r="E1586" t="s">
        <v>158</v>
      </c>
      <c r="F1586" t="s">
        <v>39</v>
      </c>
      <c r="G1586" t="s">
        <v>293</v>
      </c>
      <c r="H1586" t="s">
        <v>2674</v>
      </c>
      <c r="I1586" s="7">
        <v>385.8</v>
      </c>
      <c r="J1586" s="8">
        <v>5</v>
      </c>
      <c r="K1586" s="7">
        <v>130.21</v>
      </c>
    </row>
    <row r="1587" spans="1:11" x14ac:dyDescent="0.3">
      <c r="A1587" s="2">
        <v>43046</v>
      </c>
      <c r="B1587" s="9">
        <f>MONTH(Table1[[#This Row],[Order Date]])</f>
        <v>11</v>
      </c>
      <c r="C1587" s="9">
        <f>YEAR(Table1[[#This Row],[Order Date]])</f>
        <v>2017</v>
      </c>
      <c r="D1587" t="s">
        <v>1014</v>
      </c>
      <c r="E1587" t="s">
        <v>27</v>
      </c>
      <c r="F1587" t="s">
        <v>39</v>
      </c>
      <c r="G1587" t="s">
        <v>40</v>
      </c>
      <c r="H1587" t="s">
        <v>2433</v>
      </c>
      <c r="I1587" s="7">
        <v>71.95</v>
      </c>
      <c r="J1587" s="8">
        <v>6</v>
      </c>
      <c r="K1587" s="7">
        <v>5.4</v>
      </c>
    </row>
    <row r="1588" spans="1:11" x14ac:dyDescent="0.3">
      <c r="A1588" s="2">
        <v>43051</v>
      </c>
      <c r="B1588" s="9">
        <f>MONTH(Table1[[#This Row],[Order Date]])</f>
        <v>11</v>
      </c>
      <c r="C1588" s="9">
        <f>YEAR(Table1[[#This Row],[Order Date]])</f>
        <v>2017</v>
      </c>
      <c r="D1588" t="s">
        <v>574</v>
      </c>
      <c r="E1588" t="s">
        <v>23</v>
      </c>
      <c r="F1588" t="s">
        <v>34</v>
      </c>
      <c r="G1588" t="s">
        <v>35</v>
      </c>
      <c r="H1588" t="s">
        <v>1347</v>
      </c>
      <c r="I1588" s="7">
        <v>63.69</v>
      </c>
      <c r="J1588" s="8">
        <v>1</v>
      </c>
      <c r="K1588" s="7">
        <v>-9.1</v>
      </c>
    </row>
    <row r="1589" spans="1:11" x14ac:dyDescent="0.3">
      <c r="A1589" s="2">
        <v>43051</v>
      </c>
      <c r="B1589" s="9">
        <f>MONTH(Table1[[#This Row],[Order Date]])</f>
        <v>11</v>
      </c>
      <c r="C1589" s="9">
        <f>YEAR(Table1[[#This Row],[Order Date]])</f>
        <v>2017</v>
      </c>
      <c r="D1589" t="s">
        <v>1193</v>
      </c>
      <c r="E1589" t="s">
        <v>10</v>
      </c>
      <c r="F1589" t="s">
        <v>11</v>
      </c>
      <c r="G1589" t="s">
        <v>92</v>
      </c>
      <c r="H1589" t="s">
        <v>1355</v>
      </c>
      <c r="I1589" s="7">
        <v>1.39</v>
      </c>
      <c r="J1589" s="8">
        <v>2</v>
      </c>
      <c r="K1589" s="7">
        <v>-3.76</v>
      </c>
    </row>
    <row r="1590" spans="1:11" x14ac:dyDescent="0.3">
      <c r="A1590" s="2">
        <v>43051</v>
      </c>
      <c r="B1590" s="9">
        <f>MONTH(Table1[[#This Row],[Order Date]])</f>
        <v>11</v>
      </c>
      <c r="C1590" s="9">
        <f>YEAR(Table1[[#This Row],[Order Date]])</f>
        <v>2017</v>
      </c>
      <c r="D1590" t="s">
        <v>2508</v>
      </c>
      <c r="E1590" t="s">
        <v>386</v>
      </c>
      <c r="F1590" t="s">
        <v>11</v>
      </c>
      <c r="G1590" t="s">
        <v>63</v>
      </c>
      <c r="H1590" t="s">
        <v>1431</v>
      </c>
      <c r="I1590" s="7">
        <v>7.28</v>
      </c>
      <c r="J1590" s="8">
        <v>1</v>
      </c>
      <c r="K1590" s="7">
        <v>3.49</v>
      </c>
    </row>
    <row r="1591" spans="1:11" x14ac:dyDescent="0.3">
      <c r="A1591" s="2">
        <v>43073</v>
      </c>
      <c r="B1591" s="9">
        <f>MONTH(Table1[[#This Row],[Order Date]])</f>
        <v>12</v>
      </c>
      <c r="C1591" s="9">
        <f>YEAR(Table1[[#This Row],[Order Date]])</f>
        <v>2017</v>
      </c>
      <c r="D1591" t="s">
        <v>2049</v>
      </c>
      <c r="E1591" t="s">
        <v>1494</v>
      </c>
      <c r="F1591" t="s">
        <v>11</v>
      </c>
      <c r="G1591" t="s">
        <v>12</v>
      </c>
      <c r="H1591" t="s">
        <v>728</v>
      </c>
      <c r="I1591" s="7">
        <v>39.96</v>
      </c>
      <c r="J1591" s="8">
        <v>4</v>
      </c>
      <c r="K1591" s="7">
        <v>17.98</v>
      </c>
    </row>
    <row r="1592" spans="1:11" x14ac:dyDescent="0.3">
      <c r="A1592" s="2">
        <v>43074</v>
      </c>
      <c r="B1592" s="9">
        <f>MONTH(Table1[[#This Row],[Order Date]])</f>
        <v>12</v>
      </c>
      <c r="C1592" s="9">
        <f>YEAR(Table1[[#This Row],[Order Date]])</f>
        <v>2017</v>
      </c>
      <c r="D1592" t="s">
        <v>271</v>
      </c>
      <c r="E1592" t="s">
        <v>422</v>
      </c>
      <c r="F1592" t="s">
        <v>11</v>
      </c>
      <c r="G1592" t="s">
        <v>12</v>
      </c>
      <c r="H1592" t="s">
        <v>97</v>
      </c>
      <c r="I1592" s="7">
        <v>87.6</v>
      </c>
      <c r="J1592" s="8">
        <v>5</v>
      </c>
      <c r="K1592" s="7">
        <v>42.05</v>
      </c>
    </row>
    <row r="1593" spans="1:11" x14ac:dyDescent="0.3">
      <c r="A1593" s="2">
        <v>43074</v>
      </c>
      <c r="B1593" s="9">
        <f>MONTH(Table1[[#This Row],[Order Date]])</f>
        <v>12</v>
      </c>
      <c r="C1593" s="9">
        <f>YEAR(Table1[[#This Row],[Order Date]])</f>
        <v>2017</v>
      </c>
      <c r="D1593" t="s">
        <v>1338</v>
      </c>
      <c r="E1593" t="s">
        <v>78</v>
      </c>
      <c r="F1593" t="s">
        <v>11</v>
      </c>
      <c r="G1593" t="s">
        <v>24</v>
      </c>
      <c r="H1593" t="s">
        <v>564</v>
      </c>
      <c r="I1593" s="7">
        <v>10.27</v>
      </c>
      <c r="J1593" s="8">
        <v>3</v>
      </c>
      <c r="K1593" s="7">
        <v>1.1599999999999999</v>
      </c>
    </row>
    <row r="1594" spans="1:11" x14ac:dyDescent="0.3">
      <c r="A1594" s="2">
        <v>43074</v>
      </c>
      <c r="B1594" s="9">
        <f>MONTH(Table1[[#This Row],[Order Date]])</f>
        <v>12</v>
      </c>
      <c r="C1594" s="9">
        <f>YEAR(Table1[[#This Row],[Order Date]])</f>
        <v>2017</v>
      </c>
      <c r="D1594" t="s">
        <v>1087</v>
      </c>
      <c r="E1594" t="s">
        <v>27</v>
      </c>
      <c r="F1594" t="s">
        <v>11</v>
      </c>
      <c r="G1594" t="s">
        <v>92</v>
      </c>
      <c r="H1594" t="s">
        <v>1770</v>
      </c>
      <c r="I1594" s="7">
        <v>7.77</v>
      </c>
      <c r="J1594" s="8">
        <v>1</v>
      </c>
      <c r="K1594" s="7">
        <v>2.1</v>
      </c>
    </row>
    <row r="1595" spans="1:11" x14ac:dyDescent="0.3">
      <c r="A1595" s="2">
        <v>43074</v>
      </c>
      <c r="B1595" s="9">
        <f>MONTH(Table1[[#This Row],[Order Date]])</f>
        <v>12</v>
      </c>
      <c r="C1595" s="9">
        <f>YEAR(Table1[[#This Row],[Order Date]])</f>
        <v>2017</v>
      </c>
      <c r="D1595" t="s">
        <v>858</v>
      </c>
      <c r="E1595" t="s">
        <v>171</v>
      </c>
      <c r="F1595" t="s">
        <v>34</v>
      </c>
      <c r="G1595" t="s">
        <v>47</v>
      </c>
      <c r="H1595" t="s">
        <v>1002</v>
      </c>
      <c r="I1595" s="7">
        <v>42.85</v>
      </c>
      <c r="J1595" s="8">
        <v>5</v>
      </c>
      <c r="K1595" s="7">
        <v>15.43</v>
      </c>
    </row>
    <row r="1596" spans="1:11" x14ac:dyDescent="0.3">
      <c r="A1596" s="2">
        <v>43075</v>
      </c>
      <c r="B1596" s="9">
        <f>MONTH(Table1[[#This Row],[Order Date]])</f>
        <v>12</v>
      </c>
      <c r="C1596" s="9">
        <f>YEAR(Table1[[#This Row],[Order Date]])</f>
        <v>2017</v>
      </c>
      <c r="D1596" t="s">
        <v>765</v>
      </c>
      <c r="E1596" t="s">
        <v>144</v>
      </c>
      <c r="F1596" t="s">
        <v>11</v>
      </c>
      <c r="G1596" t="s">
        <v>12</v>
      </c>
      <c r="H1596" t="s">
        <v>2489</v>
      </c>
      <c r="I1596" s="7">
        <v>19.04</v>
      </c>
      <c r="J1596" s="8">
        <v>4</v>
      </c>
      <c r="K1596" s="7">
        <v>9.33</v>
      </c>
    </row>
    <row r="1597" spans="1:11" x14ac:dyDescent="0.3">
      <c r="A1597" s="2">
        <v>43075</v>
      </c>
      <c r="B1597" s="9">
        <f>MONTH(Table1[[#This Row],[Order Date]])</f>
        <v>12</v>
      </c>
      <c r="C1597" s="9">
        <f>YEAR(Table1[[#This Row],[Order Date]])</f>
        <v>2017</v>
      </c>
      <c r="D1597" t="s">
        <v>554</v>
      </c>
      <c r="E1597" t="s">
        <v>120</v>
      </c>
      <c r="F1597" t="s">
        <v>34</v>
      </c>
      <c r="G1597" t="s">
        <v>47</v>
      </c>
      <c r="H1597" t="s">
        <v>1326</v>
      </c>
      <c r="I1597" s="7">
        <v>17.09</v>
      </c>
      <c r="J1597" s="8">
        <v>2</v>
      </c>
      <c r="K1597" s="7">
        <v>1.07</v>
      </c>
    </row>
    <row r="1598" spans="1:11" x14ac:dyDescent="0.3">
      <c r="A1598" s="2">
        <v>43075</v>
      </c>
      <c r="B1598" s="9">
        <f>MONTH(Table1[[#This Row],[Order Date]])</f>
        <v>12</v>
      </c>
      <c r="C1598" s="9">
        <f>YEAR(Table1[[#This Row],[Order Date]])</f>
        <v>2017</v>
      </c>
      <c r="D1598" t="s">
        <v>1312</v>
      </c>
      <c r="E1598" t="s">
        <v>158</v>
      </c>
      <c r="F1598" t="s">
        <v>11</v>
      </c>
      <c r="G1598" t="s">
        <v>12</v>
      </c>
      <c r="H1598" t="s">
        <v>1105</v>
      </c>
      <c r="I1598" s="7">
        <v>19.440000000000001</v>
      </c>
      <c r="J1598" s="8">
        <v>3</v>
      </c>
      <c r="K1598" s="7">
        <v>9.33</v>
      </c>
    </row>
    <row r="1599" spans="1:11" x14ac:dyDescent="0.3">
      <c r="A1599" s="2">
        <v>43077</v>
      </c>
      <c r="B1599" s="9">
        <f>MONTH(Table1[[#This Row],[Order Date]])</f>
        <v>12</v>
      </c>
      <c r="C1599" s="9">
        <f>YEAR(Table1[[#This Row],[Order Date]])</f>
        <v>2017</v>
      </c>
      <c r="D1599" t="s">
        <v>2056</v>
      </c>
      <c r="E1599" t="s">
        <v>517</v>
      </c>
      <c r="F1599" t="s">
        <v>34</v>
      </c>
      <c r="G1599" t="s">
        <v>35</v>
      </c>
      <c r="H1599" t="s">
        <v>105</v>
      </c>
      <c r="I1599" s="7">
        <v>1779.9</v>
      </c>
      <c r="J1599" s="8">
        <v>5</v>
      </c>
      <c r="K1599" s="7">
        <v>373.78</v>
      </c>
    </row>
    <row r="1600" spans="1:11" x14ac:dyDescent="0.3">
      <c r="A1600" s="2">
        <v>43077</v>
      </c>
      <c r="B1600" s="9">
        <f>MONTH(Table1[[#This Row],[Order Date]])</f>
        <v>12</v>
      </c>
      <c r="C1600" s="9">
        <f>YEAR(Table1[[#This Row],[Order Date]])</f>
        <v>2017</v>
      </c>
      <c r="D1600" t="s">
        <v>1896</v>
      </c>
      <c r="E1600" t="s">
        <v>158</v>
      </c>
      <c r="F1600" t="s">
        <v>11</v>
      </c>
      <c r="G1600" t="s">
        <v>12</v>
      </c>
      <c r="H1600" t="s">
        <v>2037</v>
      </c>
      <c r="I1600" s="7">
        <v>192.16</v>
      </c>
      <c r="J1600" s="8">
        <v>4</v>
      </c>
      <c r="K1600" s="7">
        <v>92.24</v>
      </c>
    </row>
    <row r="1601" spans="1:11" x14ac:dyDescent="0.3">
      <c r="A1601" s="2">
        <v>43077</v>
      </c>
      <c r="B1601" s="9">
        <f>MONTH(Table1[[#This Row],[Order Date]])</f>
        <v>12</v>
      </c>
      <c r="C1601" s="9">
        <f>YEAR(Table1[[#This Row],[Order Date]])</f>
        <v>2017</v>
      </c>
      <c r="D1601" t="s">
        <v>1896</v>
      </c>
      <c r="E1601" t="s">
        <v>158</v>
      </c>
      <c r="F1601" t="s">
        <v>39</v>
      </c>
      <c r="G1601" t="s">
        <v>52</v>
      </c>
      <c r="H1601" t="s">
        <v>2323</v>
      </c>
      <c r="I1601" s="7">
        <v>174.95</v>
      </c>
      <c r="J1601" s="8">
        <v>5</v>
      </c>
      <c r="K1601" s="7">
        <v>12.25</v>
      </c>
    </row>
    <row r="1602" spans="1:11" x14ac:dyDescent="0.3">
      <c r="A1602" s="2">
        <v>43079</v>
      </c>
      <c r="B1602" s="9">
        <f>MONTH(Table1[[#This Row],[Order Date]])</f>
        <v>12</v>
      </c>
      <c r="C1602" s="9">
        <f>YEAR(Table1[[#This Row],[Order Date]])</f>
        <v>2017</v>
      </c>
      <c r="D1602" t="s">
        <v>330</v>
      </c>
      <c r="E1602" t="s">
        <v>237</v>
      </c>
      <c r="F1602" t="s">
        <v>11</v>
      </c>
      <c r="G1602" t="s">
        <v>12</v>
      </c>
      <c r="H1602" t="s">
        <v>2715</v>
      </c>
      <c r="I1602" s="7">
        <v>7.97</v>
      </c>
      <c r="J1602" s="8">
        <v>2</v>
      </c>
      <c r="K1602" s="7">
        <v>2.69</v>
      </c>
    </row>
    <row r="1603" spans="1:11" x14ac:dyDescent="0.3">
      <c r="A1603" s="2">
        <v>43079</v>
      </c>
      <c r="B1603" s="9">
        <f>MONTH(Table1[[#This Row],[Order Date]])</f>
        <v>12</v>
      </c>
      <c r="C1603" s="9">
        <f>YEAR(Table1[[#This Row],[Order Date]])</f>
        <v>2017</v>
      </c>
      <c r="D1603" t="s">
        <v>2038</v>
      </c>
      <c r="E1603" t="s">
        <v>27</v>
      </c>
      <c r="F1603" t="s">
        <v>39</v>
      </c>
      <c r="G1603" t="s">
        <v>52</v>
      </c>
      <c r="H1603" t="s">
        <v>939</v>
      </c>
      <c r="I1603" s="7">
        <v>0.99</v>
      </c>
      <c r="J1603" s="8">
        <v>1</v>
      </c>
      <c r="K1603" s="7">
        <v>0.44</v>
      </c>
    </row>
    <row r="1604" spans="1:11" x14ac:dyDescent="0.3">
      <c r="A1604" s="2">
        <v>43079</v>
      </c>
      <c r="B1604" s="9">
        <f>MONTH(Table1[[#This Row],[Order Date]])</f>
        <v>12</v>
      </c>
      <c r="C1604" s="9">
        <f>YEAR(Table1[[#This Row],[Order Date]])</f>
        <v>2017</v>
      </c>
      <c r="D1604" t="s">
        <v>1881</v>
      </c>
      <c r="E1604" t="s">
        <v>171</v>
      </c>
      <c r="F1604" t="s">
        <v>34</v>
      </c>
      <c r="G1604" t="s">
        <v>74</v>
      </c>
      <c r="H1604" t="s">
        <v>2705</v>
      </c>
      <c r="I1604" s="7">
        <v>2154.9</v>
      </c>
      <c r="J1604" s="8">
        <v>5</v>
      </c>
      <c r="K1604" s="7">
        <v>129.29</v>
      </c>
    </row>
    <row r="1605" spans="1:11" x14ac:dyDescent="0.3">
      <c r="A1605" s="2">
        <v>43079</v>
      </c>
      <c r="B1605" s="9">
        <f>MONTH(Table1[[#This Row],[Order Date]])</f>
        <v>12</v>
      </c>
      <c r="C1605" s="9">
        <f>YEAR(Table1[[#This Row],[Order Date]])</f>
        <v>2017</v>
      </c>
      <c r="D1605" t="s">
        <v>1075</v>
      </c>
      <c r="E1605" t="s">
        <v>10</v>
      </c>
      <c r="F1605" t="s">
        <v>39</v>
      </c>
      <c r="G1605" t="s">
        <v>40</v>
      </c>
      <c r="H1605" t="s">
        <v>1764</v>
      </c>
      <c r="I1605" s="7">
        <v>369.54</v>
      </c>
      <c r="J1605" s="8">
        <v>7</v>
      </c>
      <c r="K1605" s="7">
        <v>27.72</v>
      </c>
    </row>
    <row r="1606" spans="1:11" x14ac:dyDescent="0.3">
      <c r="A1606" s="2">
        <v>43080</v>
      </c>
      <c r="B1606" s="9">
        <f>MONTH(Table1[[#This Row],[Order Date]])</f>
        <v>12</v>
      </c>
      <c r="C1606" s="9">
        <f>YEAR(Table1[[#This Row],[Order Date]])</f>
        <v>2017</v>
      </c>
      <c r="D1606" t="s">
        <v>1471</v>
      </c>
      <c r="E1606" t="s">
        <v>78</v>
      </c>
      <c r="F1606" t="s">
        <v>39</v>
      </c>
      <c r="G1606" t="s">
        <v>52</v>
      </c>
      <c r="H1606" t="s">
        <v>1834</v>
      </c>
      <c r="I1606" s="7">
        <v>18.54</v>
      </c>
      <c r="J1606" s="8">
        <v>2</v>
      </c>
      <c r="K1606" s="7">
        <v>3.01</v>
      </c>
    </row>
    <row r="1607" spans="1:11" x14ac:dyDescent="0.3">
      <c r="A1607" s="2">
        <v>43080</v>
      </c>
      <c r="B1607" s="9">
        <f>MONTH(Table1[[#This Row],[Order Date]])</f>
        <v>12</v>
      </c>
      <c r="C1607" s="9">
        <f>YEAR(Table1[[#This Row],[Order Date]])</f>
        <v>2017</v>
      </c>
      <c r="D1607" t="s">
        <v>1098</v>
      </c>
      <c r="E1607" t="s">
        <v>158</v>
      </c>
      <c r="F1607" t="s">
        <v>11</v>
      </c>
      <c r="G1607" t="s">
        <v>24</v>
      </c>
      <c r="H1607" t="s">
        <v>2400</v>
      </c>
      <c r="I1607" s="7">
        <v>9.2100000000000009</v>
      </c>
      <c r="J1607" s="8">
        <v>3</v>
      </c>
      <c r="K1607" s="7">
        <v>2.2999999999999998</v>
      </c>
    </row>
    <row r="1608" spans="1:11" x14ac:dyDescent="0.3">
      <c r="A1608" s="2">
        <v>43080</v>
      </c>
      <c r="B1608" s="9">
        <f>MONTH(Table1[[#This Row],[Order Date]])</f>
        <v>12</v>
      </c>
      <c r="C1608" s="9">
        <f>YEAR(Table1[[#This Row],[Order Date]])</f>
        <v>2017</v>
      </c>
      <c r="D1608" t="s">
        <v>893</v>
      </c>
      <c r="E1608" t="s">
        <v>27</v>
      </c>
      <c r="F1608" t="s">
        <v>11</v>
      </c>
      <c r="G1608" t="s">
        <v>12</v>
      </c>
      <c r="H1608" t="s">
        <v>1121</v>
      </c>
      <c r="I1608" s="7">
        <v>11.56</v>
      </c>
      <c r="J1608" s="8">
        <v>2</v>
      </c>
      <c r="K1608" s="7">
        <v>5.66</v>
      </c>
    </row>
    <row r="1609" spans="1:11" x14ac:dyDescent="0.3">
      <c r="A1609" s="2">
        <v>43080</v>
      </c>
      <c r="B1609" s="9">
        <f>MONTH(Table1[[#This Row],[Order Date]])</f>
        <v>12</v>
      </c>
      <c r="C1609" s="9">
        <f>YEAR(Table1[[#This Row],[Order Date]])</f>
        <v>2017</v>
      </c>
      <c r="D1609" t="s">
        <v>1193</v>
      </c>
      <c r="E1609" t="s">
        <v>23</v>
      </c>
      <c r="F1609" t="s">
        <v>11</v>
      </c>
      <c r="G1609" t="s">
        <v>18</v>
      </c>
      <c r="H1609" t="s">
        <v>544</v>
      </c>
      <c r="I1609" s="7">
        <v>221.02</v>
      </c>
      <c r="J1609" s="8">
        <v>2</v>
      </c>
      <c r="K1609" s="7">
        <v>-55.26</v>
      </c>
    </row>
    <row r="1610" spans="1:11" x14ac:dyDescent="0.3">
      <c r="A1610" s="2" t="s">
        <v>2750</v>
      </c>
      <c r="B1610" s="9" t="e">
        <f>MONTH(Table1[[#This Row],[Order Date]])</f>
        <v>#VALUE!</v>
      </c>
      <c r="C1610" s="9" t="e">
        <f>YEAR(Table1[[#This Row],[Order Date]])</f>
        <v>#VALUE!</v>
      </c>
      <c r="D1610" t="s">
        <v>1481</v>
      </c>
      <c r="E1610" t="s">
        <v>27</v>
      </c>
      <c r="F1610" t="s">
        <v>11</v>
      </c>
      <c r="G1610" t="s">
        <v>12</v>
      </c>
      <c r="H1610" t="s">
        <v>1378</v>
      </c>
      <c r="I1610" s="7">
        <v>146.82</v>
      </c>
      <c r="J1610" s="8">
        <v>3</v>
      </c>
      <c r="K1610" s="7">
        <v>73.41</v>
      </c>
    </row>
    <row r="1611" spans="1:11" x14ac:dyDescent="0.3">
      <c r="A1611" s="2" t="s">
        <v>2751</v>
      </c>
      <c r="B1611" s="9" t="e">
        <f>MONTH(Table1[[#This Row],[Order Date]])</f>
        <v>#VALUE!</v>
      </c>
      <c r="C1611" s="9" t="e">
        <f>YEAR(Table1[[#This Row],[Order Date]])</f>
        <v>#VALUE!</v>
      </c>
      <c r="D1611" t="s">
        <v>508</v>
      </c>
      <c r="E1611" t="s">
        <v>517</v>
      </c>
      <c r="F1611" t="s">
        <v>11</v>
      </c>
      <c r="G1611" t="s">
        <v>194</v>
      </c>
      <c r="H1611" t="s">
        <v>1915</v>
      </c>
      <c r="I1611" s="7">
        <v>25.02</v>
      </c>
      <c r="J1611" s="8">
        <v>3</v>
      </c>
      <c r="K1611" s="7">
        <v>6.51</v>
      </c>
    </row>
    <row r="1612" spans="1:11" x14ac:dyDescent="0.3">
      <c r="A1612" s="2" t="s">
        <v>2751</v>
      </c>
      <c r="B1612" s="9" t="e">
        <f>MONTH(Table1[[#This Row],[Order Date]])</f>
        <v>#VALUE!</v>
      </c>
      <c r="C1612" s="9" t="e">
        <f>YEAR(Table1[[#This Row],[Order Date]])</f>
        <v>#VALUE!</v>
      </c>
      <c r="D1612" t="s">
        <v>508</v>
      </c>
      <c r="E1612" t="s">
        <v>517</v>
      </c>
      <c r="F1612" t="s">
        <v>11</v>
      </c>
      <c r="G1612" t="s">
        <v>24</v>
      </c>
      <c r="H1612" t="s">
        <v>1982</v>
      </c>
      <c r="I1612" s="7">
        <v>10.71</v>
      </c>
      <c r="J1612" s="8">
        <v>3</v>
      </c>
      <c r="K1612" s="7">
        <v>2.78</v>
      </c>
    </row>
    <row r="1613" spans="1:11" x14ac:dyDescent="0.3">
      <c r="A1613" s="2" t="s">
        <v>2752</v>
      </c>
      <c r="B1613" s="9" t="e">
        <f>MONTH(Table1[[#This Row],[Order Date]])</f>
        <v>#VALUE!</v>
      </c>
      <c r="C1613" s="9" t="e">
        <f>YEAR(Table1[[#This Row],[Order Date]])</f>
        <v>#VALUE!</v>
      </c>
      <c r="D1613" t="s">
        <v>1782</v>
      </c>
      <c r="E1613" t="s">
        <v>95</v>
      </c>
      <c r="F1613" t="s">
        <v>11</v>
      </c>
      <c r="G1613" t="s">
        <v>92</v>
      </c>
      <c r="H1613" t="s">
        <v>2425</v>
      </c>
      <c r="I1613" s="7">
        <v>157.91999999999999</v>
      </c>
      <c r="J1613" s="8">
        <v>5</v>
      </c>
      <c r="K1613" s="7">
        <v>17.77</v>
      </c>
    </row>
    <row r="1614" spans="1:11" x14ac:dyDescent="0.3">
      <c r="A1614" s="2" t="s">
        <v>2424</v>
      </c>
      <c r="B1614" s="9" t="e">
        <f>MONTH(Table1[[#This Row],[Order Date]])</f>
        <v>#VALUE!</v>
      </c>
      <c r="C1614" s="9" t="e">
        <f>YEAR(Table1[[#This Row],[Order Date]])</f>
        <v>#VALUE!</v>
      </c>
      <c r="D1614" t="s">
        <v>510</v>
      </c>
      <c r="E1614" t="s">
        <v>27</v>
      </c>
      <c r="F1614" t="s">
        <v>34</v>
      </c>
      <c r="G1614" t="s">
        <v>47</v>
      </c>
      <c r="H1614" t="s">
        <v>2426</v>
      </c>
      <c r="I1614" s="7">
        <v>28.28</v>
      </c>
      <c r="J1614" s="8">
        <v>2</v>
      </c>
      <c r="K1614" s="7">
        <v>7.35</v>
      </c>
    </row>
    <row r="1615" spans="1:11" x14ac:dyDescent="0.3">
      <c r="A1615" s="2" t="s">
        <v>2646</v>
      </c>
      <c r="B1615" s="9" t="e">
        <f>MONTH(Table1[[#This Row],[Order Date]])</f>
        <v>#VALUE!</v>
      </c>
      <c r="C1615" s="9" t="e">
        <f>YEAR(Table1[[#This Row],[Order Date]])</f>
        <v>#VALUE!</v>
      </c>
      <c r="D1615" t="s">
        <v>2341</v>
      </c>
      <c r="E1615" t="s">
        <v>15</v>
      </c>
      <c r="F1615" t="s">
        <v>34</v>
      </c>
      <c r="G1615" t="s">
        <v>35</v>
      </c>
      <c r="H1615" t="s">
        <v>2588</v>
      </c>
      <c r="I1615" s="7">
        <v>89.77</v>
      </c>
      <c r="J1615" s="8">
        <v>1</v>
      </c>
      <c r="K1615" s="7">
        <v>-2.56</v>
      </c>
    </row>
    <row r="1616" spans="1:11" x14ac:dyDescent="0.3">
      <c r="A1616" s="2" t="s">
        <v>2646</v>
      </c>
      <c r="B1616" s="9" t="e">
        <f>MONTH(Table1[[#This Row],[Order Date]])</f>
        <v>#VALUE!</v>
      </c>
      <c r="C1616" s="9" t="e">
        <f>YEAR(Table1[[#This Row],[Order Date]])</f>
        <v>#VALUE!</v>
      </c>
      <c r="D1616" t="s">
        <v>225</v>
      </c>
      <c r="E1616" t="s">
        <v>600</v>
      </c>
      <c r="F1616" t="s">
        <v>11</v>
      </c>
      <c r="G1616" t="s">
        <v>92</v>
      </c>
      <c r="H1616" t="s">
        <v>2581</v>
      </c>
      <c r="I1616" s="7">
        <v>465.16</v>
      </c>
      <c r="J1616" s="8">
        <v>2</v>
      </c>
      <c r="K1616" s="7">
        <v>120.94</v>
      </c>
    </row>
    <row r="1617" spans="1:11" x14ac:dyDescent="0.3">
      <c r="A1617" s="2" t="s">
        <v>512</v>
      </c>
      <c r="B1617" s="9" t="e">
        <f>MONTH(Table1[[#This Row],[Order Date]])</f>
        <v>#VALUE!</v>
      </c>
      <c r="C1617" s="9" t="e">
        <f>YEAR(Table1[[#This Row],[Order Date]])</f>
        <v>#VALUE!</v>
      </c>
      <c r="D1617" t="s">
        <v>516</v>
      </c>
      <c r="E1617" t="s">
        <v>517</v>
      </c>
      <c r="F1617" t="s">
        <v>11</v>
      </c>
      <c r="G1617" t="s">
        <v>16</v>
      </c>
      <c r="H1617" t="s">
        <v>518</v>
      </c>
      <c r="I1617" s="7">
        <v>7.83</v>
      </c>
      <c r="J1617" s="8">
        <v>3</v>
      </c>
      <c r="K1617" s="7">
        <v>3.6</v>
      </c>
    </row>
    <row r="1618" spans="1:11" x14ac:dyDescent="0.3">
      <c r="A1618" s="2" t="s">
        <v>1966</v>
      </c>
      <c r="B1618" s="9" t="e">
        <f>MONTH(Table1[[#This Row],[Order Date]])</f>
        <v>#VALUE!</v>
      </c>
      <c r="C1618" s="9" t="e">
        <f>YEAR(Table1[[#This Row],[Order Date]])</f>
        <v>#VALUE!</v>
      </c>
      <c r="D1618" t="s">
        <v>1968</v>
      </c>
      <c r="E1618" t="s">
        <v>95</v>
      </c>
      <c r="F1618" t="s">
        <v>11</v>
      </c>
      <c r="G1618" t="s">
        <v>12</v>
      </c>
      <c r="H1618" t="s">
        <v>1969</v>
      </c>
      <c r="I1618" s="7">
        <v>54.82</v>
      </c>
      <c r="J1618" s="8">
        <v>3</v>
      </c>
      <c r="K1618" s="7">
        <v>17.82</v>
      </c>
    </row>
    <row r="1619" spans="1:11" x14ac:dyDescent="0.3">
      <c r="A1619" s="2" t="s">
        <v>1966</v>
      </c>
      <c r="B1619" s="9" t="e">
        <f>MONTH(Table1[[#This Row],[Order Date]])</f>
        <v>#VALUE!</v>
      </c>
      <c r="C1619" s="9" t="e">
        <f>YEAR(Table1[[#This Row],[Order Date]])</f>
        <v>#VALUE!</v>
      </c>
      <c r="D1619" t="s">
        <v>1359</v>
      </c>
      <c r="E1619" t="s">
        <v>95</v>
      </c>
      <c r="F1619" t="s">
        <v>11</v>
      </c>
      <c r="G1619" t="s">
        <v>18</v>
      </c>
      <c r="H1619" t="s">
        <v>1974</v>
      </c>
      <c r="I1619" s="7">
        <v>10.74</v>
      </c>
      <c r="J1619" s="8">
        <v>1</v>
      </c>
      <c r="K1619" s="7">
        <v>0.81</v>
      </c>
    </row>
    <row r="1620" spans="1:11" x14ac:dyDescent="0.3">
      <c r="A1620" s="2" t="s">
        <v>1966</v>
      </c>
      <c r="B1620" s="9" t="e">
        <f>MONTH(Table1[[#This Row],[Order Date]])</f>
        <v>#VALUE!</v>
      </c>
      <c r="C1620" s="9" t="e">
        <f>YEAR(Table1[[#This Row],[Order Date]])</f>
        <v>#VALUE!</v>
      </c>
      <c r="D1620" t="s">
        <v>1712</v>
      </c>
      <c r="E1620" t="s">
        <v>10</v>
      </c>
      <c r="F1620" t="s">
        <v>39</v>
      </c>
      <c r="G1620" t="s">
        <v>40</v>
      </c>
      <c r="H1620" t="s">
        <v>101</v>
      </c>
      <c r="I1620" s="7">
        <v>239.98</v>
      </c>
      <c r="J1620" s="8">
        <v>3</v>
      </c>
      <c r="K1620" s="7">
        <v>18</v>
      </c>
    </row>
    <row r="1621" spans="1:11" x14ac:dyDescent="0.3">
      <c r="A1621" s="2" t="s">
        <v>2659</v>
      </c>
      <c r="B1621" s="9" t="e">
        <f>MONTH(Table1[[#This Row],[Order Date]])</f>
        <v>#VALUE!</v>
      </c>
      <c r="C1621" s="9" t="e">
        <f>YEAR(Table1[[#This Row],[Order Date]])</f>
        <v>#VALUE!</v>
      </c>
      <c r="D1621" t="s">
        <v>2160</v>
      </c>
      <c r="E1621" t="s">
        <v>23</v>
      </c>
      <c r="F1621" t="s">
        <v>11</v>
      </c>
      <c r="G1621" t="s">
        <v>43</v>
      </c>
      <c r="H1621" t="s">
        <v>2522</v>
      </c>
      <c r="I1621" s="7">
        <v>7.92</v>
      </c>
      <c r="J1621" s="8">
        <v>5</v>
      </c>
      <c r="K1621" s="7">
        <v>1.68</v>
      </c>
    </row>
    <row r="1622" spans="1:11" x14ac:dyDescent="0.3">
      <c r="A1622" s="2" t="s">
        <v>651</v>
      </c>
      <c r="B1622" s="9" t="e">
        <f>MONTH(Table1[[#This Row],[Order Date]])</f>
        <v>#VALUE!</v>
      </c>
      <c r="C1622" s="9" t="e">
        <f>YEAR(Table1[[#This Row],[Order Date]])</f>
        <v>#VALUE!</v>
      </c>
      <c r="D1622" t="s">
        <v>545</v>
      </c>
      <c r="E1622" t="s">
        <v>27</v>
      </c>
      <c r="F1622" t="s">
        <v>34</v>
      </c>
      <c r="G1622" t="s">
        <v>35</v>
      </c>
      <c r="H1622" t="s">
        <v>372</v>
      </c>
      <c r="I1622" s="7">
        <v>279.45999999999998</v>
      </c>
      <c r="J1622" s="8">
        <v>6</v>
      </c>
      <c r="K1622" s="7">
        <v>20.96</v>
      </c>
    </row>
    <row r="1623" spans="1:11" x14ac:dyDescent="0.3">
      <c r="A1623" s="2" t="s">
        <v>651</v>
      </c>
      <c r="B1623" s="9" t="e">
        <f>MONTH(Table1[[#This Row],[Order Date]])</f>
        <v>#VALUE!</v>
      </c>
      <c r="C1623" s="9" t="e">
        <f>YEAR(Table1[[#This Row],[Order Date]])</f>
        <v>#VALUE!</v>
      </c>
      <c r="D1623" t="s">
        <v>545</v>
      </c>
      <c r="E1623" t="s">
        <v>27</v>
      </c>
      <c r="F1623" t="s">
        <v>11</v>
      </c>
      <c r="G1623" t="s">
        <v>12</v>
      </c>
      <c r="H1623" t="s">
        <v>325</v>
      </c>
      <c r="I1623" s="7">
        <v>8</v>
      </c>
      <c r="J1623" s="8">
        <v>2</v>
      </c>
      <c r="K1623" s="7">
        <v>3.84</v>
      </c>
    </row>
    <row r="1624" spans="1:11" x14ac:dyDescent="0.3">
      <c r="A1624" s="2" t="s">
        <v>2065</v>
      </c>
      <c r="B1624" s="9" t="e">
        <f>MONTH(Table1[[#This Row],[Order Date]])</f>
        <v>#VALUE!</v>
      </c>
      <c r="C1624" s="9" t="e">
        <f>YEAR(Table1[[#This Row],[Order Date]])</f>
        <v>#VALUE!</v>
      </c>
      <c r="D1624" t="s">
        <v>1626</v>
      </c>
      <c r="E1624" t="s">
        <v>474</v>
      </c>
      <c r="F1624" t="s">
        <v>11</v>
      </c>
      <c r="G1624" t="s">
        <v>24</v>
      </c>
      <c r="H1624" t="s">
        <v>1771</v>
      </c>
      <c r="I1624" s="7">
        <v>24.78</v>
      </c>
      <c r="J1624" s="8">
        <v>6</v>
      </c>
      <c r="K1624" s="7">
        <v>6.94</v>
      </c>
    </row>
    <row r="1625" spans="1:11" x14ac:dyDescent="0.3">
      <c r="A1625" s="2" t="s">
        <v>2514</v>
      </c>
      <c r="B1625" s="9" t="e">
        <f>MONTH(Table1[[#This Row],[Order Date]])</f>
        <v>#VALUE!</v>
      </c>
      <c r="C1625" s="9" t="e">
        <f>YEAR(Table1[[#This Row],[Order Date]])</f>
        <v>#VALUE!</v>
      </c>
      <c r="D1625" t="s">
        <v>1043</v>
      </c>
      <c r="E1625" t="s">
        <v>1255</v>
      </c>
      <c r="F1625" t="s">
        <v>11</v>
      </c>
      <c r="G1625" t="s">
        <v>16</v>
      </c>
      <c r="H1625" t="s">
        <v>1271</v>
      </c>
      <c r="I1625" s="7">
        <v>18.899999999999999</v>
      </c>
      <c r="J1625" s="8">
        <v>3</v>
      </c>
      <c r="K1625" s="7">
        <v>8.69</v>
      </c>
    </row>
    <row r="1626" spans="1:11" x14ac:dyDescent="0.3">
      <c r="A1626" s="2" t="s">
        <v>1259</v>
      </c>
      <c r="B1626" s="9" t="e">
        <f>MONTH(Table1[[#This Row],[Order Date]])</f>
        <v>#VALUE!</v>
      </c>
      <c r="C1626" s="9" t="e">
        <f>YEAR(Table1[[#This Row],[Order Date]])</f>
        <v>#VALUE!</v>
      </c>
      <c r="D1626" t="s">
        <v>1261</v>
      </c>
      <c r="E1626" t="s">
        <v>23</v>
      </c>
      <c r="F1626" t="s">
        <v>11</v>
      </c>
      <c r="G1626" t="s">
        <v>12</v>
      </c>
      <c r="H1626" t="s">
        <v>552</v>
      </c>
      <c r="I1626" s="7">
        <v>15.55</v>
      </c>
      <c r="J1626" s="8">
        <v>3</v>
      </c>
      <c r="K1626" s="7">
        <v>5.44</v>
      </c>
    </row>
    <row r="1627" spans="1:11" x14ac:dyDescent="0.3">
      <c r="A1627" s="2" t="s">
        <v>1259</v>
      </c>
      <c r="B1627" s="9" t="e">
        <f>MONTH(Table1[[#This Row],[Order Date]])</f>
        <v>#VALUE!</v>
      </c>
      <c r="C1627" s="9" t="e">
        <f>YEAR(Table1[[#This Row],[Order Date]])</f>
        <v>#VALUE!</v>
      </c>
      <c r="D1627" t="s">
        <v>1262</v>
      </c>
      <c r="E1627" t="s">
        <v>95</v>
      </c>
      <c r="F1627" t="s">
        <v>11</v>
      </c>
      <c r="G1627" t="s">
        <v>18</v>
      </c>
      <c r="H1627" t="s">
        <v>1263</v>
      </c>
      <c r="I1627" s="7">
        <v>79.400000000000006</v>
      </c>
      <c r="J1627" s="8">
        <v>5</v>
      </c>
      <c r="K1627" s="7">
        <v>5.96</v>
      </c>
    </row>
    <row r="1628" spans="1:11" x14ac:dyDescent="0.3">
      <c r="A1628" s="2" t="s">
        <v>2195</v>
      </c>
      <c r="B1628" s="9" t="e">
        <f>MONTH(Table1[[#This Row],[Order Date]])</f>
        <v>#VALUE!</v>
      </c>
      <c r="C1628" s="9" t="e">
        <f>YEAR(Table1[[#This Row],[Order Date]])</f>
        <v>#VALUE!</v>
      </c>
      <c r="D1628" t="s">
        <v>2197</v>
      </c>
      <c r="E1628" t="s">
        <v>27</v>
      </c>
      <c r="F1628" t="s">
        <v>34</v>
      </c>
      <c r="G1628" t="s">
        <v>47</v>
      </c>
      <c r="H1628" t="s">
        <v>1599</v>
      </c>
      <c r="I1628" s="7">
        <v>207.35</v>
      </c>
      <c r="J1628" s="8">
        <v>5</v>
      </c>
      <c r="K1628" s="7">
        <v>24.88</v>
      </c>
    </row>
    <row r="1629" spans="1:11" x14ac:dyDescent="0.3">
      <c r="A1629" s="2" t="s">
        <v>1425</v>
      </c>
      <c r="B1629" s="9" t="e">
        <f>MONTH(Table1[[#This Row],[Order Date]])</f>
        <v>#VALUE!</v>
      </c>
      <c r="C1629" s="9" t="e">
        <f>YEAR(Table1[[#This Row],[Order Date]])</f>
        <v>#VALUE!</v>
      </c>
      <c r="D1629" t="s">
        <v>1426</v>
      </c>
      <c r="E1629" t="s">
        <v>158</v>
      </c>
      <c r="F1629" t="s">
        <v>11</v>
      </c>
      <c r="G1629" t="s">
        <v>92</v>
      </c>
      <c r="H1629" t="s">
        <v>520</v>
      </c>
      <c r="I1629" s="7">
        <v>213.92</v>
      </c>
      <c r="J1629" s="8">
        <v>4</v>
      </c>
      <c r="K1629" s="7">
        <v>62.04</v>
      </c>
    </row>
    <row r="1630" spans="1:11" x14ac:dyDescent="0.3">
      <c r="A1630" s="2" t="s">
        <v>2587</v>
      </c>
      <c r="B1630" s="9" t="e">
        <f>MONTH(Table1[[#This Row],[Order Date]])</f>
        <v>#VALUE!</v>
      </c>
      <c r="C1630" s="9" t="e">
        <f>YEAR(Table1[[#This Row],[Order Date]])</f>
        <v>#VALUE!</v>
      </c>
      <c r="D1630" t="s">
        <v>554</v>
      </c>
      <c r="E1630" t="s">
        <v>27</v>
      </c>
      <c r="F1630" t="s">
        <v>11</v>
      </c>
      <c r="G1630" t="s">
        <v>194</v>
      </c>
      <c r="H1630" t="s">
        <v>2169</v>
      </c>
      <c r="I1630" s="7">
        <v>65.88</v>
      </c>
      <c r="J1630" s="8">
        <v>6</v>
      </c>
      <c r="K1630" s="7">
        <v>18.45</v>
      </c>
    </row>
    <row r="1631" spans="1:11" x14ac:dyDescent="0.3">
      <c r="A1631" s="2" t="s">
        <v>2587</v>
      </c>
      <c r="B1631" s="9" t="e">
        <f>MONTH(Table1[[#This Row],[Order Date]])</f>
        <v>#VALUE!</v>
      </c>
      <c r="C1631" s="9" t="e">
        <f>YEAR(Table1[[#This Row],[Order Date]])</f>
        <v>#VALUE!</v>
      </c>
      <c r="D1631" t="s">
        <v>1418</v>
      </c>
      <c r="E1631" t="s">
        <v>10</v>
      </c>
      <c r="F1631" t="s">
        <v>11</v>
      </c>
      <c r="G1631" t="s">
        <v>12</v>
      </c>
      <c r="H1631" t="s">
        <v>2552</v>
      </c>
      <c r="I1631" s="7">
        <v>8.2899999999999991</v>
      </c>
      <c r="J1631" s="8">
        <v>2</v>
      </c>
      <c r="K1631" s="7">
        <v>3</v>
      </c>
    </row>
    <row r="1632" spans="1:11" x14ac:dyDescent="0.3">
      <c r="A1632" s="2" t="s">
        <v>2587</v>
      </c>
      <c r="B1632" s="9" t="e">
        <f>MONTH(Table1[[#This Row],[Order Date]])</f>
        <v>#VALUE!</v>
      </c>
      <c r="C1632" s="9" t="e">
        <f>YEAR(Table1[[#This Row],[Order Date]])</f>
        <v>#VALUE!</v>
      </c>
      <c r="D1632" t="s">
        <v>1418</v>
      </c>
      <c r="E1632" t="s">
        <v>10</v>
      </c>
      <c r="F1632" t="s">
        <v>11</v>
      </c>
      <c r="G1632" t="s">
        <v>24</v>
      </c>
      <c r="H1632" t="s">
        <v>967</v>
      </c>
      <c r="I1632" s="7">
        <v>15.87</v>
      </c>
      <c r="J1632" s="8">
        <v>1</v>
      </c>
      <c r="K1632" s="7">
        <v>1.19</v>
      </c>
    </row>
    <row r="1633" spans="1:11" x14ac:dyDescent="0.3">
      <c r="A1633" s="2" t="s">
        <v>2716</v>
      </c>
      <c r="B1633" s="9" t="e">
        <f>MONTH(Table1[[#This Row],[Order Date]])</f>
        <v>#VALUE!</v>
      </c>
      <c r="C1633" s="9" t="e">
        <f>YEAR(Table1[[#This Row],[Order Date]])</f>
        <v>#VALUE!</v>
      </c>
      <c r="D1633" t="s">
        <v>1841</v>
      </c>
      <c r="E1633" t="s">
        <v>23</v>
      </c>
      <c r="F1633" t="s">
        <v>11</v>
      </c>
      <c r="G1633" t="s">
        <v>12</v>
      </c>
      <c r="H1633" t="s">
        <v>2707</v>
      </c>
      <c r="I1633" s="7">
        <v>11.65</v>
      </c>
      <c r="J1633" s="8">
        <v>2</v>
      </c>
      <c r="K1633" s="7">
        <v>4.08</v>
      </c>
    </row>
    <row r="1634" spans="1:11" x14ac:dyDescent="0.3">
      <c r="A1634" s="2" t="s">
        <v>2716</v>
      </c>
      <c r="B1634" s="9" t="e">
        <f>MONTH(Table1[[#This Row],[Order Date]])</f>
        <v>#VALUE!</v>
      </c>
      <c r="C1634" s="9" t="e">
        <f>YEAR(Table1[[#This Row],[Order Date]])</f>
        <v>#VALUE!</v>
      </c>
      <c r="D1634" t="s">
        <v>899</v>
      </c>
      <c r="E1634" t="s">
        <v>62</v>
      </c>
      <c r="F1634" t="s">
        <v>11</v>
      </c>
      <c r="G1634" t="s">
        <v>12</v>
      </c>
      <c r="H1634" t="s">
        <v>2077</v>
      </c>
      <c r="I1634" s="7">
        <v>25.92</v>
      </c>
      <c r="J1634" s="8">
        <v>4</v>
      </c>
      <c r="K1634" s="7">
        <v>12.44</v>
      </c>
    </row>
    <row r="1635" spans="1:11" x14ac:dyDescent="0.3">
      <c r="A1635" s="2" t="s">
        <v>2288</v>
      </c>
      <c r="B1635" s="9" t="e">
        <f>MONTH(Table1[[#This Row],[Order Date]])</f>
        <v>#VALUE!</v>
      </c>
      <c r="C1635" s="9" t="e">
        <f>YEAR(Table1[[#This Row],[Order Date]])</f>
        <v>#VALUE!</v>
      </c>
      <c r="D1635" t="s">
        <v>1612</v>
      </c>
      <c r="E1635" t="s">
        <v>237</v>
      </c>
      <c r="F1635" t="s">
        <v>11</v>
      </c>
      <c r="G1635" t="s">
        <v>12</v>
      </c>
      <c r="H1635" t="s">
        <v>2289</v>
      </c>
      <c r="I1635" s="7">
        <v>115.3</v>
      </c>
      <c r="J1635" s="8">
        <v>3</v>
      </c>
      <c r="K1635" s="7">
        <v>40.35</v>
      </c>
    </row>
    <row r="1636" spans="1:11" x14ac:dyDescent="0.3">
      <c r="A1636" s="2" t="s">
        <v>2288</v>
      </c>
      <c r="B1636" s="9" t="e">
        <f>MONTH(Table1[[#This Row],[Order Date]])</f>
        <v>#VALUE!</v>
      </c>
      <c r="C1636" s="9" t="e">
        <f>YEAR(Table1[[#This Row],[Order Date]])</f>
        <v>#VALUE!</v>
      </c>
      <c r="D1636" t="s">
        <v>866</v>
      </c>
      <c r="E1636" t="s">
        <v>15</v>
      </c>
      <c r="F1636" t="s">
        <v>34</v>
      </c>
      <c r="G1636" t="s">
        <v>47</v>
      </c>
      <c r="H1636" t="s">
        <v>2005</v>
      </c>
      <c r="I1636" s="7">
        <v>17.5</v>
      </c>
      <c r="J1636" s="8">
        <v>9</v>
      </c>
      <c r="K1636" s="7">
        <v>-7.44</v>
      </c>
    </row>
    <row r="1637" spans="1:11" x14ac:dyDescent="0.3">
      <c r="A1637" s="2" t="s">
        <v>2288</v>
      </c>
      <c r="B1637" s="9" t="e">
        <f>MONTH(Table1[[#This Row],[Order Date]])</f>
        <v>#VALUE!</v>
      </c>
      <c r="C1637" s="9" t="e">
        <f>YEAR(Table1[[#This Row],[Order Date]])</f>
        <v>#VALUE!</v>
      </c>
      <c r="D1637" t="s">
        <v>868</v>
      </c>
      <c r="E1637" t="s">
        <v>126</v>
      </c>
      <c r="F1637" t="s">
        <v>39</v>
      </c>
      <c r="G1637" t="s">
        <v>40</v>
      </c>
      <c r="H1637" t="s">
        <v>1278</v>
      </c>
      <c r="I1637" s="7">
        <v>50.97</v>
      </c>
      <c r="J1637" s="8">
        <v>3</v>
      </c>
      <c r="K1637" s="7">
        <v>13.25</v>
      </c>
    </row>
    <row r="1638" spans="1:11" x14ac:dyDescent="0.3">
      <c r="A1638" s="2" t="s">
        <v>2288</v>
      </c>
      <c r="B1638" s="9" t="e">
        <f>MONTH(Table1[[#This Row],[Order Date]])</f>
        <v>#VALUE!</v>
      </c>
      <c r="C1638" s="9" t="e">
        <f>YEAR(Table1[[#This Row],[Order Date]])</f>
        <v>#VALUE!</v>
      </c>
      <c r="D1638" t="s">
        <v>541</v>
      </c>
      <c r="E1638" t="s">
        <v>117</v>
      </c>
      <c r="F1638" t="s">
        <v>11</v>
      </c>
      <c r="G1638" t="s">
        <v>18</v>
      </c>
      <c r="H1638" t="s">
        <v>2291</v>
      </c>
      <c r="I1638" s="7">
        <v>84.96</v>
      </c>
      <c r="J1638" s="8">
        <v>6</v>
      </c>
      <c r="K1638" s="7">
        <v>6.37</v>
      </c>
    </row>
    <row r="1639" spans="1:11" x14ac:dyDescent="0.3">
      <c r="A1639" s="2" t="s">
        <v>2288</v>
      </c>
      <c r="B1639" s="9" t="e">
        <f>MONTH(Table1[[#This Row],[Order Date]])</f>
        <v>#VALUE!</v>
      </c>
      <c r="C1639" s="9" t="e">
        <f>YEAR(Table1[[#This Row],[Order Date]])</f>
        <v>#VALUE!</v>
      </c>
      <c r="D1639" t="s">
        <v>930</v>
      </c>
      <c r="E1639" t="s">
        <v>500</v>
      </c>
      <c r="F1639" t="s">
        <v>34</v>
      </c>
      <c r="G1639" t="s">
        <v>47</v>
      </c>
      <c r="H1639" t="s">
        <v>2085</v>
      </c>
      <c r="I1639" s="7">
        <v>63.98</v>
      </c>
      <c r="J1639" s="8">
        <v>7</v>
      </c>
      <c r="K1639" s="7">
        <v>21.75</v>
      </c>
    </row>
    <row r="1640" spans="1:11" x14ac:dyDescent="0.3">
      <c r="A1640" s="2" t="s">
        <v>2600</v>
      </c>
      <c r="B1640" s="9" t="e">
        <f>MONTH(Table1[[#This Row],[Order Date]])</f>
        <v>#VALUE!</v>
      </c>
      <c r="C1640" s="9" t="e">
        <f>YEAR(Table1[[#This Row],[Order Date]])</f>
        <v>#VALUE!</v>
      </c>
      <c r="D1640" t="s">
        <v>1014</v>
      </c>
      <c r="E1640" t="s">
        <v>819</v>
      </c>
      <c r="F1640" t="s">
        <v>34</v>
      </c>
      <c r="G1640" t="s">
        <v>47</v>
      </c>
      <c r="H1640" t="s">
        <v>1789</v>
      </c>
      <c r="I1640" s="7">
        <v>30.36</v>
      </c>
      <c r="J1640" s="8">
        <v>4</v>
      </c>
      <c r="K1640" s="7">
        <v>13.05</v>
      </c>
    </row>
    <row r="1641" spans="1:11" x14ac:dyDescent="0.3">
      <c r="A1641" s="2" t="s">
        <v>2600</v>
      </c>
      <c r="B1641" s="9" t="e">
        <f>MONTH(Table1[[#This Row],[Order Date]])</f>
        <v>#VALUE!</v>
      </c>
      <c r="C1641" s="9" t="e">
        <f>YEAR(Table1[[#This Row],[Order Date]])</f>
        <v>#VALUE!</v>
      </c>
      <c r="D1641" t="s">
        <v>1917</v>
      </c>
      <c r="E1641" t="s">
        <v>144</v>
      </c>
      <c r="F1641" t="s">
        <v>39</v>
      </c>
      <c r="G1641" t="s">
        <v>40</v>
      </c>
      <c r="H1641" t="s">
        <v>2601</v>
      </c>
      <c r="I1641" s="7">
        <v>2279.96</v>
      </c>
      <c r="J1641" s="8">
        <v>4</v>
      </c>
      <c r="K1641" s="7">
        <v>592.79</v>
      </c>
    </row>
    <row r="1642" spans="1:11" x14ac:dyDescent="0.3">
      <c r="A1642" s="2" t="s">
        <v>2726</v>
      </c>
      <c r="B1642" s="9" t="e">
        <f>MONTH(Table1[[#This Row],[Order Date]])</f>
        <v>#VALUE!</v>
      </c>
      <c r="C1642" s="9" t="e">
        <f>YEAR(Table1[[#This Row],[Order Date]])</f>
        <v>#VALUE!</v>
      </c>
      <c r="D1642" t="s">
        <v>1622</v>
      </c>
      <c r="E1642" t="s">
        <v>144</v>
      </c>
      <c r="F1642" t="s">
        <v>39</v>
      </c>
      <c r="G1642" t="s">
        <v>52</v>
      </c>
      <c r="H1642" t="s">
        <v>838</v>
      </c>
      <c r="I1642" s="7">
        <v>163.96</v>
      </c>
      <c r="J1642" s="8">
        <v>4</v>
      </c>
      <c r="K1642" s="7">
        <v>70.5</v>
      </c>
    </row>
    <row r="1643" spans="1:11" x14ac:dyDescent="0.3">
      <c r="A1643" s="2" t="s">
        <v>2726</v>
      </c>
      <c r="B1643" s="9" t="e">
        <f>MONTH(Table1[[#This Row],[Order Date]])</f>
        <v>#VALUE!</v>
      </c>
      <c r="C1643" s="9" t="e">
        <f>YEAR(Table1[[#This Row],[Order Date]])</f>
        <v>#VALUE!</v>
      </c>
      <c r="D1643" t="s">
        <v>433</v>
      </c>
      <c r="E1643" t="s">
        <v>10</v>
      </c>
      <c r="F1643" t="s">
        <v>34</v>
      </c>
      <c r="G1643" t="s">
        <v>74</v>
      </c>
      <c r="H1643" t="s">
        <v>2461</v>
      </c>
      <c r="I1643" s="7">
        <v>206</v>
      </c>
      <c r="J1643" s="8">
        <v>3</v>
      </c>
      <c r="K1643" s="7">
        <v>-27.26</v>
      </c>
    </row>
    <row r="1644" spans="1:11" x14ac:dyDescent="0.3">
      <c r="A1644" s="2" t="s">
        <v>2726</v>
      </c>
      <c r="B1644" s="9" t="e">
        <f>MONTH(Table1[[#This Row],[Order Date]])</f>
        <v>#VALUE!</v>
      </c>
      <c r="C1644" s="9" t="e">
        <f>YEAR(Table1[[#This Row],[Order Date]])</f>
        <v>#VALUE!</v>
      </c>
      <c r="D1644" t="s">
        <v>1822</v>
      </c>
      <c r="E1644" t="s">
        <v>144</v>
      </c>
      <c r="F1644" t="s">
        <v>39</v>
      </c>
      <c r="G1644" t="s">
        <v>40</v>
      </c>
      <c r="H1644" t="s">
        <v>2667</v>
      </c>
      <c r="I1644" s="7">
        <v>629.95000000000005</v>
      </c>
      <c r="J1644" s="8">
        <v>5</v>
      </c>
      <c r="K1644" s="7">
        <v>163.79</v>
      </c>
    </row>
    <row r="1645" spans="1:11" x14ac:dyDescent="0.3">
      <c r="A1645" s="2" t="s">
        <v>2726</v>
      </c>
      <c r="B1645" s="9" t="e">
        <f>MONTH(Table1[[#This Row],[Order Date]])</f>
        <v>#VALUE!</v>
      </c>
      <c r="C1645" s="9" t="e">
        <f>YEAR(Table1[[#This Row],[Order Date]])</f>
        <v>#VALUE!</v>
      </c>
      <c r="D1645" t="s">
        <v>347</v>
      </c>
      <c r="E1645" t="s">
        <v>474</v>
      </c>
      <c r="F1645" t="s">
        <v>39</v>
      </c>
      <c r="G1645" t="s">
        <v>52</v>
      </c>
      <c r="H1645" t="s">
        <v>1877</v>
      </c>
      <c r="I1645" s="7">
        <v>239.92</v>
      </c>
      <c r="J1645" s="8">
        <v>8</v>
      </c>
      <c r="K1645" s="7">
        <v>23.99</v>
      </c>
    </row>
    <row r="1646" spans="1:11" x14ac:dyDescent="0.3">
      <c r="A1646" s="2" t="s">
        <v>2726</v>
      </c>
      <c r="B1646" s="9" t="e">
        <f>MONTH(Table1[[#This Row],[Order Date]])</f>
        <v>#VALUE!</v>
      </c>
      <c r="C1646" s="9" t="e">
        <f>YEAR(Table1[[#This Row],[Order Date]])</f>
        <v>#VALUE!</v>
      </c>
      <c r="D1646" t="s">
        <v>988</v>
      </c>
      <c r="E1646" t="s">
        <v>27</v>
      </c>
      <c r="F1646" t="s">
        <v>39</v>
      </c>
      <c r="G1646" t="s">
        <v>40</v>
      </c>
      <c r="H1646" t="s">
        <v>2557</v>
      </c>
      <c r="I1646" s="7">
        <v>22</v>
      </c>
      <c r="J1646" s="8">
        <v>5</v>
      </c>
      <c r="K1646" s="7">
        <v>1.38</v>
      </c>
    </row>
    <row r="1647" spans="1:11" x14ac:dyDescent="0.3">
      <c r="A1647" s="2" t="s">
        <v>1735</v>
      </c>
      <c r="B1647" s="9" t="e">
        <f>MONTH(Table1[[#This Row],[Order Date]])</f>
        <v>#VALUE!</v>
      </c>
      <c r="C1647" s="9" t="e">
        <f>YEAR(Table1[[#This Row],[Order Date]])</f>
        <v>#VALUE!</v>
      </c>
      <c r="D1647" t="s">
        <v>1179</v>
      </c>
      <c r="E1647" t="s">
        <v>27</v>
      </c>
      <c r="F1647" t="s">
        <v>11</v>
      </c>
      <c r="G1647" t="s">
        <v>12</v>
      </c>
      <c r="H1647" t="s">
        <v>1362</v>
      </c>
      <c r="I1647" s="7">
        <v>90.24</v>
      </c>
      <c r="J1647" s="8">
        <v>6</v>
      </c>
      <c r="K1647" s="7">
        <v>41.51</v>
      </c>
    </row>
    <row r="1648" spans="1:11" x14ac:dyDescent="0.3">
      <c r="A1648" s="2" t="s">
        <v>1735</v>
      </c>
      <c r="B1648" s="9" t="e">
        <f>MONTH(Table1[[#This Row],[Order Date]])</f>
        <v>#VALUE!</v>
      </c>
      <c r="C1648" s="9" t="e">
        <f>YEAR(Table1[[#This Row],[Order Date]])</f>
        <v>#VALUE!</v>
      </c>
      <c r="D1648" t="s">
        <v>720</v>
      </c>
      <c r="E1648" t="s">
        <v>15</v>
      </c>
      <c r="F1648" t="s">
        <v>34</v>
      </c>
      <c r="G1648" t="s">
        <v>47</v>
      </c>
      <c r="H1648" t="s">
        <v>1737</v>
      </c>
      <c r="I1648" s="7">
        <v>94.43</v>
      </c>
      <c r="J1648" s="8">
        <v>3</v>
      </c>
      <c r="K1648" s="7">
        <v>-42.49</v>
      </c>
    </row>
    <row r="1649" spans="1:11" x14ac:dyDescent="0.3">
      <c r="A1649" s="2" t="s">
        <v>1735</v>
      </c>
      <c r="B1649" s="9" t="e">
        <f>MONTH(Table1[[#This Row],[Order Date]])</f>
        <v>#VALUE!</v>
      </c>
      <c r="C1649" s="9" t="e">
        <f>YEAR(Table1[[#This Row],[Order Date]])</f>
        <v>#VALUE!</v>
      </c>
      <c r="D1649" t="s">
        <v>672</v>
      </c>
      <c r="E1649" t="s">
        <v>95</v>
      </c>
      <c r="F1649" t="s">
        <v>34</v>
      </c>
      <c r="G1649" t="s">
        <v>47</v>
      </c>
      <c r="H1649" t="s">
        <v>701</v>
      </c>
      <c r="I1649" s="7">
        <v>87.96</v>
      </c>
      <c r="J1649" s="8">
        <v>3</v>
      </c>
      <c r="K1649" s="7">
        <v>7.7</v>
      </c>
    </row>
    <row r="1650" spans="1:11" x14ac:dyDescent="0.3">
      <c r="A1650" s="2" t="s">
        <v>1735</v>
      </c>
      <c r="B1650" s="9" t="e">
        <f>MONTH(Table1[[#This Row],[Order Date]])</f>
        <v>#VALUE!</v>
      </c>
      <c r="C1650" s="9" t="e">
        <f>YEAR(Table1[[#This Row],[Order Date]])</f>
        <v>#VALUE!</v>
      </c>
      <c r="D1650" t="s">
        <v>672</v>
      </c>
      <c r="E1650" t="s">
        <v>95</v>
      </c>
      <c r="F1650" t="s">
        <v>11</v>
      </c>
      <c r="G1650" t="s">
        <v>20</v>
      </c>
      <c r="H1650" t="s">
        <v>943</v>
      </c>
      <c r="I1650" s="7">
        <v>5.21</v>
      </c>
      <c r="J1650" s="8">
        <v>2</v>
      </c>
      <c r="K1650" s="7">
        <v>-4.17</v>
      </c>
    </row>
    <row r="1651" spans="1:11" x14ac:dyDescent="0.3">
      <c r="A1651" s="2" t="s">
        <v>2353</v>
      </c>
      <c r="B1651" s="9" t="e">
        <f>MONTH(Table1[[#This Row],[Order Date]])</f>
        <v>#VALUE!</v>
      </c>
      <c r="C1651" s="9" t="e">
        <f>YEAR(Table1[[#This Row],[Order Date]])</f>
        <v>#VALUE!</v>
      </c>
      <c r="D1651" t="s">
        <v>425</v>
      </c>
      <c r="E1651" t="s">
        <v>27</v>
      </c>
      <c r="F1651" t="s">
        <v>39</v>
      </c>
      <c r="G1651" t="s">
        <v>40</v>
      </c>
      <c r="H1651" t="s">
        <v>681</v>
      </c>
      <c r="I1651" s="7">
        <v>494.38</v>
      </c>
      <c r="J1651" s="8">
        <v>3</v>
      </c>
      <c r="K1651" s="7">
        <v>49.44</v>
      </c>
    </row>
    <row r="1652" spans="1:11" x14ac:dyDescent="0.3">
      <c r="A1652" s="2" t="s">
        <v>2736</v>
      </c>
      <c r="B1652" s="9" t="e">
        <f>MONTH(Table1[[#This Row],[Order Date]])</f>
        <v>#VALUE!</v>
      </c>
      <c r="C1652" s="9" t="e">
        <f>YEAR(Table1[[#This Row],[Order Date]])</f>
        <v>#VALUE!</v>
      </c>
      <c r="D1652" t="s">
        <v>893</v>
      </c>
      <c r="E1652" t="s">
        <v>27</v>
      </c>
      <c r="F1652" t="s">
        <v>34</v>
      </c>
      <c r="G1652" t="s">
        <v>47</v>
      </c>
      <c r="H1652" t="s">
        <v>1606</v>
      </c>
      <c r="I1652" s="7">
        <v>201.04</v>
      </c>
      <c r="J1652" s="8">
        <v>8</v>
      </c>
      <c r="K1652" s="7">
        <v>54.28</v>
      </c>
    </row>
    <row r="1653" spans="1:11" x14ac:dyDescent="0.3">
      <c r="A1653" s="2" t="s">
        <v>81</v>
      </c>
      <c r="B1653" s="9" t="e">
        <f>MONTH(Table1[[#This Row],[Order Date]])</f>
        <v>#VALUE!</v>
      </c>
      <c r="C1653" s="9" t="e">
        <f>YEAR(Table1[[#This Row],[Order Date]])</f>
        <v>#VALUE!</v>
      </c>
      <c r="D1653" t="s">
        <v>82</v>
      </c>
      <c r="E1653" t="s">
        <v>23</v>
      </c>
      <c r="F1653" t="s">
        <v>34</v>
      </c>
      <c r="G1653" t="s">
        <v>74</v>
      </c>
      <c r="H1653" t="s">
        <v>83</v>
      </c>
      <c r="I1653" s="7">
        <v>61.96</v>
      </c>
      <c r="J1653" s="8">
        <v>4</v>
      </c>
      <c r="K1653" s="7">
        <v>-53.29</v>
      </c>
    </row>
    <row r="1654" spans="1:11" x14ac:dyDescent="0.3">
      <c r="A1654" s="2" t="s">
        <v>2394</v>
      </c>
      <c r="B1654" s="9" t="e">
        <f>MONTH(Table1[[#This Row],[Order Date]])</f>
        <v>#VALUE!</v>
      </c>
      <c r="C1654" s="9" t="e">
        <f>YEAR(Table1[[#This Row],[Order Date]])</f>
        <v>#VALUE!</v>
      </c>
      <c r="D1654" t="s">
        <v>2018</v>
      </c>
      <c r="E1654" t="s">
        <v>237</v>
      </c>
      <c r="F1654" t="s">
        <v>34</v>
      </c>
      <c r="G1654" t="s">
        <v>47</v>
      </c>
      <c r="H1654" t="s">
        <v>2395</v>
      </c>
      <c r="I1654" s="7">
        <v>315.77999999999997</v>
      </c>
      <c r="J1654" s="8">
        <v>8</v>
      </c>
      <c r="K1654" s="7">
        <v>31.58</v>
      </c>
    </row>
    <row r="1655" spans="1:11" x14ac:dyDescent="0.3">
      <c r="A1655" s="2" t="s">
        <v>2635</v>
      </c>
      <c r="B1655" s="9" t="e">
        <f>MONTH(Table1[[#This Row],[Order Date]])</f>
        <v>#VALUE!</v>
      </c>
      <c r="C1655" s="9" t="e">
        <f>YEAR(Table1[[#This Row],[Order Date]])</f>
        <v>#VALUE!</v>
      </c>
      <c r="D1655" t="s">
        <v>1886</v>
      </c>
      <c r="E1655" t="s">
        <v>269</v>
      </c>
      <c r="F1655" t="s">
        <v>39</v>
      </c>
      <c r="G1655" t="s">
        <v>52</v>
      </c>
      <c r="H1655" t="s">
        <v>2397</v>
      </c>
      <c r="I1655" s="7">
        <v>169.06</v>
      </c>
      <c r="J1655" s="8">
        <v>7</v>
      </c>
      <c r="K1655" s="7">
        <v>-14.79</v>
      </c>
    </row>
    <row r="1656" spans="1:11" x14ac:dyDescent="0.3">
      <c r="A1656" s="2" t="s">
        <v>2635</v>
      </c>
      <c r="B1656" s="9" t="e">
        <f>MONTH(Table1[[#This Row],[Order Date]])</f>
        <v>#VALUE!</v>
      </c>
      <c r="C1656" s="9" t="e">
        <f>YEAR(Table1[[#This Row],[Order Date]])</f>
        <v>#VALUE!</v>
      </c>
      <c r="D1656" t="s">
        <v>2238</v>
      </c>
      <c r="E1656" t="s">
        <v>27</v>
      </c>
      <c r="F1656" t="s">
        <v>11</v>
      </c>
      <c r="G1656" t="s">
        <v>12</v>
      </c>
      <c r="H1656" t="s">
        <v>1987</v>
      </c>
      <c r="I1656" s="7">
        <v>154.9</v>
      </c>
      <c r="J1656" s="8">
        <v>5</v>
      </c>
      <c r="K1656" s="7">
        <v>69.709999999999994</v>
      </c>
    </row>
    <row r="1657" spans="1:11" x14ac:dyDescent="0.3">
      <c r="A1657" s="2" t="s">
        <v>2635</v>
      </c>
      <c r="B1657" s="9" t="e">
        <f>MONTH(Table1[[#This Row],[Order Date]])</f>
        <v>#VALUE!</v>
      </c>
      <c r="C1657" s="9" t="e">
        <f>YEAR(Table1[[#This Row],[Order Date]])</f>
        <v>#VALUE!</v>
      </c>
      <c r="D1657" t="s">
        <v>220</v>
      </c>
      <c r="E1657" t="s">
        <v>126</v>
      </c>
      <c r="F1657" t="s">
        <v>11</v>
      </c>
      <c r="G1657" t="s">
        <v>43</v>
      </c>
      <c r="H1657" t="s">
        <v>2050</v>
      </c>
      <c r="I1657" s="7">
        <v>2.52</v>
      </c>
      <c r="J1657" s="8">
        <v>2</v>
      </c>
      <c r="K1657" s="7">
        <v>0.1</v>
      </c>
    </row>
    <row r="1658" spans="1:11" x14ac:dyDescent="0.3">
      <c r="A1658" s="2" t="s">
        <v>188</v>
      </c>
      <c r="B1658" s="9" t="e">
        <f>MONTH(Table1[[#This Row],[Order Date]])</f>
        <v>#VALUE!</v>
      </c>
      <c r="C1658" s="9" t="e">
        <f>YEAR(Table1[[#This Row],[Order Date]])</f>
        <v>#VALUE!</v>
      </c>
      <c r="D1658" t="s">
        <v>189</v>
      </c>
      <c r="E1658" t="s">
        <v>10</v>
      </c>
      <c r="F1658" t="s">
        <v>11</v>
      </c>
      <c r="G1658" t="s">
        <v>12</v>
      </c>
      <c r="H1658" t="s">
        <v>190</v>
      </c>
      <c r="I1658" s="7">
        <v>16.18</v>
      </c>
      <c r="J1658" s="8">
        <v>3</v>
      </c>
      <c r="K1658" s="7">
        <v>6.07</v>
      </c>
    </row>
    <row r="1659" spans="1:11" x14ac:dyDescent="0.3">
      <c r="A1659" s="2" t="s">
        <v>1872</v>
      </c>
      <c r="B1659" s="9" t="e">
        <f>MONTH(Table1[[#This Row],[Order Date]])</f>
        <v>#VALUE!</v>
      </c>
      <c r="C1659" s="9" t="e">
        <f>YEAR(Table1[[#This Row],[Order Date]])</f>
        <v>#VALUE!</v>
      </c>
      <c r="D1659" t="s">
        <v>664</v>
      </c>
      <c r="E1659" t="s">
        <v>144</v>
      </c>
      <c r="F1659" t="s">
        <v>39</v>
      </c>
      <c r="G1659" t="s">
        <v>40</v>
      </c>
      <c r="H1659" t="s">
        <v>1651</v>
      </c>
      <c r="I1659" s="7">
        <v>625.99</v>
      </c>
      <c r="J1659" s="8">
        <v>1</v>
      </c>
      <c r="K1659" s="7">
        <v>187.8</v>
      </c>
    </row>
    <row r="1660" spans="1:11" x14ac:dyDescent="0.3">
      <c r="A1660" s="2" t="s">
        <v>281</v>
      </c>
      <c r="B1660" s="9" t="e">
        <f>MONTH(Table1[[#This Row],[Order Date]])</f>
        <v>#VALUE!</v>
      </c>
      <c r="C1660" s="9" t="e">
        <f>YEAR(Table1[[#This Row],[Order Date]])</f>
        <v>#VALUE!</v>
      </c>
      <c r="D1660" t="s">
        <v>292</v>
      </c>
      <c r="E1660" t="s">
        <v>15</v>
      </c>
      <c r="F1660" t="s">
        <v>39</v>
      </c>
      <c r="G1660" t="s">
        <v>293</v>
      </c>
      <c r="H1660" t="s">
        <v>294</v>
      </c>
      <c r="I1660" s="7">
        <v>574.91</v>
      </c>
      <c r="J1660" s="8">
        <v>2</v>
      </c>
      <c r="K1660" s="7">
        <v>156.05000000000001</v>
      </c>
    </row>
    <row r="1661" spans="1:11" x14ac:dyDescent="0.3">
      <c r="A1661" s="2" t="s">
        <v>1901</v>
      </c>
      <c r="B1661" s="9" t="e">
        <f>MONTH(Table1[[#This Row],[Order Date]])</f>
        <v>#VALUE!</v>
      </c>
      <c r="C1661" s="9" t="e">
        <f>YEAR(Table1[[#This Row],[Order Date]])</f>
        <v>#VALUE!</v>
      </c>
      <c r="D1661" t="s">
        <v>574</v>
      </c>
      <c r="E1661" t="s">
        <v>27</v>
      </c>
      <c r="F1661" t="s">
        <v>11</v>
      </c>
      <c r="G1661" t="s">
        <v>12</v>
      </c>
      <c r="H1661" t="s">
        <v>1365</v>
      </c>
      <c r="I1661" s="7">
        <v>19.440000000000001</v>
      </c>
      <c r="J1661" s="8">
        <v>3</v>
      </c>
      <c r="K1661" s="7">
        <v>9.33</v>
      </c>
    </row>
    <row r="1662" spans="1:11" x14ac:dyDescent="0.3">
      <c r="A1662" s="2" t="s">
        <v>2452</v>
      </c>
      <c r="B1662" s="9" t="e">
        <f>MONTH(Table1[[#This Row],[Order Date]])</f>
        <v>#VALUE!</v>
      </c>
      <c r="C1662" s="9" t="e">
        <f>YEAR(Table1[[#This Row],[Order Date]])</f>
        <v>#VALUE!</v>
      </c>
      <c r="D1662" t="s">
        <v>2453</v>
      </c>
      <c r="E1662" t="s">
        <v>517</v>
      </c>
      <c r="F1662" t="s">
        <v>11</v>
      </c>
      <c r="G1662" t="s">
        <v>20</v>
      </c>
      <c r="H1662" t="s">
        <v>2454</v>
      </c>
      <c r="I1662" s="7">
        <v>25.06</v>
      </c>
      <c r="J1662" s="8">
        <v>2</v>
      </c>
      <c r="K1662" s="7">
        <v>11.78</v>
      </c>
    </row>
    <row r="1663" spans="1:11" x14ac:dyDescent="0.3">
      <c r="A1663" s="2" t="s">
        <v>2025</v>
      </c>
      <c r="B1663" s="9" t="e">
        <f>MONTH(Table1[[#This Row],[Order Date]])</f>
        <v>#VALUE!</v>
      </c>
      <c r="C1663" s="9" t="e">
        <f>YEAR(Table1[[#This Row],[Order Date]])</f>
        <v>#VALUE!</v>
      </c>
      <c r="D1663" t="s">
        <v>1912</v>
      </c>
      <c r="E1663" t="s">
        <v>23</v>
      </c>
      <c r="F1663" t="s">
        <v>11</v>
      </c>
      <c r="G1663" t="s">
        <v>24</v>
      </c>
      <c r="H1663" t="s">
        <v>2027</v>
      </c>
      <c r="I1663" s="7">
        <v>2.7</v>
      </c>
      <c r="J1663" s="8">
        <v>1</v>
      </c>
      <c r="K1663" s="7">
        <v>0.81</v>
      </c>
    </row>
    <row r="1664" spans="1:11" x14ac:dyDescent="0.3">
      <c r="A1664" s="2" t="s">
        <v>2025</v>
      </c>
      <c r="B1664" s="9" t="e">
        <f>MONTH(Table1[[#This Row],[Order Date]])</f>
        <v>#VALUE!</v>
      </c>
      <c r="C1664" s="9" t="e">
        <f>YEAR(Table1[[#This Row],[Order Date]])</f>
        <v>#VALUE!</v>
      </c>
      <c r="D1664" t="s">
        <v>1912</v>
      </c>
      <c r="E1664" t="s">
        <v>23</v>
      </c>
      <c r="F1664" t="s">
        <v>11</v>
      </c>
      <c r="G1664" t="s">
        <v>20</v>
      </c>
      <c r="H1664" t="s">
        <v>957</v>
      </c>
      <c r="I1664" s="7">
        <v>4.9000000000000004</v>
      </c>
      <c r="J1664" s="8">
        <v>3</v>
      </c>
      <c r="K1664" s="7">
        <v>-3.43</v>
      </c>
    </row>
    <row r="1665" spans="1:11" x14ac:dyDescent="0.3">
      <c r="A1665" s="2" t="s">
        <v>2662</v>
      </c>
      <c r="B1665" s="9" t="e">
        <f>MONTH(Table1[[#This Row],[Order Date]])</f>
        <v>#VALUE!</v>
      </c>
      <c r="C1665" s="9" t="e">
        <f>YEAR(Table1[[#This Row],[Order Date]])</f>
        <v>#VALUE!</v>
      </c>
      <c r="D1665" t="s">
        <v>246</v>
      </c>
      <c r="E1665" t="s">
        <v>322</v>
      </c>
      <c r="F1665" t="s">
        <v>11</v>
      </c>
      <c r="G1665" t="s">
        <v>63</v>
      </c>
      <c r="H1665" t="s">
        <v>1631</v>
      </c>
      <c r="I1665" s="7">
        <v>48.69</v>
      </c>
      <c r="J1665" s="8">
        <v>9</v>
      </c>
      <c r="K1665" s="7">
        <v>23.86</v>
      </c>
    </row>
    <row r="1666" spans="1:11" x14ac:dyDescent="0.3">
      <c r="A1666" s="2" t="s">
        <v>2662</v>
      </c>
      <c r="B1666" s="9" t="e">
        <f>MONTH(Table1[[#This Row],[Order Date]])</f>
        <v>#VALUE!</v>
      </c>
      <c r="C1666" s="9" t="e">
        <f>YEAR(Table1[[#This Row],[Order Date]])</f>
        <v>#VALUE!</v>
      </c>
      <c r="D1666" t="s">
        <v>440</v>
      </c>
      <c r="E1666" t="s">
        <v>158</v>
      </c>
      <c r="F1666" t="s">
        <v>11</v>
      </c>
      <c r="G1666" t="s">
        <v>12</v>
      </c>
      <c r="H1666" t="s">
        <v>1460</v>
      </c>
      <c r="I1666" s="7">
        <v>440.19</v>
      </c>
      <c r="J1666" s="8">
        <v>9</v>
      </c>
      <c r="K1666" s="7">
        <v>206.89</v>
      </c>
    </row>
    <row r="1667" spans="1:11" x14ac:dyDescent="0.3">
      <c r="A1667" s="2" t="s">
        <v>2662</v>
      </c>
      <c r="B1667" s="9" t="e">
        <f>MONTH(Table1[[#This Row],[Order Date]])</f>
        <v>#VALUE!</v>
      </c>
      <c r="C1667" s="9" t="e">
        <f>YEAR(Table1[[#This Row],[Order Date]])</f>
        <v>#VALUE!</v>
      </c>
      <c r="D1667" t="s">
        <v>694</v>
      </c>
      <c r="E1667" t="s">
        <v>10</v>
      </c>
      <c r="F1667" t="s">
        <v>11</v>
      </c>
      <c r="G1667" t="s">
        <v>12</v>
      </c>
      <c r="H1667" t="s">
        <v>2316</v>
      </c>
      <c r="I1667" s="7">
        <v>47.95</v>
      </c>
      <c r="J1667" s="8">
        <v>3</v>
      </c>
      <c r="K1667" s="7">
        <v>16.18</v>
      </c>
    </row>
    <row r="1668" spans="1:11" x14ac:dyDescent="0.3">
      <c r="A1668" s="2" t="s">
        <v>2662</v>
      </c>
      <c r="B1668" s="9" t="e">
        <f>MONTH(Table1[[#This Row],[Order Date]])</f>
        <v>#VALUE!</v>
      </c>
      <c r="C1668" s="9" t="e">
        <f>YEAR(Table1[[#This Row],[Order Date]])</f>
        <v>#VALUE!</v>
      </c>
      <c r="D1668" t="s">
        <v>694</v>
      </c>
      <c r="E1668" t="s">
        <v>10</v>
      </c>
      <c r="F1668" t="s">
        <v>39</v>
      </c>
      <c r="G1668" t="s">
        <v>40</v>
      </c>
      <c r="H1668" t="s">
        <v>2578</v>
      </c>
      <c r="I1668" s="7">
        <v>7.99</v>
      </c>
      <c r="J1668" s="8">
        <v>1</v>
      </c>
      <c r="K1668" s="7">
        <v>0.7</v>
      </c>
    </row>
    <row r="1669" spans="1:11" x14ac:dyDescent="0.3">
      <c r="A1669" s="2" t="s">
        <v>795</v>
      </c>
      <c r="B1669" s="9" t="e">
        <f>MONTH(Table1[[#This Row],[Order Date]])</f>
        <v>#VALUE!</v>
      </c>
      <c r="C1669" s="9" t="e">
        <f>YEAR(Table1[[#This Row],[Order Date]])</f>
        <v>#VALUE!</v>
      </c>
      <c r="D1669" t="s">
        <v>796</v>
      </c>
      <c r="E1669" t="s">
        <v>108</v>
      </c>
      <c r="F1669" t="s">
        <v>34</v>
      </c>
      <c r="G1669" t="s">
        <v>74</v>
      </c>
      <c r="H1669" t="s">
        <v>797</v>
      </c>
      <c r="I1669" s="7">
        <v>212.94</v>
      </c>
      <c r="J1669" s="8">
        <v>3</v>
      </c>
      <c r="K1669" s="7">
        <v>57.49</v>
      </c>
    </row>
    <row r="1670" spans="1:11" x14ac:dyDescent="0.3">
      <c r="A1670" s="2" t="s">
        <v>2515</v>
      </c>
      <c r="B1670" s="9" t="e">
        <f>MONTH(Table1[[#This Row],[Order Date]])</f>
        <v>#VALUE!</v>
      </c>
      <c r="C1670" s="9" t="e">
        <f>YEAR(Table1[[#This Row],[Order Date]])</f>
        <v>#VALUE!</v>
      </c>
      <c r="D1670" t="s">
        <v>925</v>
      </c>
      <c r="E1670" t="s">
        <v>27</v>
      </c>
      <c r="F1670" t="s">
        <v>34</v>
      </c>
      <c r="G1670" t="s">
        <v>47</v>
      </c>
      <c r="H1670" t="s">
        <v>2460</v>
      </c>
      <c r="I1670" s="7">
        <v>8.73</v>
      </c>
      <c r="J1670" s="8">
        <v>3</v>
      </c>
      <c r="K1670" s="7">
        <v>4.0999999999999996</v>
      </c>
    </row>
    <row r="1671" spans="1:11" x14ac:dyDescent="0.3">
      <c r="A1671" s="2" t="s">
        <v>2515</v>
      </c>
      <c r="B1671" s="9" t="e">
        <f>MONTH(Table1[[#This Row],[Order Date]])</f>
        <v>#VALUE!</v>
      </c>
      <c r="C1671" s="9" t="e">
        <f>YEAR(Table1[[#This Row],[Order Date]])</f>
        <v>#VALUE!</v>
      </c>
      <c r="D1671" t="s">
        <v>365</v>
      </c>
      <c r="E1671" t="s">
        <v>120</v>
      </c>
      <c r="F1671" t="s">
        <v>39</v>
      </c>
      <c r="G1671" t="s">
        <v>52</v>
      </c>
      <c r="H1671" t="s">
        <v>2243</v>
      </c>
      <c r="I1671" s="7">
        <v>18.46</v>
      </c>
      <c r="J1671" s="8">
        <v>2</v>
      </c>
      <c r="K1671" s="7">
        <v>2.31</v>
      </c>
    </row>
    <row r="1672" spans="1:11" x14ac:dyDescent="0.3">
      <c r="A1672" s="2" t="s">
        <v>929</v>
      </c>
      <c r="B1672" s="9" t="e">
        <f>MONTH(Table1[[#This Row],[Order Date]])</f>
        <v>#VALUE!</v>
      </c>
      <c r="C1672" s="9" t="e">
        <f>YEAR(Table1[[#This Row],[Order Date]])</f>
        <v>#VALUE!</v>
      </c>
      <c r="D1672" t="s">
        <v>189</v>
      </c>
      <c r="E1672" t="s">
        <v>23</v>
      </c>
      <c r="F1672" t="s">
        <v>39</v>
      </c>
      <c r="G1672" t="s">
        <v>40</v>
      </c>
      <c r="H1672" t="s">
        <v>932</v>
      </c>
      <c r="I1672" s="7">
        <v>13.49</v>
      </c>
      <c r="J1672" s="8">
        <v>1</v>
      </c>
      <c r="K1672" s="7">
        <v>-2.25</v>
      </c>
    </row>
    <row r="1673" spans="1:11" x14ac:dyDescent="0.3">
      <c r="A1673" s="2" t="s">
        <v>929</v>
      </c>
      <c r="B1673" s="9" t="e">
        <f>MONTH(Table1[[#This Row],[Order Date]])</f>
        <v>#VALUE!</v>
      </c>
      <c r="C1673" s="9" t="e">
        <f>YEAR(Table1[[#This Row],[Order Date]])</f>
        <v>#VALUE!</v>
      </c>
      <c r="D1673" t="s">
        <v>935</v>
      </c>
      <c r="E1673" t="s">
        <v>59</v>
      </c>
      <c r="F1673" t="s">
        <v>11</v>
      </c>
      <c r="G1673" t="s">
        <v>92</v>
      </c>
      <c r="H1673" t="s">
        <v>936</v>
      </c>
      <c r="I1673" s="7">
        <v>39.479999999999997</v>
      </c>
      <c r="J1673" s="8">
        <v>1</v>
      </c>
      <c r="K1673" s="7">
        <v>11.05</v>
      </c>
    </row>
    <row r="1674" spans="1:11" x14ac:dyDescent="0.3">
      <c r="A1674" s="2" t="s">
        <v>2687</v>
      </c>
      <c r="B1674" s="9" t="e">
        <f>MONTH(Table1[[#This Row],[Order Date]])</f>
        <v>#VALUE!</v>
      </c>
      <c r="C1674" s="9" t="e">
        <f>YEAR(Table1[[#This Row],[Order Date]])</f>
        <v>#VALUE!</v>
      </c>
      <c r="D1674" t="s">
        <v>524</v>
      </c>
      <c r="E1674" t="s">
        <v>78</v>
      </c>
      <c r="F1674" t="s">
        <v>11</v>
      </c>
      <c r="G1674" t="s">
        <v>12</v>
      </c>
      <c r="H1674" t="s">
        <v>2380</v>
      </c>
      <c r="I1674" s="7">
        <v>9.25</v>
      </c>
      <c r="J1674" s="8">
        <v>2</v>
      </c>
      <c r="K1674" s="7">
        <v>3.35</v>
      </c>
    </row>
    <row r="1675" spans="1:11" x14ac:dyDescent="0.3">
      <c r="A1675" s="2" t="s">
        <v>2551</v>
      </c>
      <c r="B1675" s="9" t="e">
        <f>MONTH(Table1[[#This Row],[Order Date]])</f>
        <v>#VALUE!</v>
      </c>
      <c r="C1675" s="9" t="e">
        <f>YEAR(Table1[[#This Row],[Order Date]])</f>
        <v>#VALUE!</v>
      </c>
      <c r="D1675" t="s">
        <v>2453</v>
      </c>
      <c r="E1675" t="s">
        <v>27</v>
      </c>
      <c r="F1675" t="s">
        <v>39</v>
      </c>
      <c r="G1675" t="s">
        <v>293</v>
      </c>
      <c r="H1675" t="s">
        <v>805</v>
      </c>
      <c r="I1675" s="7">
        <v>105.55</v>
      </c>
      <c r="J1675" s="8">
        <v>6</v>
      </c>
      <c r="K1675" s="7">
        <v>35.619999999999997</v>
      </c>
    </row>
    <row r="1676" spans="1:11" x14ac:dyDescent="0.3">
      <c r="A1676" s="2" t="s">
        <v>1268</v>
      </c>
      <c r="B1676" s="9" t="e">
        <f>MONTH(Table1[[#This Row],[Order Date]])</f>
        <v>#VALUE!</v>
      </c>
      <c r="C1676" s="9" t="e">
        <f>YEAR(Table1[[#This Row],[Order Date]])</f>
        <v>#VALUE!</v>
      </c>
      <c r="D1676" t="s">
        <v>858</v>
      </c>
      <c r="E1676" t="s">
        <v>120</v>
      </c>
      <c r="F1676" t="s">
        <v>11</v>
      </c>
      <c r="G1676" t="s">
        <v>92</v>
      </c>
      <c r="H1676" t="s">
        <v>1273</v>
      </c>
      <c r="I1676" s="7">
        <v>13</v>
      </c>
      <c r="J1676" s="8">
        <v>5</v>
      </c>
      <c r="K1676" s="7">
        <v>1.3</v>
      </c>
    </row>
    <row r="1677" spans="1:11" x14ac:dyDescent="0.3">
      <c r="A1677" s="2" t="s">
        <v>2570</v>
      </c>
      <c r="B1677" s="9" t="e">
        <f>MONTH(Table1[[#This Row],[Order Date]])</f>
        <v>#VALUE!</v>
      </c>
      <c r="C1677" s="9" t="e">
        <f>YEAR(Table1[[#This Row],[Order Date]])</f>
        <v>#VALUE!</v>
      </c>
      <c r="D1677" t="s">
        <v>248</v>
      </c>
      <c r="E1677" t="s">
        <v>144</v>
      </c>
      <c r="F1677" t="s">
        <v>39</v>
      </c>
      <c r="G1677" t="s">
        <v>40</v>
      </c>
      <c r="H1677" t="s">
        <v>1763</v>
      </c>
      <c r="I1677" s="7">
        <v>437.85</v>
      </c>
      <c r="J1677" s="8">
        <v>3</v>
      </c>
      <c r="K1677" s="7">
        <v>131.36000000000001</v>
      </c>
    </row>
    <row r="1678" spans="1:11" x14ac:dyDescent="0.3">
      <c r="A1678" s="2" t="s">
        <v>2570</v>
      </c>
      <c r="B1678" s="9" t="e">
        <f>MONTH(Table1[[#This Row],[Order Date]])</f>
        <v>#VALUE!</v>
      </c>
      <c r="C1678" s="9" t="e">
        <f>YEAR(Table1[[#This Row],[Order Date]])</f>
        <v>#VALUE!</v>
      </c>
      <c r="D1678" t="s">
        <v>248</v>
      </c>
      <c r="E1678" t="s">
        <v>144</v>
      </c>
      <c r="F1678" t="s">
        <v>11</v>
      </c>
      <c r="G1678" t="s">
        <v>20</v>
      </c>
      <c r="H1678" t="s">
        <v>409</v>
      </c>
      <c r="I1678" s="7">
        <v>673.57</v>
      </c>
      <c r="J1678" s="8">
        <v>2</v>
      </c>
      <c r="K1678" s="7">
        <v>252.59</v>
      </c>
    </row>
    <row r="1679" spans="1:11" x14ac:dyDescent="0.3">
      <c r="A1679" s="2" t="s">
        <v>2700</v>
      </c>
      <c r="B1679" s="9" t="e">
        <f>MONTH(Table1[[#This Row],[Order Date]])</f>
        <v>#VALUE!</v>
      </c>
      <c r="C1679" s="9" t="e">
        <f>YEAR(Table1[[#This Row],[Order Date]])</f>
        <v>#VALUE!</v>
      </c>
      <c r="D1679" t="s">
        <v>2161</v>
      </c>
      <c r="E1679" t="s">
        <v>144</v>
      </c>
      <c r="F1679" t="s">
        <v>11</v>
      </c>
      <c r="G1679" t="s">
        <v>24</v>
      </c>
      <c r="H1679" t="s">
        <v>2668</v>
      </c>
      <c r="I1679" s="7">
        <v>29.95</v>
      </c>
      <c r="J1679" s="8">
        <v>5</v>
      </c>
      <c r="K1679" s="7">
        <v>8.69</v>
      </c>
    </row>
    <row r="1680" spans="1:11" x14ac:dyDescent="0.3">
      <c r="A1680" s="2" t="s">
        <v>2700</v>
      </c>
      <c r="B1680" s="9" t="e">
        <f>MONTH(Table1[[#This Row],[Order Date]])</f>
        <v>#VALUE!</v>
      </c>
      <c r="C1680" s="9" t="e">
        <f>YEAR(Table1[[#This Row],[Order Date]])</f>
        <v>#VALUE!</v>
      </c>
      <c r="D1680" t="s">
        <v>2429</v>
      </c>
      <c r="E1680" t="s">
        <v>144</v>
      </c>
      <c r="F1680" t="s">
        <v>11</v>
      </c>
      <c r="G1680" t="s">
        <v>12</v>
      </c>
      <c r="H1680" t="s">
        <v>2649</v>
      </c>
      <c r="I1680" s="7">
        <v>8.56</v>
      </c>
      <c r="J1680" s="8">
        <v>2</v>
      </c>
      <c r="K1680" s="7">
        <v>3.85</v>
      </c>
    </row>
    <row r="1681" spans="1:11" x14ac:dyDescent="0.3">
      <c r="A1681" s="2" t="s">
        <v>1433</v>
      </c>
      <c r="B1681" s="9" t="e">
        <f>MONTH(Table1[[#This Row],[Order Date]])</f>
        <v>#VALUE!</v>
      </c>
      <c r="C1681" s="9" t="e">
        <f>YEAR(Table1[[#This Row],[Order Date]])</f>
        <v>#VALUE!</v>
      </c>
      <c r="D1681" t="s">
        <v>1438</v>
      </c>
      <c r="E1681" t="s">
        <v>422</v>
      </c>
      <c r="F1681" t="s">
        <v>34</v>
      </c>
      <c r="G1681" t="s">
        <v>35</v>
      </c>
      <c r="H1681" t="s">
        <v>1440</v>
      </c>
      <c r="I1681" s="7">
        <v>1628.82</v>
      </c>
      <c r="J1681" s="8">
        <v>9</v>
      </c>
      <c r="K1681" s="7">
        <v>260.61</v>
      </c>
    </row>
    <row r="1682" spans="1:11" x14ac:dyDescent="0.3">
      <c r="A1682" s="2" t="s">
        <v>2292</v>
      </c>
      <c r="B1682" s="9" t="e">
        <f>MONTH(Table1[[#This Row],[Order Date]])</f>
        <v>#VALUE!</v>
      </c>
      <c r="C1682" s="9" t="e">
        <f>YEAR(Table1[[#This Row],[Order Date]])</f>
        <v>#VALUE!</v>
      </c>
      <c r="D1682" t="s">
        <v>26</v>
      </c>
      <c r="E1682" t="s">
        <v>59</v>
      </c>
      <c r="F1682" t="s">
        <v>34</v>
      </c>
      <c r="G1682" t="s">
        <v>47</v>
      </c>
      <c r="H1682" t="s">
        <v>533</v>
      </c>
      <c r="I1682" s="7">
        <v>76.14</v>
      </c>
      <c r="J1682" s="8">
        <v>3</v>
      </c>
      <c r="K1682" s="7">
        <v>26.65</v>
      </c>
    </row>
    <row r="1683" spans="1:11" x14ac:dyDescent="0.3">
      <c r="A1683" s="2" t="s">
        <v>2292</v>
      </c>
      <c r="B1683" s="9" t="e">
        <f>MONTH(Table1[[#This Row],[Order Date]])</f>
        <v>#VALUE!</v>
      </c>
      <c r="C1683" s="9" t="e">
        <f>YEAR(Table1[[#This Row],[Order Date]])</f>
        <v>#VALUE!</v>
      </c>
      <c r="D1683" t="s">
        <v>1474</v>
      </c>
      <c r="E1683" t="s">
        <v>23</v>
      </c>
      <c r="F1683" t="s">
        <v>39</v>
      </c>
      <c r="G1683" t="s">
        <v>52</v>
      </c>
      <c r="H1683" t="s">
        <v>2294</v>
      </c>
      <c r="I1683" s="7">
        <v>47.98</v>
      </c>
      <c r="J1683" s="8">
        <v>2</v>
      </c>
      <c r="K1683" s="7">
        <v>-1.2</v>
      </c>
    </row>
    <row r="1684" spans="1:11" x14ac:dyDescent="0.3">
      <c r="A1684" s="2" t="s">
        <v>2292</v>
      </c>
      <c r="B1684" s="9" t="e">
        <f>MONTH(Table1[[#This Row],[Order Date]])</f>
        <v>#VALUE!</v>
      </c>
      <c r="C1684" s="9" t="e">
        <f>YEAR(Table1[[#This Row],[Order Date]])</f>
        <v>#VALUE!</v>
      </c>
      <c r="D1684" t="s">
        <v>440</v>
      </c>
      <c r="E1684" t="s">
        <v>91</v>
      </c>
      <c r="F1684" t="s">
        <v>39</v>
      </c>
      <c r="G1684" t="s">
        <v>52</v>
      </c>
      <c r="H1684" t="s">
        <v>1829</v>
      </c>
      <c r="I1684" s="7">
        <v>91.18</v>
      </c>
      <c r="J1684" s="8">
        <v>3</v>
      </c>
      <c r="K1684" s="7">
        <v>4.5599999999999996</v>
      </c>
    </row>
    <row r="1685" spans="1:11" x14ac:dyDescent="0.3">
      <c r="A1685" s="2" t="s">
        <v>2602</v>
      </c>
      <c r="B1685" s="9" t="e">
        <f>MONTH(Table1[[#This Row],[Order Date]])</f>
        <v>#VALUE!</v>
      </c>
      <c r="C1685" s="9" t="e">
        <f>YEAR(Table1[[#This Row],[Order Date]])</f>
        <v>#VALUE!</v>
      </c>
      <c r="D1685" t="s">
        <v>9</v>
      </c>
      <c r="E1685" t="s">
        <v>144</v>
      </c>
      <c r="F1685" t="s">
        <v>39</v>
      </c>
      <c r="G1685" t="s">
        <v>40</v>
      </c>
      <c r="H1685" t="s">
        <v>1902</v>
      </c>
      <c r="I1685" s="7">
        <v>13.98</v>
      </c>
      <c r="J1685" s="8">
        <v>2</v>
      </c>
      <c r="K1685" s="7">
        <v>3.91</v>
      </c>
    </row>
    <row r="1686" spans="1:11" x14ac:dyDescent="0.3">
      <c r="A1686" s="2" t="s">
        <v>2727</v>
      </c>
      <c r="B1686" s="9" t="e">
        <f>MONTH(Table1[[#This Row],[Order Date]])</f>
        <v>#VALUE!</v>
      </c>
      <c r="C1686" s="9" t="e">
        <f>YEAR(Table1[[#This Row],[Order Date]])</f>
        <v>#VALUE!</v>
      </c>
      <c r="D1686" t="s">
        <v>107</v>
      </c>
      <c r="E1686" t="s">
        <v>10</v>
      </c>
      <c r="F1686" t="s">
        <v>39</v>
      </c>
      <c r="G1686" t="s">
        <v>52</v>
      </c>
      <c r="H1686" t="s">
        <v>2430</v>
      </c>
      <c r="I1686" s="7">
        <v>167.95</v>
      </c>
      <c r="J1686" s="8">
        <v>6</v>
      </c>
      <c r="K1686" s="7">
        <v>-27.29</v>
      </c>
    </row>
    <row r="1687" spans="1:11" x14ac:dyDescent="0.3">
      <c r="A1687" s="2" t="s">
        <v>1739</v>
      </c>
      <c r="B1687" s="9" t="e">
        <f>MONTH(Table1[[#This Row],[Order Date]])</f>
        <v>#VALUE!</v>
      </c>
      <c r="C1687" s="9" t="e">
        <f>YEAR(Table1[[#This Row],[Order Date]])</f>
        <v>#VALUE!</v>
      </c>
      <c r="D1687" t="s">
        <v>1741</v>
      </c>
      <c r="E1687" t="s">
        <v>78</v>
      </c>
      <c r="F1687" t="s">
        <v>34</v>
      </c>
      <c r="G1687" t="s">
        <v>140</v>
      </c>
      <c r="H1687" t="s">
        <v>1742</v>
      </c>
      <c r="I1687" s="7">
        <v>136.53</v>
      </c>
      <c r="J1687" s="8">
        <v>1</v>
      </c>
      <c r="K1687" s="7">
        <v>-52.34</v>
      </c>
    </row>
    <row r="1688" spans="1:11" x14ac:dyDescent="0.3">
      <c r="A1688" s="2" t="s">
        <v>2355</v>
      </c>
      <c r="B1688" s="9" t="e">
        <f>MONTH(Table1[[#This Row],[Order Date]])</f>
        <v>#VALUE!</v>
      </c>
      <c r="C1688" s="9" t="e">
        <f>YEAR(Table1[[#This Row],[Order Date]])</f>
        <v>#VALUE!</v>
      </c>
      <c r="D1688" t="s">
        <v>2356</v>
      </c>
      <c r="E1688" t="s">
        <v>91</v>
      </c>
      <c r="F1688" t="s">
        <v>39</v>
      </c>
      <c r="G1688" t="s">
        <v>40</v>
      </c>
      <c r="H1688" t="s">
        <v>1821</v>
      </c>
      <c r="I1688" s="7">
        <v>319.97000000000003</v>
      </c>
      <c r="J1688" s="8">
        <v>4</v>
      </c>
      <c r="K1688" s="7">
        <v>36</v>
      </c>
    </row>
    <row r="1689" spans="1:11" x14ac:dyDescent="0.3">
      <c r="A1689" s="2" t="s">
        <v>2355</v>
      </c>
      <c r="B1689" s="9" t="e">
        <f>MONTH(Table1[[#This Row],[Order Date]])</f>
        <v>#VALUE!</v>
      </c>
      <c r="C1689" s="9" t="e">
        <f>YEAR(Table1[[#This Row],[Order Date]])</f>
        <v>#VALUE!</v>
      </c>
      <c r="D1689" t="s">
        <v>1578</v>
      </c>
      <c r="E1689" t="s">
        <v>27</v>
      </c>
      <c r="F1689" t="s">
        <v>11</v>
      </c>
      <c r="G1689" t="s">
        <v>20</v>
      </c>
      <c r="H1689" t="s">
        <v>2359</v>
      </c>
      <c r="I1689" s="7">
        <v>55.26</v>
      </c>
      <c r="J1689" s="8">
        <v>2</v>
      </c>
      <c r="K1689" s="7">
        <v>20.72</v>
      </c>
    </row>
    <row r="1690" spans="1:11" x14ac:dyDescent="0.3">
      <c r="A1690" s="2" t="s">
        <v>2625</v>
      </c>
      <c r="B1690" s="9" t="e">
        <f>MONTH(Table1[[#This Row],[Order Date]])</f>
        <v>#VALUE!</v>
      </c>
      <c r="C1690" s="9" t="e">
        <f>YEAR(Table1[[#This Row],[Order Date]])</f>
        <v>#VALUE!</v>
      </c>
      <c r="D1690" t="s">
        <v>1557</v>
      </c>
      <c r="E1690" t="s">
        <v>144</v>
      </c>
      <c r="F1690" t="s">
        <v>11</v>
      </c>
      <c r="G1690" t="s">
        <v>12</v>
      </c>
      <c r="H1690" t="s">
        <v>702</v>
      </c>
      <c r="I1690" s="7">
        <v>14.62</v>
      </c>
      <c r="J1690" s="8">
        <v>2</v>
      </c>
      <c r="K1690" s="7">
        <v>6.73</v>
      </c>
    </row>
    <row r="1691" spans="1:11" x14ac:dyDescent="0.3">
      <c r="A1691" s="2" t="s">
        <v>2737</v>
      </c>
      <c r="B1691" s="9" t="e">
        <f>MONTH(Table1[[#This Row],[Order Date]])</f>
        <v>#VALUE!</v>
      </c>
      <c r="C1691" s="9" t="e">
        <f>YEAR(Table1[[#This Row],[Order Date]])</f>
        <v>#VALUE!</v>
      </c>
      <c r="D1691" t="s">
        <v>219</v>
      </c>
      <c r="E1691" t="s">
        <v>15</v>
      </c>
      <c r="F1691" t="s">
        <v>34</v>
      </c>
      <c r="G1691" t="s">
        <v>47</v>
      </c>
      <c r="H1691" t="s">
        <v>521</v>
      </c>
      <c r="I1691" s="7">
        <v>56.33</v>
      </c>
      <c r="J1691" s="8">
        <v>3</v>
      </c>
      <c r="K1691" s="7">
        <v>-26.76</v>
      </c>
    </row>
    <row r="1692" spans="1:11" x14ac:dyDescent="0.3">
      <c r="A1692" s="2" t="s">
        <v>2737</v>
      </c>
      <c r="B1692" s="9" t="e">
        <f>MONTH(Table1[[#This Row],[Order Date]])</f>
        <v>#VALUE!</v>
      </c>
      <c r="C1692" s="9" t="e">
        <f>YEAR(Table1[[#This Row],[Order Date]])</f>
        <v>#VALUE!</v>
      </c>
      <c r="D1692" t="s">
        <v>516</v>
      </c>
      <c r="E1692" t="s">
        <v>422</v>
      </c>
      <c r="F1692" t="s">
        <v>39</v>
      </c>
      <c r="G1692" t="s">
        <v>590</v>
      </c>
      <c r="H1692" t="s">
        <v>1319</v>
      </c>
      <c r="I1692" s="7">
        <v>1199.98</v>
      </c>
      <c r="J1692" s="8">
        <v>2</v>
      </c>
      <c r="K1692" s="7">
        <v>467.99</v>
      </c>
    </row>
    <row r="1693" spans="1:11" x14ac:dyDescent="0.3">
      <c r="A1693" s="2" t="s">
        <v>1875</v>
      </c>
      <c r="B1693" s="9" t="e">
        <f>MONTH(Table1[[#This Row],[Order Date]])</f>
        <v>#VALUE!</v>
      </c>
      <c r="C1693" s="9" t="e">
        <f>YEAR(Table1[[#This Row],[Order Date]])</f>
        <v>#VALUE!</v>
      </c>
      <c r="D1693" t="s">
        <v>586</v>
      </c>
      <c r="E1693" t="s">
        <v>27</v>
      </c>
      <c r="F1693" t="s">
        <v>11</v>
      </c>
      <c r="G1693" t="s">
        <v>92</v>
      </c>
      <c r="H1693" t="s">
        <v>558</v>
      </c>
      <c r="I1693" s="7">
        <v>541.44000000000005</v>
      </c>
      <c r="J1693" s="8">
        <v>6</v>
      </c>
      <c r="K1693" s="7">
        <v>157.02000000000001</v>
      </c>
    </row>
    <row r="1694" spans="1:11" x14ac:dyDescent="0.3">
      <c r="A1694" s="2" t="s">
        <v>298</v>
      </c>
      <c r="B1694" s="9" t="e">
        <f>MONTH(Table1[[#This Row],[Order Date]])</f>
        <v>#VALUE!</v>
      </c>
      <c r="C1694" s="9" t="e">
        <f>YEAR(Table1[[#This Row],[Order Date]])</f>
        <v>#VALUE!</v>
      </c>
      <c r="D1694" t="s">
        <v>299</v>
      </c>
      <c r="E1694" t="s">
        <v>120</v>
      </c>
      <c r="F1694" t="s">
        <v>11</v>
      </c>
      <c r="G1694" t="s">
        <v>12</v>
      </c>
      <c r="H1694" t="s">
        <v>304</v>
      </c>
      <c r="I1694" s="7">
        <v>131.9</v>
      </c>
      <c r="J1694" s="8">
        <v>3</v>
      </c>
      <c r="K1694" s="7">
        <v>47.82</v>
      </c>
    </row>
    <row r="1695" spans="1:11" x14ac:dyDescent="0.3">
      <c r="A1695" s="2" t="s">
        <v>2663</v>
      </c>
      <c r="B1695" s="9" t="e">
        <f>MONTH(Table1[[#This Row],[Order Date]])</f>
        <v>#VALUE!</v>
      </c>
      <c r="C1695" s="9" t="e">
        <f>YEAR(Table1[[#This Row],[Order Date]])</f>
        <v>#VALUE!</v>
      </c>
      <c r="D1695" t="s">
        <v>1293</v>
      </c>
      <c r="E1695" t="s">
        <v>95</v>
      </c>
      <c r="F1695" t="s">
        <v>11</v>
      </c>
      <c r="G1695" t="s">
        <v>12</v>
      </c>
      <c r="H1695" t="s">
        <v>2664</v>
      </c>
      <c r="I1695" s="7">
        <v>15.55</v>
      </c>
      <c r="J1695" s="8">
        <v>3</v>
      </c>
      <c r="K1695" s="7">
        <v>5.64</v>
      </c>
    </row>
    <row r="1696" spans="1:11" x14ac:dyDescent="0.3">
      <c r="A1696" s="2" t="s">
        <v>2068</v>
      </c>
      <c r="B1696" s="9" t="e">
        <f>MONTH(Table1[[#This Row],[Order Date]])</f>
        <v>#VALUE!</v>
      </c>
      <c r="C1696" s="9" t="e">
        <f>YEAR(Table1[[#This Row],[Order Date]])</f>
        <v>#VALUE!</v>
      </c>
      <c r="D1696" t="s">
        <v>605</v>
      </c>
      <c r="E1696" t="s">
        <v>95</v>
      </c>
      <c r="F1696" t="s">
        <v>34</v>
      </c>
      <c r="G1696" t="s">
        <v>47</v>
      </c>
      <c r="H1696" t="s">
        <v>1807</v>
      </c>
      <c r="I1696" s="7">
        <v>364.7</v>
      </c>
      <c r="J1696" s="8">
        <v>6</v>
      </c>
      <c r="K1696" s="7">
        <v>-36.47</v>
      </c>
    </row>
    <row r="1697" spans="1:11" x14ac:dyDescent="0.3">
      <c r="A1697" s="2" t="s">
        <v>2676</v>
      </c>
      <c r="B1697" s="9" t="e">
        <f>MONTH(Table1[[#This Row],[Order Date]])</f>
        <v>#VALUE!</v>
      </c>
      <c r="C1697" s="9" t="e">
        <f>YEAR(Table1[[#This Row],[Order Date]])</f>
        <v>#VALUE!</v>
      </c>
      <c r="D1697" t="s">
        <v>350</v>
      </c>
      <c r="E1697" t="s">
        <v>117</v>
      </c>
      <c r="F1697" t="s">
        <v>34</v>
      </c>
      <c r="G1697" t="s">
        <v>140</v>
      </c>
      <c r="H1697" t="s">
        <v>945</v>
      </c>
      <c r="I1697" s="7">
        <v>120.96</v>
      </c>
      <c r="J1697" s="8">
        <v>2</v>
      </c>
      <c r="K1697" s="7">
        <v>-28.22</v>
      </c>
    </row>
    <row r="1698" spans="1:11" x14ac:dyDescent="0.3">
      <c r="A1698" s="2" t="s">
        <v>2676</v>
      </c>
      <c r="B1698" s="9" t="e">
        <f>MONTH(Table1[[#This Row],[Order Date]])</f>
        <v>#VALUE!</v>
      </c>
      <c r="C1698" s="9" t="e">
        <f>YEAR(Table1[[#This Row],[Order Date]])</f>
        <v>#VALUE!</v>
      </c>
      <c r="D1698" t="s">
        <v>350</v>
      </c>
      <c r="E1698" t="s">
        <v>117</v>
      </c>
      <c r="F1698" t="s">
        <v>11</v>
      </c>
      <c r="G1698" t="s">
        <v>12</v>
      </c>
      <c r="H1698" t="s">
        <v>1100</v>
      </c>
      <c r="I1698" s="7">
        <v>91.36</v>
      </c>
      <c r="J1698" s="8">
        <v>5</v>
      </c>
      <c r="K1698" s="7">
        <v>29.69</v>
      </c>
    </row>
    <row r="1699" spans="1:11" x14ac:dyDescent="0.3">
      <c r="A1699" s="2" t="s">
        <v>2688</v>
      </c>
      <c r="B1699" s="9" t="e">
        <f>MONTH(Table1[[#This Row],[Order Date]])</f>
        <v>#VALUE!</v>
      </c>
      <c r="C1699" s="9" t="e">
        <f>YEAR(Table1[[#This Row],[Order Date]])</f>
        <v>#VALUE!</v>
      </c>
      <c r="D1699" t="s">
        <v>499</v>
      </c>
      <c r="E1699" t="s">
        <v>144</v>
      </c>
      <c r="F1699" t="s">
        <v>11</v>
      </c>
      <c r="G1699" t="s">
        <v>24</v>
      </c>
      <c r="H1699" t="s">
        <v>2320</v>
      </c>
      <c r="I1699" s="7">
        <v>6.56</v>
      </c>
      <c r="J1699" s="8">
        <v>2</v>
      </c>
      <c r="K1699" s="7">
        <v>1.9</v>
      </c>
    </row>
    <row r="1700" spans="1:11" x14ac:dyDescent="0.3">
      <c r="A1700" s="2" t="s">
        <v>2688</v>
      </c>
      <c r="B1700" s="9" t="e">
        <f>MONTH(Table1[[#This Row],[Order Date]])</f>
        <v>#VALUE!</v>
      </c>
      <c r="C1700" s="9" t="e">
        <f>YEAR(Table1[[#This Row],[Order Date]])</f>
        <v>#VALUE!</v>
      </c>
      <c r="D1700" t="s">
        <v>1046</v>
      </c>
      <c r="E1700" t="s">
        <v>55</v>
      </c>
      <c r="F1700" t="s">
        <v>11</v>
      </c>
      <c r="G1700" t="s">
        <v>12</v>
      </c>
      <c r="H1700" t="s">
        <v>693</v>
      </c>
      <c r="I1700" s="7">
        <v>12.96</v>
      </c>
      <c r="J1700" s="8">
        <v>2</v>
      </c>
      <c r="K1700" s="7">
        <v>6.22</v>
      </c>
    </row>
    <row r="1701" spans="1:11" x14ac:dyDescent="0.3">
      <c r="A1701" s="2" t="s">
        <v>2701</v>
      </c>
      <c r="B1701" s="9" t="e">
        <f>MONTH(Table1[[#This Row],[Order Date]])</f>
        <v>#VALUE!</v>
      </c>
      <c r="C1701" s="9" t="e">
        <f>YEAR(Table1[[#This Row],[Order Date]])</f>
        <v>#VALUE!</v>
      </c>
      <c r="D1701" t="s">
        <v>219</v>
      </c>
      <c r="E1701" t="s">
        <v>15</v>
      </c>
      <c r="F1701" t="s">
        <v>39</v>
      </c>
      <c r="G1701" t="s">
        <v>40</v>
      </c>
      <c r="H1701" t="s">
        <v>2606</v>
      </c>
      <c r="I1701" s="7">
        <v>323.98</v>
      </c>
      <c r="J1701" s="8">
        <v>3</v>
      </c>
      <c r="K1701" s="7">
        <v>20.25</v>
      </c>
    </row>
    <row r="1702" spans="1:11" x14ac:dyDescent="0.3">
      <c r="A1702" s="2" t="s">
        <v>2239</v>
      </c>
      <c r="B1702" s="9" t="e">
        <f>MONTH(Table1[[#This Row],[Order Date]])</f>
        <v>#VALUE!</v>
      </c>
      <c r="C1702" s="9" t="e">
        <f>YEAR(Table1[[#This Row],[Order Date]])</f>
        <v>#VALUE!</v>
      </c>
      <c r="D1702" t="s">
        <v>2241</v>
      </c>
      <c r="E1702" t="s">
        <v>10</v>
      </c>
      <c r="F1702" t="s">
        <v>11</v>
      </c>
      <c r="G1702" t="s">
        <v>12</v>
      </c>
      <c r="H1702" t="s">
        <v>1164</v>
      </c>
      <c r="I1702" s="7">
        <v>5.34</v>
      </c>
      <c r="J1702" s="8">
        <v>1</v>
      </c>
      <c r="K1702" s="7">
        <v>1.87</v>
      </c>
    </row>
    <row r="1703" spans="1:11" x14ac:dyDescent="0.3">
      <c r="A1703" s="2" t="s">
        <v>2589</v>
      </c>
      <c r="B1703" s="9" t="e">
        <f>MONTH(Table1[[#This Row],[Order Date]])</f>
        <v>#VALUE!</v>
      </c>
      <c r="C1703" s="9" t="e">
        <f>YEAR(Table1[[#This Row],[Order Date]])</f>
        <v>#VALUE!</v>
      </c>
      <c r="D1703" t="s">
        <v>2304</v>
      </c>
      <c r="E1703" t="s">
        <v>287</v>
      </c>
      <c r="F1703" t="s">
        <v>11</v>
      </c>
      <c r="G1703" t="s">
        <v>12</v>
      </c>
      <c r="H1703" t="s">
        <v>2590</v>
      </c>
      <c r="I1703" s="7">
        <v>45.68</v>
      </c>
      <c r="J1703" s="8">
        <v>2</v>
      </c>
      <c r="K1703" s="7">
        <v>21.01</v>
      </c>
    </row>
    <row r="1704" spans="1:11" x14ac:dyDescent="0.3">
      <c r="A1704" s="2" t="s">
        <v>2717</v>
      </c>
      <c r="B1704" s="9" t="e">
        <f>MONTH(Table1[[#This Row],[Order Date]])</f>
        <v>#VALUE!</v>
      </c>
      <c r="C1704" s="9" t="e">
        <f>YEAR(Table1[[#This Row],[Order Date]])</f>
        <v>#VALUE!</v>
      </c>
      <c r="D1704" t="s">
        <v>476</v>
      </c>
      <c r="E1704" t="s">
        <v>27</v>
      </c>
      <c r="F1704" t="s">
        <v>11</v>
      </c>
      <c r="G1704" t="s">
        <v>12</v>
      </c>
      <c r="H1704" t="s">
        <v>355</v>
      </c>
      <c r="I1704" s="7">
        <v>204.95</v>
      </c>
      <c r="J1704" s="8">
        <v>5</v>
      </c>
      <c r="K1704" s="7">
        <v>100.43</v>
      </c>
    </row>
    <row r="1705" spans="1:11" x14ac:dyDescent="0.3">
      <c r="A1705" s="2" t="s">
        <v>2728</v>
      </c>
      <c r="B1705" s="9" t="e">
        <f>MONTH(Table1[[#This Row],[Order Date]])</f>
        <v>#VALUE!</v>
      </c>
      <c r="C1705" s="9" t="e">
        <f>YEAR(Table1[[#This Row],[Order Date]])</f>
        <v>#VALUE!</v>
      </c>
      <c r="D1705" t="s">
        <v>1896</v>
      </c>
      <c r="E1705" t="s">
        <v>120</v>
      </c>
      <c r="F1705" t="s">
        <v>34</v>
      </c>
      <c r="G1705" t="s">
        <v>47</v>
      </c>
      <c r="H1705" t="s">
        <v>1617</v>
      </c>
      <c r="I1705" s="7">
        <v>220.06</v>
      </c>
      <c r="J1705" s="8">
        <v>4</v>
      </c>
      <c r="K1705" s="7">
        <v>55.02</v>
      </c>
    </row>
    <row r="1706" spans="1:11" x14ac:dyDescent="0.3">
      <c r="A1706" s="2" t="s">
        <v>2361</v>
      </c>
      <c r="B1706" s="9" t="e">
        <f>MONTH(Table1[[#This Row],[Order Date]])</f>
        <v>#VALUE!</v>
      </c>
      <c r="C1706" s="9" t="e">
        <f>YEAR(Table1[[#This Row],[Order Date]])</f>
        <v>#VALUE!</v>
      </c>
      <c r="D1706" t="s">
        <v>1078</v>
      </c>
      <c r="E1706" t="s">
        <v>158</v>
      </c>
      <c r="F1706" t="s">
        <v>11</v>
      </c>
      <c r="G1706" t="s">
        <v>92</v>
      </c>
      <c r="H1706" t="s">
        <v>2362</v>
      </c>
      <c r="I1706" s="7">
        <v>103.92</v>
      </c>
      <c r="J1706" s="8">
        <v>4</v>
      </c>
      <c r="K1706" s="7">
        <v>36.369999999999997</v>
      </c>
    </row>
    <row r="1707" spans="1:11" x14ac:dyDescent="0.3">
      <c r="A1707" s="2" t="s">
        <v>2626</v>
      </c>
      <c r="B1707" s="9" t="e">
        <f>MONTH(Table1[[#This Row],[Order Date]])</f>
        <v>#VALUE!</v>
      </c>
      <c r="C1707" s="9" t="e">
        <f>YEAR(Table1[[#This Row],[Order Date]])</f>
        <v>#VALUE!</v>
      </c>
      <c r="D1707" t="s">
        <v>1633</v>
      </c>
      <c r="E1707" t="s">
        <v>100</v>
      </c>
      <c r="F1707" t="s">
        <v>11</v>
      </c>
      <c r="G1707" t="s">
        <v>12</v>
      </c>
      <c r="H1707" t="s">
        <v>2627</v>
      </c>
      <c r="I1707" s="7">
        <v>19.440000000000001</v>
      </c>
      <c r="J1707" s="8">
        <v>3</v>
      </c>
      <c r="K1707" s="7">
        <v>9.33</v>
      </c>
    </row>
    <row r="1708" spans="1:11" x14ac:dyDescent="0.3">
      <c r="A1708" s="2" t="s">
        <v>2409</v>
      </c>
      <c r="B1708" s="9" t="e">
        <f>MONTH(Table1[[#This Row],[Order Date]])</f>
        <v>#VALUE!</v>
      </c>
      <c r="C1708" s="9" t="e">
        <f>YEAR(Table1[[#This Row],[Order Date]])</f>
        <v>#VALUE!</v>
      </c>
      <c r="D1708" t="s">
        <v>229</v>
      </c>
      <c r="E1708" t="s">
        <v>33</v>
      </c>
      <c r="F1708" t="s">
        <v>11</v>
      </c>
      <c r="G1708" t="s">
        <v>20</v>
      </c>
      <c r="H1708" t="s">
        <v>2155</v>
      </c>
      <c r="I1708" s="7">
        <v>5.8</v>
      </c>
      <c r="J1708" s="8">
        <v>1</v>
      </c>
      <c r="K1708" s="7">
        <v>2.61</v>
      </c>
    </row>
    <row r="1709" spans="1:11" x14ac:dyDescent="0.3">
      <c r="A1709" s="2" t="s">
        <v>2648</v>
      </c>
      <c r="B1709" s="9" t="e">
        <f>MONTH(Table1[[#This Row],[Order Date]])</f>
        <v>#VALUE!</v>
      </c>
      <c r="C1709" s="9" t="e">
        <f>YEAR(Table1[[#This Row],[Order Date]])</f>
        <v>#VALUE!</v>
      </c>
      <c r="D1709" t="s">
        <v>1634</v>
      </c>
      <c r="E1709" t="s">
        <v>78</v>
      </c>
      <c r="F1709" t="s">
        <v>34</v>
      </c>
      <c r="G1709" t="s">
        <v>47</v>
      </c>
      <c r="H1709" t="s">
        <v>2248</v>
      </c>
      <c r="I1709" s="7">
        <v>51.26</v>
      </c>
      <c r="J1709" s="8">
        <v>6</v>
      </c>
      <c r="K1709" s="7">
        <v>7.69</v>
      </c>
    </row>
    <row r="1710" spans="1:11" x14ac:dyDescent="0.3">
      <c r="A1710" s="2" t="s">
        <v>2648</v>
      </c>
      <c r="B1710" s="9" t="e">
        <f>MONTH(Table1[[#This Row],[Order Date]])</f>
        <v>#VALUE!</v>
      </c>
      <c r="C1710" s="9" t="e">
        <f>YEAR(Table1[[#This Row],[Order Date]])</f>
        <v>#VALUE!</v>
      </c>
      <c r="D1710" t="s">
        <v>2197</v>
      </c>
      <c r="E1710" t="s">
        <v>27</v>
      </c>
      <c r="F1710" t="s">
        <v>11</v>
      </c>
      <c r="G1710" t="s">
        <v>92</v>
      </c>
      <c r="H1710" t="s">
        <v>309</v>
      </c>
      <c r="I1710" s="7">
        <v>140.66999999999999</v>
      </c>
      <c r="J1710" s="8">
        <v>3</v>
      </c>
      <c r="K1710" s="7">
        <v>54.86</v>
      </c>
    </row>
    <row r="1711" spans="1:11" x14ac:dyDescent="0.3">
      <c r="A1711" s="2" t="s">
        <v>2517</v>
      </c>
      <c r="B1711" s="9" t="e">
        <f>MONTH(Table1[[#This Row],[Order Date]])</f>
        <v>#VALUE!</v>
      </c>
      <c r="C1711" s="9" t="e">
        <f>YEAR(Table1[[#This Row],[Order Date]])</f>
        <v>#VALUE!</v>
      </c>
      <c r="D1711" t="s">
        <v>1832</v>
      </c>
      <c r="E1711" t="s">
        <v>117</v>
      </c>
      <c r="F1711" t="s">
        <v>39</v>
      </c>
      <c r="G1711" t="s">
        <v>293</v>
      </c>
      <c r="H1711" t="s">
        <v>2518</v>
      </c>
      <c r="I1711" s="7">
        <v>91.48</v>
      </c>
      <c r="J1711" s="8">
        <v>1</v>
      </c>
      <c r="K1711" s="7">
        <v>-1.83</v>
      </c>
    </row>
    <row r="1712" spans="1:11" x14ac:dyDescent="0.3">
      <c r="A1712" s="2" t="s">
        <v>2678</v>
      </c>
      <c r="B1712" s="9" t="e">
        <f>MONTH(Table1[[#This Row],[Order Date]])</f>
        <v>#VALUE!</v>
      </c>
      <c r="C1712" s="9" t="e">
        <f>YEAR(Table1[[#This Row],[Order Date]])</f>
        <v>#VALUE!</v>
      </c>
      <c r="D1712" t="s">
        <v>837</v>
      </c>
      <c r="E1712" t="s">
        <v>33</v>
      </c>
      <c r="F1712" t="s">
        <v>11</v>
      </c>
      <c r="G1712" t="s">
        <v>92</v>
      </c>
      <c r="H1712" t="s">
        <v>2679</v>
      </c>
      <c r="I1712" s="7">
        <v>180.66</v>
      </c>
      <c r="J1712" s="8">
        <v>3</v>
      </c>
      <c r="K1712" s="7">
        <v>50.58</v>
      </c>
    </row>
    <row r="1713" spans="1:11" x14ac:dyDescent="0.3">
      <c r="A1713" s="2" t="s">
        <v>2678</v>
      </c>
      <c r="B1713" s="9" t="e">
        <f>MONTH(Table1[[#This Row],[Order Date]])</f>
        <v>#VALUE!</v>
      </c>
      <c r="C1713" s="9" t="e">
        <f>YEAR(Table1[[#This Row],[Order Date]])</f>
        <v>#VALUE!</v>
      </c>
      <c r="D1713" t="s">
        <v>979</v>
      </c>
      <c r="E1713" t="s">
        <v>390</v>
      </c>
      <c r="F1713" t="s">
        <v>11</v>
      </c>
      <c r="G1713" t="s">
        <v>12</v>
      </c>
      <c r="H1713" t="s">
        <v>2619</v>
      </c>
      <c r="I1713" s="7">
        <v>19.440000000000001</v>
      </c>
      <c r="J1713" s="8">
        <v>3</v>
      </c>
      <c r="K1713" s="7">
        <v>9.33</v>
      </c>
    </row>
    <row r="1714" spans="1:11" x14ac:dyDescent="0.3">
      <c r="A1714" s="2" t="s">
        <v>2535</v>
      </c>
      <c r="B1714" s="9" t="e">
        <f>MONTH(Table1[[#This Row],[Order Date]])</f>
        <v>#VALUE!</v>
      </c>
      <c r="C1714" s="9" t="e">
        <f>YEAR(Table1[[#This Row],[Order Date]])</f>
        <v>#VALUE!</v>
      </c>
      <c r="D1714" t="s">
        <v>378</v>
      </c>
      <c r="E1714" t="s">
        <v>70</v>
      </c>
      <c r="F1714" t="s">
        <v>11</v>
      </c>
      <c r="G1714" t="s">
        <v>12</v>
      </c>
      <c r="H1714" t="s">
        <v>2536</v>
      </c>
      <c r="I1714" s="7">
        <v>60.12</v>
      </c>
      <c r="J1714" s="8">
        <v>9</v>
      </c>
      <c r="K1714" s="7">
        <v>28.86</v>
      </c>
    </row>
    <row r="1715" spans="1:11" x14ac:dyDescent="0.3">
      <c r="A1715" s="2" t="s">
        <v>2572</v>
      </c>
      <c r="B1715" s="9" t="e">
        <f>MONTH(Table1[[#This Row],[Order Date]])</f>
        <v>#VALUE!</v>
      </c>
      <c r="C1715" s="9" t="e">
        <f>YEAR(Table1[[#This Row],[Order Date]])</f>
        <v>#VALUE!</v>
      </c>
      <c r="D1715" t="s">
        <v>1361</v>
      </c>
      <c r="E1715" t="s">
        <v>27</v>
      </c>
      <c r="F1715" t="s">
        <v>34</v>
      </c>
      <c r="G1715" t="s">
        <v>74</v>
      </c>
      <c r="H1715" t="s">
        <v>2090</v>
      </c>
      <c r="I1715" s="7">
        <v>273.67</v>
      </c>
      <c r="J1715" s="8">
        <v>2</v>
      </c>
      <c r="K1715" s="7">
        <v>-12.88</v>
      </c>
    </row>
    <row r="1716" spans="1:11" x14ac:dyDescent="0.3">
      <c r="A1716" s="2" t="s">
        <v>2702</v>
      </c>
      <c r="B1716" s="9" t="e">
        <f>MONTH(Table1[[#This Row],[Order Date]])</f>
        <v>#VALUE!</v>
      </c>
      <c r="C1716" s="9" t="e">
        <f>YEAR(Table1[[#This Row],[Order Date]])</f>
        <v>#VALUE!</v>
      </c>
      <c r="D1716" t="s">
        <v>2249</v>
      </c>
      <c r="E1716" t="s">
        <v>10</v>
      </c>
      <c r="F1716" t="s">
        <v>39</v>
      </c>
      <c r="G1716" t="s">
        <v>40</v>
      </c>
      <c r="H1716" t="s">
        <v>1663</v>
      </c>
      <c r="I1716" s="7">
        <v>55.99</v>
      </c>
      <c r="J1716" s="8">
        <v>1</v>
      </c>
      <c r="K1716" s="7">
        <v>5.6</v>
      </c>
    </row>
    <row r="1717" spans="1:11" x14ac:dyDescent="0.3">
      <c r="A1717" s="2" t="s">
        <v>1441</v>
      </c>
      <c r="B1717" s="9" t="e">
        <f>MONTH(Table1[[#This Row],[Order Date]])</f>
        <v>#VALUE!</v>
      </c>
      <c r="C1717" s="9" t="e">
        <f>YEAR(Table1[[#This Row],[Order Date]])</f>
        <v>#VALUE!</v>
      </c>
      <c r="D1717" t="s">
        <v>1442</v>
      </c>
      <c r="E1717" t="s">
        <v>27</v>
      </c>
      <c r="F1717" t="s">
        <v>11</v>
      </c>
      <c r="G1717" t="s">
        <v>20</v>
      </c>
      <c r="H1717" t="s">
        <v>311</v>
      </c>
      <c r="I1717" s="7">
        <v>14.35</v>
      </c>
      <c r="J1717" s="8">
        <v>3</v>
      </c>
      <c r="K1717" s="7">
        <v>5.0199999999999996</v>
      </c>
    </row>
    <row r="1718" spans="1:11" x14ac:dyDescent="0.3">
      <c r="A1718" s="2" t="s">
        <v>2719</v>
      </c>
      <c r="B1718" s="9" t="e">
        <f>MONTH(Table1[[#This Row],[Order Date]])</f>
        <v>#VALUE!</v>
      </c>
      <c r="C1718" s="9" t="e">
        <f>YEAR(Table1[[#This Row],[Order Date]])</f>
        <v>#VALUE!</v>
      </c>
      <c r="D1718" t="s">
        <v>903</v>
      </c>
      <c r="E1718" t="s">
        <v>95</v>
      </c>
      <c r="F1718" t="s">
        <v>39</v>
      </c>
      <c r="G1718" t="s">
        <v>293</v>
      </c>
      <c r="H1718" t="s">
        <v>339</v>
      </c>
      <c r="I1718" s="7">
        <v>599.99</v>
      </c>
      <c r="J1718" s="8">
        <v>5</v>
      </c>
      <c r="K1718" s="7">
        <v>-479.99</v>
      </c>
    </row>
    <row r="1719" spans="1:11" x14ac:dyDescent="0.3">
      <c r="A1719" s="2" t="s">
        <v>2729</v>
      </c>
      <c r="B1719" s="9" t="e">
        <f>MONTH(Table1[[#This Row],[Order Date]])</f>
        <v>#VALUE!</v>
      </c>
      <c r="C1719" s="9" t="e">
        <f>YEAR(Table1[[#This Row],[Order Date]])</f>
        <v>#VALUE!</v>
      </c>
      <c r="D1719" t="s">
        <v>335</v>
      </c>
      <c r="E1719" t="s">
        <v>27</v>
      </c>
      <c r="F1719" t="s">
        <v>11</v>
      </c>
      <c r="G1719" t="s">
        <v>24</v>
      </c>
      <c r="H1719" t="s">
        <v>2582</v>
      </c>
      <c r="I1719" s="7">
        <v>23.36</v>
      </c>
      <c r="J1719" s="8">
        <v>4</v>
      </c>
      <c r="K1719" s="7">
        <v>6.07</v>
      </c>
    </row>
    <row r="1720" spans="1:11" x14ac:dyDescent="0.3">
      <c r="A1720" s="2" t="s">
        <v>1747</v>
      </c>
      <c r="B1720" s="9" t="e">
        <f>MONTH(Table1[[#This Row],[Order Date]])</f>
        <v>#VALUE!</v>
      </c>
      <c r="C1720" s="9" t="e">
        <f>YEAR(Table1[[#This Row],[Order Date]])</f>
        <v>#VALUE!</v>
      </c>
      <c r="D1720" t="s">
        <v>1753</v>
      </c>
      <c r="E1720" t="s">
        <v>108</v>
      </c>
      <c r="F1720" t="s">
        <v>11</v>
      </c>
      <c r="G1720" t="s">
        <v>12</v>
      </c>
      <c r="H1720" t="s">
        <v>1106</v>
      </c>
      <c r="I1720" s="7">
        <v>114.2</v>
      </c>
      <c r="J1720" s="8">
        <v>5</v>
      </c>
      <c r="K1720" s="7">
        <v>52.53</v>
      </c>
    </row>
    <row r="1721" spans="1:11" x14ac:dyDescent="0.3">
      <c r="A1721" s="2" t="s">
        <v>2365</v>
      </c>
      <c r="B1721" s="9" t="e">
        <f>MONTH(Table1[[#This Row],[Order Date]])</f>
        <v>#VALUE!</v>
      </c>
      <c r="C1721" s="9" t="e">
        <f>YEAR(Table1[[#This Row],[Order Date]])</f>
        <v>#VALUE!</v>
      </c>
      <c r="D1721" t="s">
        <v>2262</v>
      </c>
      <c r="E1721" t="s">
        <v>158</v>
      </c>
      <c r="F1721" t="s">
        <v>11</v>
      </c>
      <c r="G1721" t="s">
        <v>12</v>
      </c>
      <c r="H1721" t="s">
        <v>369</v>
      </c>
      <c r="I1721" s="7">
        <v>4.9800000000000004</v>
      </c>
      <c r="J1721" s="8">
        <v>1</v>
      </c>
      <c r="K1721" s="7">
        <v>2.34</v>
      </c>
    </row>
    <row r="1722" spans="1:11" x14ac:dyDescent="0.3">
      <c r="A1722" s="2" t="s">
        <v>2628</v>
      </c>
      <c r="B1722" s="9" t="e">
        <f>MONTH(Table1[[#This Row],[Order Date]])</f>
        <v>#VALUE!</v>
      </c>
      <c r="C1722" s="9" t="e">
        <f>YEAR(Table1[[#This Row],[Order Date]])</f>
        <v>#VALUE!</v>
      </c>
      <c r="D1722" t="s">
        <v>1361</v>
      </c>
      <c r="E1722" t="s">
        <v>144</v>
      </c>
      <c r="F1722" t="s">
        <v>11</v>
      </c>
      <c r="G1722" t="s">
        <v>43</v>
      </c>
      <c r="H1722" t="s">
        <v>2610</v>
      </c>
      <c r="I1722" s="7">
        <v>3.68</v>
      </c>
      <c r="J1722" s="8">
        <v>2</v>
      </c>
      <c r="K1722" s="7">
        <v>1.8</v>
      </c>
    </row>
    <row r="1723" spans="1:11" x14ac:dyDescent="0.3">
      <c r="A1723" s="2" t="s">
        <v>2641</v>
      </c>
      <c r="B1723" s="9" t="e">
        <f>MONTH(Table1[[#This Row],[Order Date]])</f>
        <v>#VALUE!</v>
      </c>
      <c r="C1723" s="9" t="e">
        <f>YEAR(Table1[[#This Row],[Order Date]])</f>
        <v>#VALUE!</v>
      </c>
      <c r="D1723" t="s">
        <v>1511</v>
      </c>
      <c r="E1723" t="s">
        <v>15</v>
      </c>
      <c r="F1723" t="s">
        <v>39</v>
      </c>
      <c r="G1723" t="s">
        <v>40</v>
      </c>
      <c r="H1723" t="s">
        <v>2324</v>
      </c>
      <c r="I1723" s="7">
        <v>124.79</v>
      </c>
      <c r="J1723" s="8">
        <v>1</v>
      </c>
      <c r="K1723" s="7">
        <v>10.92</v>
      </c>
    </row>
    <row r="1724" spans="1:11" x14ac:dyDescent="0.3">
      <c r="A1724" s="2" t="s">
        <v>306</v>
      </c>
      <c r="B1724" s="9" t="e">
        <f>MONTH(Table1[[#This Row],[Order Date]])</f>
        <v>#VALUE!</v>
      </c>
      <c r="C1724" s="9" t="e">
        <f>YEAR(Table1[[#This Row],[Order Date]])</f>
        <v>#VALUE!</v>
      </c>
      <c r="D1724" t="s">
        <v>312</v>
      </c>
      <c r="E1724" t="s">
        <v>144</v>
      </c>
      <c r="F1724" t="s">
        <v>34</v>
      </c>
      <c r="G1724" t="s">
        <v>140</v>
      </c>
      <c r="H1724" t="s">
        <v>315</v>
      </c>
      <c r="I1724" s="7">
        <v>613.91</v>
      </c>
      <c r="J1724" s="8">
        <v>3</v>
      </c>
      <c r="K1724" s="7">
        <v>-122.78</v>
      </c>
    </row>
    <row r="1725" spans="1:11" x14ac:dyDescent="0.3">
      <c r="A1725" s="2" t="s">
        <v>306</v>
      </c>
      <c r="B1725" s="9" t="e">
        <f>MONTH(Table1[[#This Row],[Order Date]])</f>
        <v>#VALUE!</v>
      </c>
      <c r="C1725" s="9" t="e">
        <f>YEAR(Table1[[#This Row],[Order Date]])</f>
        <v>#VALUE!</v>
      </c>
      <c r="D1725" t="s">
        <v>312</v>
      </c>
      <c r="E1725" t="s">
        <v>144</v>
      </c>
      <c r="F1725" t="s">
        <v>11</v>
      </c>
      <c r="G1725" t="s">
        <v>12</v>
      </c>
      <c r="H1725" t="s">
        <v>316</v>
      </c>
      <c r="I1725" s="7">
        <v>34.86</v>
      </c>
      <c r="J1725" s="8">
        <v>7</v>
      </c>
      <c r="K1725" s="7">
        <v>16.38</v>
      </c>
    </row>
    <row r="1726" spans="1:11" x14ac:dyDescent="0.3">
      <c r="A1726" s="2" t="s">
        <v>306</v>
      </c>
      <c r="B1726" s="9" t="e">
        <f>MONTH(Table1[[#This Row],[Order Date]])</f>
        <v>#VALUE!</v>
      </c>
      <c r="C1726" s="9" t="e">
        <f>YEAR(Table1[[#This Row],[Order Date]])</f>
        <v>#VALUE!</v>
      </c>
      <c r="D1726" t="s">
        <v>312</v>
      </c>
      <c r="E1726" t="s">
        <v>144</v>
      </c>
      <c r="F1726" t="s">
        <v>11</v>
      </c>
      <c r="G1726" t="s">
        <v>12</v>
      </c>
      <c r="H1726" t="s">
        <v>317</v>
      </c>
      <c r="I1726" s="7">
        <v>155.04</v>
      </c>
      <c r="J1726" s="8">
        <v>4</v>
      </c>
      <c r="K1726" s="7">
        <v>75.97</v>
      </c>
    </row>
    <row r="1727" spans="1:11" x14ac:dyDescent="0.3">
      <c r="A1727" s="2" t="s">
        <v>1909</v>
      </c>
      <c r="B1727" s="9" t="e">
        <f>MONTH(Table1[[#This Row],[Order Date]])</f>
        <v>#VALUE!</v>
      </c>
      <c r="C1727" s="9" t="e">
        <f>YEAR(Table1[[#This Row],[Order Date]])</f>
        <v>#VALUE!</v>
      </c>
      <c r="D1727" t="s">
        <v>1644</v>
      </c>
      <c r="E1727" t="s">
        <v>144</v>
      </c>
      <c r="F1727" t="s">
        <v>39</v>
      </c>
      <c r="G1727" t="s">
        <v>52</v>
      </c>
      <c r="H1727" t="s">
        <v>1910</v>
      </c>
      <c r="I1727" s="7">
        <v>15.02</v>
      </c>
      <c r="J1727" s="8">
        <v>1</v>
      </c>
      <c r="K1727" s="7">
        <v>2.7</v>
      </c>
    </row>
    <row r="1728" spans="1:11" x14ac:dyDescent="0.3">
      <c r="A1728" s="2" t="s">
        <v>2680</v>
      </c>
      <c r="B1728" s="9" t="e">
        <f>MONTH(Table1[[#This Row],[Order Date]])</f>
        <v>#VALUE!</v>
      </c>
      <c r="C1728" s="9" t="e">
        <f>YEAR(Table1[[#This Row],[Order Date]])</f>
        <v>#VALUE!</v>
      </c>
      <c r="D1728" t="s">
        <v>209</v>
      </c>
      <c r="E1728" t="s">
        <v>144</v>
      </c>
      <c r="F1728" t="s">
        <v>39</v>
      </c>
      <c r="G1728" t="s">
        <v>293</v>
      </c>
      <c r="H1728" t="s">
        <v>2681</v>
      </c>
      <c r="I1728" s="7">
        <v>3404.5</v>
      </c>
      <c r="J1728" s="8">
        <v>5</v>
      </c>
      <c r="K1728" s="7">
        <v>1668.21</v>
      </c>
    </row>
    <row r="1729" spans="1:11" x14ac:dyDescent="0.3">
      <c r="A1729" s="2" t="s">
        <v>2680</v>
      </c>
      <c r="B1729" s="9" t="e">
        <f>MONTH(Table1[[#This Row],[Order Date]])</f>
        <v>#VALUE!</v>
      </c>
      <c r="C1729" s="9" t="e">
        <f>YEAR(Table1[[#This Row],[Order Date]])</f>
        <v>#VALUE!</v>
      </c>
      <c r="D1729" t="s">
        <v>209</v>
      </c>
      <c r="E1729" t="s">
        <v>144</v>
      </c>
      <c r="F1729" t="s">
        <v>39</v>
      </c>
      <c r="G1729" t="s">
        <v>52</v>
      </c>
      <c r="H1729" t="s">
        <v>2682</v>
      </c>
      <c r="I1729" s="7">
        <v>101.34</v>
      </c>
      <c r="J1729" s="8">
        <v>3</v>
      </c>
      <c r="K1729" s="7">
        <v>8.11</v>
      </c>
    </row>
    <row r="1730" spans="1:11" x14ac:dyDescent="0.3">
      <c r="A1730" s="2" t="s">
        <v>2154</v>
      </c>
      <c r="B1730" s="9" t="e">
        <f>MONTH(Table1[[#This Row],[Order Date]])</f>
        <v>#VALUE!</v>
      </c>
      <c r="C1730" s="9" t="e">
        <f>YEAR(Table1[[#This Row],[Order Date]])</f>
        <v>#VALUE!</v>
      </c>
      <c r="D1730" t="s">
        <v>749</v>
      </c>
      <c r="E1730" t="s">
        <v>95</v>
      </c>
      <c r="F1730" t="s">
        <v>11</v>
      </c>
      <c r="G1730" t="s">
        <v>24</v>
      </c>
      <c r="H1730" t="s">
        <v>2156</v>
      </c>
      <c r="I1730" s="7">
        <v>10.27</v>
      </c>
      <c r="J1730" s="8">
        <v>3</v>
      </c>
      <c r="K1730" s="7">
        <v>1.1599999999999999</v>
      </c>
    </row>
    <row r="1731" spans="1:11" x14ac:dyDescent="0.3">
      <c r="A1731" s="2" t="s">
        <v>1285</v>
      </c>
      <c r="B1731" s="9" t="e">
        <f>MONTH(Table1[[#This Row],[Order Date]])</f>
        <v>#VALUE!</v>
      </c>
      <c r="C1731" s="9" t="e">
        <f>YEAR(Table1[[#This Row],[Order Date]])</f>
        <v>#VALUE!</v>
      </c>
      <c r="D1731" t="s">
        <v>1293</v>
      </c>
      <c r="E1731" t="s">
        <v>91</v>
      </c>
      <c r="F1731" t="s">
        <v>11</v>
      </c>
      <c r="G1731" t="s">
        <v>24</v>
      </c>
      <c r="H1731" t="s">
        <v>1295</v>
      </c>
      <c r="I1731" s="7">
        <v>38.26</v>
      </c>
      <c r="J1731" s="8">
        <v>3</v>
      </c>
      <c r="K1731" s="7">
        <v>4.78</v>
      </c>
    </row>
    <row r="1732" spans="1:11" x14ac:dyDescent="0.3">
      <c r="A1732" s="2" t="s">
        <v>1285</v>
      </c>
      <c r="B1732" s="9" t="e">
        <f>MONTH(Table1[[#This Row],[Order Date]])</f>
        <v>#VALUE!</v>
      </c>
      <c r="C1732" s="9" t="e">
        <f>YEAR(Table1[[#This Row],[Order Date]])</f>
        <v>#VALUE!</v>
      </c>
      <c r="D1732" t="s">
        <v>1293</v>
      </c>
      <c r="E1732" t="s">
        <v>91</v>
      </c>
      <c r="F1732" t="s">
        <v>39</v>
      </c>
      <c r="G1732" t="s">
        <v>293</v>
      </c>
      <c r="H1732" t="s">
        <v>1296</v>
      </c>
      <c r="I1732" s="7">
        <v>29.93</v>
      </c>
      <c r="J1732" s="8">
        <v>5</v>
      </c>
      <c r="K1732" s="7">
        <v>-21.95</v>
      </c>
    </row>
    <row r="1733" spans="1:11" x14ac:dyDescent="0.3">
      <c r="A1733" s="2" t="s">
        <v>2202</v>
      </c>
      <c r="B1733" s="9" t="e">
        <f>MONTH(Table1[[#This Row],[Order Date]])</f>
        <v>#VALUE!</v>
      </c>
      <c r="C1733" s="9" t="e">
        <f>YEAR(Table1[[#This Row],[Order Date]])</f>
        <v>#VALUE!</v>
      </c>
      <c r="D1733" t="s">
        <v>605</v>
      </c>
      <c r="E1733" t="s">
        <v>144</v>
      </c>
      <c r="F1733" t="s">
        <v>34</v>
      </c>
      <c r="G1733" t="s">
        <v>74</v>
      </c>
      <c r="H1733" t="s">
        <v>1315</v>
      </c>
      <c r="I1733" s="7">
        <v>2003.92</v>
      </c>
      <c r="J1733" s="8">
        <v>5</v>
      </c>
      <c r="K1733" s="7">
        <v>-25.05</v>
      </c>
    </row>
    <row r="1734" spans="1:11" x14ac:dyDescent="0.3">
      <c r="A1734" s="2" t="s">
        <v>2573</v>
      </c>
      <c r="B1734" s="9" t="e">
        <f>MONTH(Table1[[#This Row],[Order Date]])</f>
        <v>#VALUE!</v>
      </c>
      <c r="C1734" s="9" t="e">
        <f>YEAR(Table1[[#This Row],[Order Date]])</f>
        <v>#VALUE!</v>
      </c>
      <c r="D1734" t="s">
        <v>2516</v>
      </c>
      <c r="E1734" t="s">
        <v>27</v>
      </c>
      <c r="F1734" t="s">
        <v>11</v>
      </c>
      <c r="G1734" t="s">
        <v>24</v>
      </c>
      <c r="H1734" t="s">
        <v>1109</v>
      </c>
      <c r="I1734" s="7">
        <v>20.100000000000001</v>
      </c>
      <c r="J1734" s="8">
        <v>3</v>
      </c>
      <c r="K1734" s="7">
        <v>6.63</v>
      </c>
    </row>
    <row r="1735" spans="1:11" x14ac:dyDescent="0.3">
      <c r="A1735" s="2" t="s">
        <v>2573</v>
      </c>
      <c r="B1735" s="9" t="e">
        <f>MONTH(Table1[[#This Row],[Order Date]])</f>
        <v>#VALUE!</v>
      </c>
      <c r="C1735" s="9" t="e">
        <f>YEAR(Table1[[#This Row],[Order Date]])</f>
        <v>#VALUE!</v>
      </c>
      <c r="D1735" t="s">
        <v>383</v>
      </c>
      <c r="E1735" t="s">
        <v>30</v>
      </c>
      <c r="F1735" t="s">
        <v>39</v>
      </c>
      <c r="G1735" t="s">
        <v>293</v>
      </c>
      <c r="H1735" t="s">
        <v>2574</v>
      </c>
      <c r="I1735" s="7">
        <v>396</v>
      </c>
      <c r="J1735" s="8">
        <v>4</v>
      </c>
      <c r="K1735" s="7">
        <v>190.08</v>
      </c>
    </row>
    <row r="1736" spans="1:11" x14ac:dyDescent="0.3">
      <c r="A1736" s="2" t="s">
        <v>2703</v>
      </c>
      <c r="B1736" s="9" t="e">
        <f>MONTH(Table1[[#This Row],[Order Date]])</f>
        <v>#VALUE!</v>
      </c>
      <c r="C1736" s="9" t="e">
        <f>YEAR(Table1[[#This Row],[Order Date]])</f>
        <v>#VALUE!</v>
      </c>
      <c r="D1736" t="s">
        <v>2325</v>
      </c>
      <c r="E1736" t="s">
        <v>158</v>
      </c>
      <c r="F1736" t="s">
        <v>11</v>
      </c>
      <c r="G1736" t="s">
        <v>12</v>
      </c>
      <c r="H1736" t="s">
        <v>2704</v>
      </c>
      <c r="I1736" s="7">
        <v>12.96</v>
      </c>
      <c r="J1736" s="8">
        <v>2</v>
      </c>
      <c r="K1736" s="7">
        <v>6.35</v>
      </c>
    </row>
    <row r="1737" spans="1:11" x14ac:dyDescent="0.3">
      <c r="A1737" s="2" t="s">
        <v>2703</v>
      </c>
      <c r="B1737" s="9" t="e">
        <f>MONTH(Table1[[#This Row],[Order Date]])</f>
        <v>#VALUE!</v>
      </c>
      <c r="C1737" s="9" t="e">
        <f>YEAR(Table1[[#This Row],[Order Date]])</f>
        <v>#VALUE!</v>
      </c>
      <c r="D1737" t="s">
        <v>1050</v>
      </c>
      <c r="E1737" t="s">
        <v>171</v>
      </c>
      <c r="F1737" t="s">
        <v>39</v>
      </c>
      <c r="G1737" t="s">
        <v>293</v>
      </c>
      <c r="H1737" t="s">
        <v>2706</v>
      </c>
      <c r="I1737" s="7">
        <v>480</v>
      </c>
      <c r="J1737" s="8">
        <v>4</v>
      </c>
      <c r="K1737" s="7">
        <v>225.6</v>
      </c>
    </row>
    <row r="1738" spans="1:11" x14ac:dyDescent="0.3">
      <c r="A1738" s="2" t="s">
        <v>1444</v>
      </c>
      <c r="B1738" s="9" t="e">
        <f>MONTH(Table1[[#This Row],[Order Date]])</f>
        <v>#VALUE!</v>
      </c>
      <c r="C1738" s="9" t="e">
        <f>YEAR(Table1[[#This Row],[Order Date]])</f>
        <v>#VALUE!</v>
      </c>
      <c r="D1738" t="s">
        <v>1375</v>
      </c>
      <c r="E1738" t="s">
        <v>10</v>
      </c>
      <c r="F1738" t="s">
        <v>34</v>
      </c>
      <c r="G1738" t="s">
        <v>47</v>
      </c>
      <c r="H1738" t="s">
        <v>1135</v>
      </c>
      <c r="I1738" s="7">
        <v>5.31</v>
      </c>
      <c r="J1738" s="8">
        <v>2</v>
      </c>
      <c r="K1738" s="7">
        <v>-1.59</v>
      </c>
    </row>
    <row r="1739" spans="1:11" x14ac:dyDescent="0.3">
      <c r="A1739" s="2" t="s">
        <v>2720</v>
      </c>
      <c r="B1739" s="9" t="e">
        <f>MONTH(Table1[[#This Row],[Order Date]])</f>
        <v>#VALUE!</v>
      </c>
      <c r="C1739" s="9" t="e">
        <f>YEAR(Table1[[#This Row],[Order Date]])</f>
        <v>#VALUE!</v>
      </c>
      <c r="D1739" t="s">
        <v>1637</v>
      </c>
      <c r="E1739" t="s">
        <v>1494</v>
      </c>
      <c r="F1739" t="s">
        <v>11</v>
      </c>
      <c r="G1739" t="s">
        <v>18</v>
      </c>
      <c r="H1739" t="s">
        <v>582</v>
      </c>
      <c r="I1739" s="7">
        <v>49.96</v>
      </c>
      <c r="J1739" s="8">
        <v>2</v>
      </c>
      <c r="K1739" s="7">
        <v>9.49</v>
      </c>
    </row>
    <row r="1740" spans="1:11" x14ac:dyDescent="0.3">
      <c r="A1740" s="2" t="s">
        <v>1597</v>
      </c>
      <c r="B1740" s="9" t="e">
        <f>MONTH(Table1[[#This Row],[Order Date]])</f>
        <v>#VALUE!</v>
      </c>
      <c r="C1740" s="9" t="e">
        <f>YEAR(Table1[[#This Row],[Order Date]])</f>
        <v>#VALUE!</v>
      </c>
      <c r="D1740" t="s">
        <v>350</v>
      </c>
      <c r="E1740" t="s">
        <v>27</v>
      </c>
      <c r="F1740" t="s">
        <v>11</v>
      </c>
      <c r="G1740" t="s">
        <v>12</v>
      </c>
      <c r="H1740" t="s">
        <v>861</v>
      </c>
      <c r="I1740" s="7">
        <v>733.95</v>
      </c>
      <c r="J1740" s="8">
        <v>7</v>
      </c>
      <c r="K1740" s="7">
        <v>352.3</v>
      </c>
    </row>
    <row r="1741" spans="1:11" x14ac:dyDescent="0.3">
      <c r="A1741" s="2" t="s">
        <v>1597</v>
      </c>
      <c r="B1741" s="9" t="e">
        <f>MONTH(Table1[[#This Row],[Order Date]])</f>
        <v>#VALUE!</v>
      </c>
      <c r="C1741" s="9" t="e">
        <f>YEAR(Table1[[#This Row],[Order Date]])</f>
        <v>#VALUE!</v>
      </c>
      <c r="D1741" t="s">
        <v>682</v>
      </c>
      <c r="E1741" t="s">
        <v>144</v>
      </c>
      <c r="F1741" t="s">
        <v>11</v>
      </c>
      <c r="G1741" t="s">
        <v>12</v>
      </c>
      <c r="H1741" t="s">
        <v>1601</v>
      </c>
      <c r="I1741" s="7">
        <v>34.44</v>
      </c>
      <c r="J1741" s="8">
        <v>3</v>
      </c>
      <c r="K1741" s="7">
        <v>17.22</v>
      </c>
    </row>
    <row r="1742" spans="1:11" x14ac:dyDescent="0.3">
      <c r="A1742" s="2" t="s">
        <v>2300</v>
      </c>
      <c r="B1742" s="9" t="e">
        <f>MONTH(Table1[[#This Row],[Order Date]])</f>
        <v>#VALUE!</v>
      </c>
      <c r="C1742" s="9" t="e">
        <f>YEAR(Table1[[#This Row],[Order Date]])</f>
        <v>#VALUE!</v>
      </c>
      <c r="D1742" t="s">
        <v>846</v>
      </c>
      <c r="E1742" t="s">
        <v>27</v>
      </c>
      <c r="F1742" t="s">
        <v>39</v>
      </c>
      <c r="G1742" t="s">
        <v>40</v>
      </c>
      <c r="H1742" t="s">
        <v>1996</v>
      </c>
      <c r="I1742" s="7">
        <v>415.97</v>
      </c>
      <c r="J1742" s="8">
        <v>4</v>
      </c>
      <c r="K1742" s="7">
        <v>52</v>
      </c>
    </row>
    <row r="1743" spans="1:11" x14ac:dyDescent="0.3">
      <c r="A1743" s="2" t="s">
        <v>2730</v>
      </c>
      <c r="B1743" s="9" t="e">
        <f>MONTH(Table1[[#This Row],[Order Date]])</f>
        <v>#VALUE!</v>
      </c>
      <c r="C1743" s="9" t="e">
        <f>YEAR(Table1[[#This Row],[Order Date]])</f>
        <v>#VALUE!</v>
      </c>
      <c r="D1743" t="s">
        <v>2392</v>
      </c>
      <c r="E1743" t="s">
        <v>10</v>
      </c>
      <c r="F1743" t="s">
        <v>34</v>
      </c>
      <c r="G1743" t="s">
        <v>74</v>
      </c>
      <c r="H1743" t="s">
        <v>2432</v>
      </c>
      <c r="I1743" s="7">
        <v>327.73</v>
      </c>
      <c r="J1743" s="8">
        <v>2</v>
      </c>
      <c r="K1743" s="7">
        <v>-14.46</v>
      </c>
    </row>
    <row r="1744" spans="1:11" x14ac:dyDescent="0.3">
      <c r="A1744" s="2" t="s">
        <v>2730</v>
      </c>
      <c r="B1744" s="9" t="e">
        <f>MONTH(Table1[[#This Row],[Order Date]])</f>
        <v>#VALUE!</v>
      </c>
      <c r="C1744" s="9" t="e">
        <f>YEAR(Table1[[#This Row],[Order Date]])</f>
        <v>#VALUE!</v>
      </c>
      <c r="D1744" t="s">
        <v>421</v>
      </c>
      <c r="E1744" t="s">
        <v>91</v>
      </c>
      <c r="F1744" t="s">
        <v>11</v>
      </c>
      <c r="G1744" t="s">
        <v>12</v>
      </c>
      <c r="H1744" t="s">
        <v>2690</v>
      </c>
      <c r="I1744" s="7">
        <v>19.61</v>
      </c>
      <c r="J1744" s="8">
        <v>3</v>
      </c>
      <c r="K1744" s="7">
        <v>6.62</v>
      </c>
    </row>
    <row r="1745" spans="1:11" x14ac:dyDescent="0.3">
      <c r="A1745" s="2" t="s">
        <v>2730</v>
      </c>
      <c r="B1745" s="9" t="e">
        <f>MONTH(Table1[[#This Row],[Order Date]])</f>
        <v>#VALUE!</v>
      </c>
      <c r="C1745" s="9" t="e">
        <f>YEAR(Table1[[#This Row],[Order Date]])</f>
        <v>#VALUE!</v>
      </c>
      <c r="D1745" t="s">
        <v>1796</v>
      </c>
      <c r="E1745" t="s">
        <v>237</v>
      </c>
      <c r="F1745" t="s">
        <v>11</v>
      </c>
      <c r="G1745" t="s">
        <v>12</v>
      </c>
      <c r="H1745" t="s">
        <v>2731</v>
      </c>
      <c r="I1745" s="7">
        <v>268.24</v>
      </c>
      <c r="J1745" s="8">
        <v>7</v>
      </c>
      <c r="K1745" s="7">
        <v>93.88</v>
      </c>
    </row>
    <row r="1746" spans="1:11" x14ac:dyDescent="0.3">
      <c r="A1746" s="2" t="s">
        <v>2366</v>
      </c>
      <c r="B1746" s="9" t="e">
        <f>MONTH(Table1[[#This Row],[Order Date]])</f>
        <v>#VALUE!</v>
      </c>
      <c r="C1746" s="9" t="e">
        <f>YEAR(Table1[[#This Row],[Order Date]])</f>
        <v>#VALUE!</v>
      </c>
      <c r="D1746" t="s">
        <v>524</v>
      </c>
      <c r="E1746" t="s">
        <v>108</v>
      </c>
      <c r="F1746" t="s">
        <v>34</v>
      </c>
      <c r="G1746" t="s">
        <v>35</v>
      </c>
      <c r="H1746" t="s">
        <v>2367</v>
      </c>
      <c r="I1746" s="7">
        <v>302.94</v>
      </c>
      <c r="J1746" s="8">
        <v>3</v>
      </c>
      <c r="K1746" s="7">
        <v>48.47</v>
      </c>
    </row>
    <row r="1747" spans="1:11" x14ac:dyDescent="0.3">
      <c r="A1747" s="2" t="s">
        <v>2738</v>
      </c>
      <c r="B1747" s="9" t="e">
        <f>MONTH(Table1[[#This Row],[Order Date]])</f>
        <v>#VALUE!</v>
      </c>
      <c r="C1747" s="9" t="e">
        <f>YEAR(Table1[[#This Row],[Order Date]])</f>
        <v>#VALUE!</v>
      </c>
      <c r="D1747" t="s">
        <v>1235</v>
      </c>
      <c r="E1747" t="s">
        <v>10</v>
      </c>
      <c r="F1747" t="s">
        <v>11</v>
      </c>
      <c r="G1747" t="s">
        <v>92</v>
      </c>
      <c r="H1747" t="s">
        <v>1382</v>
      </c>
      <c r="I1747" s="7">
        <v>66.28</v>
      </c>
      <c r="J1747" s="8">
        <v>2</v>
      </c>
      <c r="K1747" s="7">
        <v>-178.97</v>
      </c>
    </row>
    <row r="1748" spans="1:11" x14ac:dyDescent="0.3">
      <c r="A1748" s="2" t="s">
        <v>2738</v>
      </c>
      <c r="B1748" s="9" t="e">
        <f>MONTH(Table1[[#This Row],[Order Date]])</f>
        <v>#VALUE!</v>
      </c>
      <c r="C1748" s="9" t="e">
        <f>YEAR(Table1[[#This Row],[Order Date]])</f>
        <v>#VALUE!</v>
      </c>
      <c r="D1748" t="s">
        <v>944</v>
      </c>
      <c r="E1748" t="s">
        <v>27</v>
      </c>
      <c r="F1748" t="s">
        <v>11</v>
      </c>
      <c r="G1748" t="s">
        <v>194</v>
      </c>
      <c r="H1748" t="s">
        <v>2035</v>
      </c>
      <c r="I1748" s="7">
        <v>13.98</v>
      </c>
      <c r="J1748" s="8">
        <v>1</v>
      </c>
      <c r="K1748" s="7">
        <v>3.63</v>
      </c>
    </row>
    <row r="1749" spans="1:11" x14ac:dyDescent="0.3">
      <c r="A1749" s="2" t="s">
        <v>2642</v>
      </c>
      <c r="B1749" s="9" t="e">
        <f>MONTH(Table1[[#This Row],[Order Date]])</f>
        <v>#VALUE!</v>
      </c>
      <c r="C1749" s="9" t="e">
        <f>YEAR(Table1[[#This Row],[Order Date]])</f>
        <v>#VALUE!</v>
      </c>
      <c r="D1749" t="s">
        <v>2484</v>
      </c>
      <c r="E1749" t="s">
        <v>27</v>
      </c>
      <c r="F1749" t="s">
        <v>11</v>
      </c>
      <c r="G1749" t="s">
        <v>16</v>
      </c>
      <c r="H1749" t="s">
        <v>2468</v>
      </c>
      <c r="I1749" s="7">
        <v>9.82</v>
      </c>
      <c r="J1749" s="8">
        <v>2</v>
      </c>
      <c r="K1749" s="7">
        <v>4.8099999999999996</v>
      </c>
    </row>
    <row r="1750" spans="1:11" x14ac:dyDescent="0.3">
      <c r="A1750" s="2" t="s">
        <v>329</v>
      </c>
      <c r="B1750" s="9" t="e">
        <f>MONTH(Table1[[#This Row],[Order Date]])</f>
        <v>#VALUE!</v>
      </c>
      <c r="C1750" s="9" t="e">
        <f>YEAR(Table1[[#This Row],[Order Date]])</f>
        <v>#VALUE!</v>
      </c>
      <c r="D1750" t="s">
        <v>330</v>
      </c>
      <c r="E1750" t="s">
        <v>120</v>
      </c>
      <c r="F1750" t="s">
        <v>39</v>
      </c>
      <c r="G1750" t="s">
        <v>293</v>
      </c>
      <c r="H1750" t="s">
        <v>331</v>
      </c>
      <c r="I1750" s="7">
        <v>22638.48</v>
      </c>
      <c r="J1750" s="8">
        <v>6</v>
      </c>
      <c r="K1750" s="7">
        <v>-1811.08</v>
      </c>
    </row>
    <row r="1751" spans="1:11" x14ac:dyDescent="0.3">
      <c r="A1751" s="2" t="s">
        <v>2431</v>
      </c>
      <c r="B1751" s="9" t="e">
        <f>MONTH(Table1[[#This Row],[Order Date]])</f>
        <v>#VALUE!</v>
      </c>
      <c r="C1751" s="9" t="e">
        <f>YEAR(Table1[[#This Row],[Order Date]])</f>
        <v>#VALUE!</v>
      </c>
      <c r="D1751" t="s">
        <v>2024</v>
      </c>
      <c r="E1751" t="s">
        <v>117</v>
      </c>
      <c r="F1751" t="s">
        <v>34</v>
      </c>
      <c r="G1751" t="s">
        <v>140</v>
      </c>
      <c r="H1751" t="s">
        <v>1167</v>
      </c>
      <c r="I1751" s="7">
        <v>189.88</v>
      </c>
      <c r="J1751" s="8">
        <v>3</v>
      </c>
      <c r="K1751" s="7">
        <v>-94.94</v>
      </c>
    </row>
    <row r="1752" spans="1:11" x14ac:dyDescent="0.3">
      <c r="A1752" s="2" t="s">
        <v>523</v>
      </c>
      <c r="B1752" s="9" t="e">
        <f>MONTH(Table1[[#This Row],[Order Date]])</f>
        <v>#VALUE!</v>
      </c>
      <c r="C1752" s="9" t="e">
        <f>YEAR(Table1[[#This Row],[Order Date]])</f>
        <v>#VALUE!</v>
      </c>
      <c r="D1752" t="s">
        <v>524</v>
      </c>
      <c r="E1752" t="s">
        <v>27</v>
      </c>
      <c r="F1752" t="s">
        <v>39</v>
      </c>
      <c r="G1752" t="s">
        <v>293</v>
      </c>
      <c r="H1752" t="s">
        <v>525</v>
      </c>
      <c r="I1752" s="7">
        <v>287.97000000000003</v>
      </c>
      <c r="J1752" s="8">
        <v>4</v>
      </c>
      <c r="K1752" s="7">
        <v>97.19</v>
      </c>
    </row>
    <row r="1753" spans="1:11" x14ac:dyDescent="0.3">
      <c r="A1753" s="2" t="s">
        <v>1983</v>
      </c>
      <c r="B1753" s="9" t="e">
        <f>MONTH(Table1[[#This Row],[Order Date]])</f>
        <v>#VALUE!</v>
      </c>
      <c r="C1753" s="9" t="e">
        <f>YEAR(Table1[[#This Row],[Order Date]])</f>
        <v>#VALUE!</v>
      </c>
      <c r="D1753" t="s">
        <v>1988</v>
      </c>
      <c r="E1753" t="s">
        <v>10</v>
      </c>
      <c r="F1753" t="s">
        <v>39</v>
      </c>
      <c r="G1753" t="s">
        <v>40</v>
      </c>
      <c r="H1753" t="s">
        <v>1990</v>
      </c>
      <c r="I1753" s="7">
        <v>244.77</v>
      </c>
      <c r="J1753" s="8">
        <v>4</v>
      </c>
      <c r="K1753" s="7">
        <v>24.48</v>
      </c>
    </row>
    <row r="1754" spans="1:11" x14ac:dyDescent="0.3">
      <c r="A1754" s="2" t="s">
        <v>2463</v>
      </c>
      <c r="B1754" s="9" t="e">
        <f>MONTH(Table1[[#This Row],[Order Date]])</f>
        <v>#VALUE!</v>
      </c>
      <c r="C1754" s="9" t="e">
        <f>YEAR(Table1[[#This Row],[Order Date]])</f>
        <v>#VALUE!</v>
      </c>
      <c r="D1754" t="s">
        <v>1574</v>
      </c>
      <c r="E1754" t="s">
        <v>55</v>
      </c>
      <c r="F1754" t="s">
        <v>39</v>
      </c>
      <c r="G1754" t="s">
        <v>40</v>
      </c>
      <c r="H1754" t="s">
        <v>2251</v>
      </c>
      <c r="I1754" s="7">
        <v>29.56</v>
      </c>
      <c r="J1754" s="8">
        <v>4</v>
      </c>
      <c r="K1754" s="7">
        <v>7.98</v>
      </c>
    </row>
    <row r="1755" spans="1:11" x14ac:dyDescent="0.3">
      <c r="A1755" s="2" t="s">
        <v>2070</v>
      </c>
      <c r="B1755" s="9" t="e">
        <f>MONTH(Table1[[#This Row],[Order Date]])</f>
        <v>#VALUE!</v>
      </c>
      <c r="C1755" s="9" t="e">
        <f>YEAR(Table1[[#This Row],[Order Date]])</f>
        <v>#VALUE!</v>
      </c>
      <c r="D1755" t="s">
        <v>2071</v>
      </c>
      <c r="E1755" t="s">
        <v>95</v>
      </c>
      <c r="F1755" t="s">
        <v>11</v>
      </c>
      <c r="G1755" t="s">
        <v>12</v>
      </c>
      <c r="H1755" t="s">
        <v>2072</v>
      </c>
      <c r="I1755" s="7">
        <v>11.95</v>
      </c>
      <c r="J1755" s="8">
        <v>3</v>
      </c>
      <c r="K1755" s="7">
        <v>4.33</v>
      </c>
    </row>
    <row r="1756" spans="1:11" x14ac:dyDescent="0.3">
      <c r="A1756" s="2" t="s">
        <v>2689</v>
      </c>
      <c r="B1756" s="9" t="e">
        <f>MONTH(Table1[[#This Row],[Order Date]])</f>
        <v>#VALUE!</v>
      </c>
      <c r="C1756" s="9" t="e">
        <f>YEAR(Table1[[#This Row],[Order Date]])</f>
        <v>#VALUE!</v>
      </c>
      <c r="D1756" t="s">
        <v>58</v>
      </c>
      <c r="E1756" t="s">
        <v>23</v>
      </c>
      <c r="F1756" t="s">
        <v>11</v>
      </c>
      <c r="G1756" t="s">
        <v>194</v>
      </c>
      <c r="H1756" t="s">
        <v>1111</v>
      </c>
      <c r="I1756" s="7">
        <v>9.18</v>
      </c>
      <c r="J1756" s="8">
        <v>2</v>
      </c>
      <c r="K1756" s="7">
        <v>1.1499999999999999</v>
      </c>
    </row>
    <row r="1757" spans="1:11" x14ac:dyDescent="0.3">
      <c r="A1757" s="2" t="s">
        <v>2694</v>
      </c>
      <c r="B1757" s="9" t="e">
        <f>MONTH(Table1[[#This Row],[Order Date]])</f>
        <v>#VALUE!</v>
      </c>
      <c r="C1757" s="9" t="e">
        <f>YEAR(Table1[[#This Row],[Order Date]])</f>
        <v>#VALUE!</v>
      </c>
      <c r="D1757" t="s">
        <v>2225</v>
      </c>
      <c r="E1757" t="s">
        <v>158</v>
      </c>
      <c r="F1757" t="s">
        <v>39</v>
      </c>
      <c r="G1757" t="s">
        <v>52</v>
      </c>
      <c r="H1757" t="s">
        <v>1934</v>
      </c>
      <c r="I1757" s="7">
        <v>1496.16</v>
      </c>
      <c r="J1757" s="8">
        <v>9</v>
      </c>
      <c r="K1757" s="7">
        <v>224.42</v>
      </c>
    </row>
    <row r="1758" spans="1:11" x14ac:dyDescent="0.3">
      <c r="A1758" s="2" t="s">
        <v>2205</v>
      </c>
      <c r="B1758" s="9" t="e">
        <f>MONTH(Table1[[#This Row],[Order Date]])</f>
        <v>#VALUE!</v>
      </c>
      <c r="C1758" s="9" t="e">
        <f>YEAR(Table1[[#This Row],[Order Date]])</f>
        <v>#VALUE!</v>
      </c>
      <c r="D1758" t="s">
        <v>417</v>
      </c>
      <c r="E1758" t="s">
        <v>27</v>
      </c>
      <c r="F1758" t="s">
        <v>11</v>
      </c>
      <c r="G1758" t="s">
        <v>12</v>
      </c>
      <c r="H1758" t="s">
        <v>2206</v>
      </c>
      <c r="I1758" s="7">
        <v>19.920000000000002</v>
      </c>
      <c r="J1758" s="8">
        <v>4</v>
      </c>
      <c r="K1758" s="7">
        <v>9.76</v>
      </c>
    </row>
    <row r="1759" spans="1:11" x14ac:dyDescent="0.3">
      <c r="A1759" s="2" t="s">
        <v>2205</v>
      </c>
      <c r="B1759" s="9" t="e">
        <f>MONTH(Table1[[#This Row],[Order Date]])</f>
        <v>#VALUE!</v>
      </c>
      <c r="C1759" s="9" t="e">
        <f>YEAR(Table1[[#This Row],[Order Date]])</f>
        <v>#VALUE!</v>
      </c>
      <c r="D1759" t="s">
        <v>1502</v>
      </c>
      <c r="E1759" t="s">
        <v>517</v>
      </c>
      <c r="F1759" t="s">
        <v>39</v>
      </c>
      <c r="G1759" t="s">
        <v>40</v>
      </c>
      <c r="H1759" t="s">
        <v>353</v>
      </c>
      <c r="I1759" s="7">
        <v>499.99</v>
      </c>
      <c r="J1759" s="8">
        <v>1</v>
      </c>
      <c r="K1759" s="7">
        <v>130</v>
      </c>
    </row>
    <row r="1760" spans="1:11" x14ac:dyDescent="0.3">
      <c r="A1760" s="2" t="s">
        <v>2575</v>
      </c>
      <c r="B1760" s="9" t="e">
        <f>MONTH(Table1[[#This Row],[Order Date]])</f>
        <v>#VALUE!</v>
      </c>
      <c r="C1760" s="9" t="e">
        <f>YEAR(Table1[[#This Row],[Order Date]])</f>
        <v>#VALUE!</v>
      </c>
      <c r="D1760" t="s">
        <v>58</v>
      </c>
      <c r="E1760" t="s">
        <v>78</v>
      </c>
      <c r="F1760" t="s">
        <v>11</v>
      </c>
      <c r="G1760" t="s">
        <v>24</v>
      </c>
      <c r="H1760" t="s">
        <v>1800</v>
      </c>
      <c r="I1760" s="7">
        <v>2.67</v>
      </c>
      <c r="J1760" s="8">
        <v>1</v>
      </c>
      <c r="K1760" s="7">
        <v>0.37</v>
      </c>
    </row>
    <row r="1761" spans="1:11" x14ac:dyDescent="0.3">
      <c r="A1761" s="2" t="s">
        <v>1445</v>
      </c>
      <c r="B1761" s="9" t="e">
        <f>MONTH(Table1[[#This Row],[Order Date]])</f>
        <v>#VALUE!</v>
      </c>
      <c r="C1761" s="9" t="e">
        <f>YEAR(Table1[[#This Row],[Order Date]])</f>
        <v>#VALUE!</v>
      </c>
      <c r="D1761" t="s">
        <v>1446</v>
      </c>
      <c r="E1761" t="s">
        <v>474</v>
      </c>
      <c r="F1761" t="s">
        <v>39</v>
      </c>
      <c r="G1761" t="s">
        <v>40</v>
      </c>
      <c r="H1761" t="s">
        <v>1447</v>
      </c>
      <c r="I1761" s="7">
        <v>1394.95</v>
      </c>
      <c r="J1761" s="8">
        <v>5</v>
      </c>
      <c r="K1761" s="7">
        <v>362.69</v>
      </c>
    </row>
    <row r="1762" spans="1:11" x14ac:dyDescent="0.3">
      <c r="A1762" s="2" t="s">
        <v>1602</v>
      </c>
      <c r="B1762" s="9" t="e">
        <f>MONTH(Table1[[#This Row],[Order Date]])</f>
        <v>#VALUE!</v>
      </c>
      <c r="C1762" s="9" t="e">
        <f>YEAR(Table1[[#This Row],[Order Date]])</f>
        <v>#VALUE!</v>
      </c>
      <c r="D1762" t="s">
        <v>1526</v>
      </c>
      <c r="E1762" t="s">
        <v>78</v>
      </c>
      <c r="F1762" t="s">
        <v>39</v>
      </c>
      <c r="G1762" t="s">
        <v>40</v>
      </c>
      <c r="H1762" t="s">
        <v>1611</v>
      </c>
      <c r="I1762" s="7">
        <v>9.59</v>
      </c>
      <c r="J1762" s="8">
        <v>2</v>
      </c>
      <c r="K1762" s="7">
        <v>-2.08</v>
      </c>
    </row>
    <row r="1763" spans="1:11" x14ac:dyDescent="0.3">
      <c r="A1763" s="2" t="s">
        <v>2603</v>
      </c>
      <c r="B1763" s="9" t="e">
        <f>MONTH(Table1[[#This Row],[Order Date]])</f>
        <v>#VALUE!</v>
      </c>
      <c r="C1763" s="9" t="e">
        <f>YEAR(Table1[[#This Row],[Order Date]])</f>
        <v>#VALUE!</v>
      </c>
      <c r="D1763" t="s">
        <v>1521</v>
      </c>
      <c r="E1763" t="s">
        <v>27</v>
      </c>
      <c r="F1763" t="s">
        <v>11</v>
      </c>
      <c r="G1763" t="s">
        <v>92</v>
      </c>
      <c r="H1763" t="s">
        <v>2313</v>
      </c>
      <c r="I1763" s="7">
        <v>67.84</v>
      </c>
      <c r="J1763" s="8">
        <v>1</v>
      </c>
      <c r="K1763" s="7">
        <v>18.32</v>
      </c>
    </row>
    <row r="1764" spans="1:11" x14ac:dyDescent="0.3">
      <c r="A1764" s="2" t="s">
        <v>2368</v>
      </c>
      <c r="B1764" s="9" t="e">
        <f>MONTH(Table1[[#This Row],[Order Date]])</f>
        <v>#VALUE!</v>
      </c>
      <c r="C1764" s="9" t="e">
        <f>YEAR(Table1[[#This Row],[Order Date]])</f>
        <v>#VALUE!</v>
      </c>
      <c r="D1764" t="s">
        <v>1124</v>
      </c>
      <c r="E1764" t="s">
        <v>117</v>
      </c>
      <c r="F1764" t="s">
        <v>11</v>
      </c>
      <c r="G1764" t="s">
        <v>16</v>
      </c>
      <c r="H1764" t="s">
        <v>2254</v>
      </c>
      <c r="I1764" s="7">
        <v>18.43</v>
      </c>
      <c r="J1764" s="8">
        <v>8</v>
      </c>
      <c r="K1764" s="7">
        <v>5.99</v>
      </c>
    </row>
    <row r="1765" spans="1:11" x14ac:dyDescent="0.3">
      <c r="A1765" s="2" t="s">
        <v>2739</v>
      </c>
      <c r="B1765" s="9" t="e">
        <f>MONTH(Table1[[#This Row],[Order Date]])</f>
        <v>#VALUE!</v>
      </c>
      <c r="C1765" s="9" t="e">
        <f>YEAR(Table1[[#This Row],[Order Date]])</f>
        <v>#VALUE!</v>
      </c>
      <c r="D1765" t="s">
        <v>868</v>
      </c>
      <c r="E1765" t="s">
        <v>27</v>
      </c>
      <c r="F1765" t="s">
        <v>34</v>
      </c>
      <c r="G1765" t="s">
        <v>74</v>
      </c>
      <c r="H1765" t="s">
        <v>2740</v>
      </c>
      <c r="I1765" s="7">
        <v>119.83</v>
      </c>
      <c r="J1765" s="8">
        <v>1</v>
      </c>
      <c r="K1765" s="7">
        <v>-12.69</v>
      </c>
    </row>
    <row r="1766" spans="1:11" x14ac:dyDescent="0.3">
      <c r="A1766" s="2" t="s">
        <v>2739</v>
      </c>
      <c r="B1766" s="9" t="e">
        <f>MONTH(Table1[[#This Row],[Order Date]])</f>
        <v>#VALUE!</v>
      </c>
      <c r="C1766" s="9" t="e">
        <f>YEAR(Table1[[#This Row],[Order Date]])</f>
        <v>#VALUE!</v>
      </c>
      <c r="D1766" t="s">
        <v>893</v>
      </c>
      <c r="E1766" t="s">
        <v>27</v>
      </c>
      <c r="F1766" t="s">
        <v>11</v>
      </c>
      <c r="G1766" t="s">
        <v>24</v>
      </c>
      <c r="H1766" t="s">
        <v>104</v>
      </c>
      <c r="I1766" s="7">
        <v>6.63</v>
      </c>
      <c r="J1766" s="8">
        <v>3</v>
      </c>
      <c r="K1766" s="7">
        <v>1.79</v>
      </c>
    </row>
    <row r="1767" spans="1:11" x14ac:dyDescent="0.3">
      <c r="A1767" s="2" t="s">
        <v>2636</v>
      </c>
      <c r="B1767" s="9" t="e">
        <f>MONTH(Table1[[#This Row],[Order Date]])</f>
        <v>#VALUE!</v>
      </c>
      <c r="C1767" s="9" t="e">
        <f>YEAR(Table1[[#This Row],[Order Date]])</f>
        <v>#VALUE!</v>
      </c>
      <c r="D1767" t="s">
        <v>863</v>
      </c>
      <c r="E1767" t="s">
        <v>10</v>
      </c>
      <c r="F1767" t="s">
        <v>11</v>
      </c>
      <c r="G1767" t="s">
        <v>16</v>
      </c>
      <c r="H1767" t="s">
        <v>2215</v>
      </c>
      <c r="I1767" s="7">
        <v>6</v>
      </c>
      <c r="J1767" s="8">
        <v>2</v>
      </c>
      <c r="K1767" s="7">
        <v>2.1</v>
      </c>
    </row>
    <row r="1768" spans="1:11" x14ac:dyDescent="0.3">
      <c r="A1768" s="2" t="s">
        <v>340</v>
      </c>
      <c r="B1768" s="9" t="e">
        <f>MONTH(Table1[[#This Row],[Order Date]])</f>
        <v>#VALUE!</v>
      </c>
      <c r="C1768" s="9" t="e">
        <f>YEAR(Table1[[#This Row],[Order Date]])</f>
        <v>#VALUE!</v>
      </c>
      <c r="D1768" t="s">
        <v>341</v>
      </c>
      <c r="E1768" t="s">
        <v>120</v>
      </c>
      <c r="F1768" t="s">
        <v>39</v>
      </c>
      <c r="G1768" t="s">
        <v>52</v>
      </c>
      <c r="H1768" t="s">
        <v>346</v>
      </c>
      <c r="I1768" s="7">
        <v>170.24</v>
      </c>
      <c r="J1768" s="8">
        <v>2</v>
      </c>
      <c r="K1768" s="7">
        <v>53.2</v>
      </c>
    </row>
    <row r="1769" spans="1:11" x14ac:dyDescent="0.3">
      <c r="A1769" s="2" t="s">
        <v>2464</v>
      </c>
      <c r="B1769" s="9" t="e">
        <f>MONTH(Table1[[#This Row],[Order Date]])</f>
        <v>#VALUE!</v>
      </c>
      <c r="C1769" s="9" t="e">
        <f>YEAR(Table1[[#This Row],[Order Date]])</f>
        <v>#VALUE!</v>
      </c>
      <c r="D1769" t="s">
        <v>395</v>
      </c>
      <c r="E1769" t="s">
        <v>144</v>
      </c>
      <c r="F1769" t="s">
        <v>39</v>
      </c>
      <c r="G1769" t="s">
        <v>40</v>
      </c>
      <c r="H1769" t="s">
        <v>2303</v>
      </c>
      <c r="I1769" s="7">
        <v>25.98</v>
      </c>
      <c r="J1769" s="8">
        <v>2</v>
      </c>
      <c r="K1769" s="7">
        <v>0.78</v>
      </c>
    </row>
    <row r="1770" spans="1:11" x14ac:dyDescent="0.3">
      <c r="A1770" s="2" t="s">
        <v>2666</v>
      </c>
      <c r="B1770" s="9" t="e">
        <f>MONTH(Table1[[#This Row],[Order Date]])</f>
        <v>#VALUE!</v>
      </c>
      <c r="C1770" s="9" t="e">
        <f>YEAR(Table1[[#This Row],[Order Date]])</f>
        <v>#VALUE!</v>
      </c>
      <c r="D1770" t="s">
        <v>1274</v>
      </c>
      <c r="E1770" t="s">
        <v>30</v>
      </c>
      <c r="F1770" t="s">
        <v>11</v>
      </c>
      <c r="G1770" t="s">
        <v>12</v>
      </c>
      <c r="H1770" t="s">
        <v>2123</v>
      </c>
      <c r="I1770" s="7">
        <v>195.64</v>
      </c>
      <c r="J1770" s="8">
        <v>4</v>
      </c>
      <c r="K1770" s="7">
        <v>91.95</v>
      </c>
    </row>
    <row r="1771" spans="1:11" x14ac:dyDescent="0.3">
      <c r="A1771" s="2" t="s">
        <v>2075</v>
      </c>
      <c r="B1771" s="9" t="e">
        <f>MONTH(Table1[[#This Row],[Order Date]])</f>
        <v>#VALUE!</v>
      </c>
      <c r="C1771" s="9" t="e">
        <f>YEAR(Table1[[#This Row],[Order Date]])</f>
        <v>#VALUE!</v>
      </c>
      <c r="D1771" t="s">
        <v>1152</v>
      </c>
      <c r="E1771" t="s">
        <v>23</v>
      </c>
      <c r="F1771" t="s">
        <v>11</v>
      </c>
      <c r="G1771" t="s">
        <v>16</v>
      </c>
      <c r="H1771" t="s">
        <v>2078</v>
      </c>
      <c r="I1771" s="7">
        <v>5.9</v>
      </c>
      <c r="J1771" s="8">
        <v>2</v>
      </c>
      <c r="K1771" s="7">
        <v>1.99</v>
      </c>
    </row>
    <row r="1772" spans="1:11" x14ac:dyDescent="0.3">
      <c r="A1772" s="2" t="s">
        <v>2683</v>
      </c>
      <c r="B1772" s="9" t="e">
        <f>MONTH(Table1[[#This Row],[Order Date]])</f>
        <v>#VALUE!</v>
      </c>
      <c r="C1772" s="9" t="e">
        <f>YEAR(Table1[[#This Row],[Order Date]])</f>
        <v>#VALUE!</v>
      </c>
      <c r="D1772" t="s">
        <v>1426</v>
      </c>
      <c r="E1772" t="s">
        <v>10</v>
      </c>
      <c r="F1772" t="s">
        <v>11</v>
      </c>
      <c r="G1772" t="s">
        <v>92</v>
      </c>
      <c r="H1772" t="s">
        <v>2327</v>
      </c>
      <c r="I1772" s="7">
        <v>2.2599999999999998</v>
      </c>
      <c r="J1772" s="8">
        <v>1</v>
      </c>
      <c r="K1772" s="7">
        <v>-5.21</v>
      </c>
    </row>
    <row r="1773" spans="1:11" x14ac:dyDescent="0.3">
      <c r="A1773" s="2" t="s">
        <v>2120</v>
      </c>
      <c r="B1773" s="9" t="e">
        <f>MONTH(Table1[[#This Row],[Order Date]])</f>
        <v>#VALUE!</v>
      </c>
      <c r="C1773" s="9" t="e">
        <f>YEAR(Table1[[#This Row],[Order Date]])</f>
        <v>#VALUE!</v>
      </c>
      <c r="D1773" t="s">
        <v>2121</v>
      </c>
      <c r="E1773" t="s">
        <v>95</v>
      </c>
      <c r="F1773" t="s">
        <v>11</v>
      </c>
      <c r="G1773" t="s">
        <v>20</v>
      </c>
      <c r="H1773" t="s">
        <v>2122</v>
      </c>
      <c r="I1773" s="7">
        <v>2.0299999999999998</v>
      </c>
      <c r="J1773" s="8">
        <v>1</v>
      </c>
      <c r="K1773" s="7">
        <v>-1.35</v>
      </c>
    </row>
    <row r="1774" spans="1:11" x14ac:dyDescent="0.3">
      <c r="A1774" s="2" t="s">
        <v>1299</v>
      </c>
      <c r="B1774" s="9" t="e">
        <f>MONTH(Table1[[#This Row],[Order Date]])</f>
        <v>#VALUE!</v>
      </c>
      <c r="C1774" s="9" t="e">
        <f>YEAR(Table1[[#This Row],[Order Date]])</f>
        <v>#VALUE!</v>
      </c>
      <c r="D1774" t="s">
        <v>624</v>
      </c>
      <c r="E1774" t="s">
        <v>10</v>
      </c>
      <c r="F1774" t="s">
        <v>39</v>
      </c>
      <c r="G1774" t="s">
        <v>293</v>
      </c>
      <c r="H1774" t="s">
        <v>1300</v>
      </c>
      <c r="I1774" s="7">
        <v>2519.96</v>
      </c>
      <c r="J1774" s="8">
        <v>7</v>
      </c>
      <c r="K1774" s="7">
        <v>-252</v>
      </c>
    </row>
    <row r="1775" spans="1:11" x14ac:dyDescent="0.3">
      <c r="A1775" s="2" t="s">
        <v>2576</v>
      </c>
      <c r="B1775" s="9" t="e">
        <f>MONTH(Table1[[#This Row],[Order Date]])</f>
        <v>#VALUE!</v>
      </c>
      <c r="C1775" s="9" t="e">
        <f>YEAR(Table1[[#This Row],[Order Date]])</f>
        <v>#VALUE!</v>
      </c>
      <c r="D1775" t="s">
        <v>1975</v>
      </c>
      <c r="E1775" t="s">
        <v>30</v>
      </c>
      <c r="F1775" t="s">
        <v>11</v>
      </c>
      <c r="G1775" t="s">
        <v>194</v>
      </c>
      <c r="H1775" t="s">
        <v>695</v>
      </c>
      <c r="I1775" s="7">
        <v>5.04</v>
      </c>
      <c r="J1775" s="8">
        <v>2</v>
      </c>
      <c r="K1775" s="7">
        <v>0.15</v>
      </c>
    </row>
    <row r="1776" spans="1:11" x14ac:dyDescent="0.3">
      <c r="A1776" s="2" t="s">
        <v>2708</v>
      </c>
      <c r="B1776" s="9" t="e">
        <f>MONTH(Table1[[#This Row],[Order Date]])</f>
        <v>#VALUE!</v>
      </c>
      <c r="C1776" s="9" t="e">
        <f>YEAR(Table1[[#This Row],[Order Date]])</f>
        <v>#VALUE!</v>
      </c>
      <c r="D1776" t="s">
        <v>2160</v>
      </c>
      <c r="E1776" t="s">
        <v>27</v>
      </c>
      <c r="F1776" t="s">
        <v>11</v>
      </c>
      <c r="G1776" t="s">
        <v>24</v>
      </c>
      <c r="H1776" t="s">
        <v>2436</v>
      </c>
      <c r="I1776" s="7">
        <v>16.739999999999998</v>
      </c>
      <c r="J1776" s="8">
        <v>3</v>
      </c>
      <c r="K1776" s="7">
        <v>4.8499999999999996</v>
      </c>
    </row>
    <row r="1777" spans="1:11" x14ac:dyDescent="0.3">
      <c r="A1777" s="2" t="s">
        <v>1454</v>
      </c>
      <c r="B1777" s="9" t="e">
        <f>MONTH(Table1[[#This Row],[Order Date]])</f>
        <v>#VALUE!</v>
      </c>
      <c r="C1777" s="9" t="e">
        <f>YEAR(Table1[[#This Row],[Order Date]])</f>
        <v>#VALUE!</v>
      </c>
      <c r="D1777" t="s">
        <v>1457</v>
      </c>
      <c r="E1777" t="s">
        <v>27</v>
      </c>
      <c r="F1777" t="s">
        <v>39</v>
      </c>
      <c r="G1777" t="s">
        <v>40</v>
      </c>
      <c r="H1777" t="s">
        <v>1461</v>
      </c>
      <c r="I1777" s="7">
        <v>117.58</v>
      </c>
      <c r="J1777" s="8">
        <v>3</v>
      </c>
      <c r="K1777" s="7">
        <v>11.76</v>
      </c>
    </row>
    <row r="1778" spans="1:11" x14ac:dyDescent="0.3">
      <c r="A1778" s="2" t="s">
        <v>2721</v>
      </c>
      <c r="B1778" s="9" t="e">
        <f>MONTH(Table1[[#This Row],[Order Date]])</f>
        <v>#VALUE!</v>
      </c>
      <c r="C1778" s="9" t="e">
        <f>YEAR(Table1[[#This Row],[Order Date]])</f>
        <v>#VALUE!</v>
      </c>
      <c r="D1778" t="s">
        <v>373</v>
      </c>
      <c r="E1778" t="s">
        <v>10</v>
      </c>
      <c r="F1778" t="s">
        <v>34</v>
      </c>
      <c r="G1778" t="s">
        <v>74</v>
      </c>
      <c r="H1778" t="s">
        <v>2375</v>
      </c>
      <c r="I1778" s="7">
        <v>328.4</v>
      </c>
      <c r="J1778" s="8">
        <v>3</v>
      </c>
      <c r="K1778" s="7">
        <v>-91.76</v>
      </c>
    </row>
    <row r="1779" spans="1:11" x14ac:dyDescent="0.3">
      <c r="A1779" s="2" t="s">
        <v>1618</v>
      </c>
      <c r="B1779" s="9" t="e">
        <f>MONTH(Table1[[#This Row],[Order Date]])</f>
        <v>#VALUE!</v>
      </c>
      <c r="C1779" s="9" t="e">
        <f>YEAR(Table1[[#This Row],[Order Date]])</f>
        <v>#VALUE!</v>
      </c>
      <c r="D1779" t="s">
        <v>1622</v>
      </c>
      <c r="E1779" t="s">
        <v>23</v>
      </c>
      <c r="F1779" t="s">
        <v>11</v>
      </c>
      <c r="G1779" t="s">
        <v>12</v>
      </c>
      <c r="H1779" t="s">
        <v>1623</v>
      </c>
      <c r="I1779" s="7">
        <v>5.88</v>
      </c>
      <c r="J1779" s="8">
        <v>1</v>
      </c>
      <c r="K1779" s="7">
        <v>1.98</v>
      </c>
    </row>
    <row r="1780" spans="1:11" x14ac:dyDescent="0.3">
      <c r="A1780" s="2" t="s">
        <v>2604</v>
      </c>
      <c r="B1780" s="9" t="e">
        <f>MONTH(Table1[[#This Row],[Order Date]])</f>
        <v>#VALUE!</v>
      </c>
      <c r="C1780" s="9" t="e">
        <f>YEAR(Table1[[#This Row],[Order Date]])</f>
        <v>#VALUE!</v>
      </c>
      <c r="D1780" t="s">
        <v>878</v>
      </c>
      <c r="E1780" t="s">
        <v>10</v>
      </c>
      <c r="F1780" t="s">
        <v>11</v>
      </c>
      <c r="G1780" t="s">
        <v>63</v>
      </c>
      <c r="H1780" t="s">
        <v>2373</v>
      </c>
      <c r="I1780" s="7">
        <v>40.97</v>
      </c>
      <c r="J1780" s="8">
        <v>3</v>
      </c>
      <c r="K1780" s="7">
        <v>13.83</v>
      </c>
    </row>
    <row r="1781" spans="1:11" x14ac:dyDescent="0.3">
      <c r="A1781" s="2" t="s">
        <v>2604</v>
      </c>
      <c r="B1781" s="9" t="e">
        <f>MONTH(Table1[[#This Row],[Order Date]])</f>
        <v>#VALUE!</v>
      </c>
      <c r="C1781" s="9" t="e">
        <f>YEAR(Table1[[#This Row],[Order Date]])</f>
        <v>#VALUE!</v>
      </c>
      <c r="D1781" t="s">
        <v>260</v>
      </c>
      <c r="E1781" t="s">
        <v>144</v>
      </c>
      <c r="F1781" t="s">
        <v>11</v>
      </c>
      <c r="G1781" t="s">
        <v>24</v>
      </c>
      <c r="H1781" t="s">
        <v>1153</v>
      </c>
      <c r="I1781" s="7">
        <v>17.28</v>
      </c>
      <c r="J1781" s="8">
        <v>6</v>
      </c>
      <c r="K1781" s="7">
        <v>5.01</v>
      </c>
    </row>
    <row r="1782" spans="1:11" x14ac:dyDescent="0.3">
      <c r="A1782" s="2" t="s">
        <v>2604</v>
      </c>
      <c r="B1782" s="9" t="e">
        <f>MONTH(Table1[[#This Row],[Order Date]])</f>
        <v>#VALUE!</v>
      </c>
      <c r="C1782" s="9" t="e">
        <f>YEAR(Table1[[#This Row],[Order Date]])</f>
        <v>#VALUE!</v>
      </c>
      <c r="D1782" t="s">
        <v>69</v>
      </c>
      <c r="E1782" t="s">
        <v>144</v>
      </c>
      <c r="F1782" t="s">
        <v>11</v>
      </c>
      <c r="G1782" t="s">
        <v>92</v>
      </c>
      <c r="H1782" t="s">
        <v>1933</v>
      </c>
      <c r="I1782" s="7">
        <v>8.74</v>
      </c>
      <c r="J1782" s="8">
        <v>2</v>
      </c>
      <c r="K1782" s="7">
        <v>2.27</v>
      </c>
    </row>
    <row r="1783" spans="1:11" x14ac:dyDescent="0.3">
      <c r="A1783" s="2" t="s">
        <v>2732</v>
      </c>
      <c r="B1783" s="9" t="e">
        <f>MONTH(Table1[[#This Row],[Order Date]])</f>
        <v>#VALUE!</v>
      </c>
      <c r="C1783" s="9" t="e">
        <f>YEAR(Table1[[#This Row],[Order Date]])</f>
        <v>#VALUE!</v>
      </c>
      <c r="D1783" t="s">
        <v>251</v>
      </c>
      <c r="E1783" t="s">
        <v>10</v>
      </c>
      <c r="F1783" t="s">
        <v>11</v>
      </c>
      <c r="G1783" t="s">
        <v>12</v>
      </c>
      <c r="H1783" t="s">
        <v>2733</v>
      </c>
      <c r="I1783" s="7">
        <v>16.899999999999999</v>
      </c>
      <c r="J1783" s="8">
        <v>4</v>
      </c>
      <c r="K1783" s="7">
        <v>5.28</v>
      </c>
    </row>
    <row r="1784" spans="1:11" x14ac:dyDescent="0.3">
      <c r="A1784" s="2" t="s">
        <v>2732</v>
      </c>
      <c r="B1784" s="9" t="e">
        <f>MONTH(Table1[[#This Row],[Order Date]])</f>
        <v>#VALUE!</v>
      </c>
      <c r="C1784" s="9" t="e">
        <f>YEAR(Table1[[#This Row],[Order Date]])</f>
        <v>#VALUE!</v>
      </c>
      <c r="D1784" t="s">
        <v>594</v>
      </c>
      <c r="E1784" t="s">
        <v>10</v>
      </c>
      <c r="F1784" t="s">
        <v>11</v>
      </c>
      <c r="G1784" t="s">
        <v>24</v>
      </c>
      <c r="H1784" t="s">
        <v>1332</v>
      </c>
      <c r="I1784" s="7">
        <v>13.04</v>
      </c>
      <c r="J1784" s="8">
        <v>5</v>
      </c>
      <c r="K1784" s="7">
        <v>3.91</v>
      </c>
    </row>
    <row r="1785" spans="1:11" x14ac:dyDescent="0.3">
      <c r="A1785" s="2" t="s">
        <v>1756</v>
      </c>
      <c r="B1785" s="9" t="e">
        <f>MONTH(Table1[[#This Row],[Order Date]])</f>
        <v>#VALUE!</v>
      </c>
      <c r="C1785" s="9" t="e">
        <f>YEAR(Table1[[#This Row],[Order Date]])</f>
        <v>#VALUE!</v>
      </c>
      <c r="D1785" t="s">
        <v>125</v>
      </c>
      <c r="E1785" t="s">
        <v>15</v>
      </c>
      <c r="F1785" t="s">
        <v>39</v>
      </c>
      <c r="G1785" t="s">
        <v>40</v>
      </c>
      <c r="H1785" t="s">
        <v>1765</v>
      </c>
      <c r="I1785" s="7">
        <v>323.98</v>
      </c>
      <c r="J1785" s="8">
        <v>3</v>
      </c>
      <c r="K1785" s="7">
        <v>36.450000000000003</v>
      </c>
    </row>
    <row r="1786" spans="1:11" x14ac:dyDescent="0.3">
      <c r="A1786" s="2" t="s">
        <v>671</v>
      </c>
      <c r="B1786" s="9" t="e">
        <f>MONTH(Table1[[#This Row],[Order Date]])</f>
        <v>#VALUE!</v>
      </c>
      <c r="C1786" s="9" t="e">
        <f>YEAR(Table1[[#This Row],[Order Date]])</f>
        <v>#VALUE!</v>
      </c>
      <c r="D1786" t="s">
        <v>672</v>
      </c>
      <c r="E1786" t="s">
        <v>673</v>
      </c>
      <c r="F1786" t="s">
        <v>11</v>
      </c>
      <c r="G1786" t="s">
        <v>92</v>
      </c>
      <c r="H1786" t="s">
        <v>674</v>
      </c>
      <c r="I1786" s="7">
        <v>33.28</v>
      </c>
      <c r="J1786" s="8">
        <v>4</v>
      </c>
      <c r="K1786" s="7">
        <v>9.32</v>
      </c>
    </row>
    <row r="1787" spans="1:11" x14ac:dyDescent="0.3">
      <c r="A1787" s="2" t="s">
        <v>671</v>
      </c>
      <c r="B1787" s="9" t="e">
        <f>MONTH(Table1[[#This Row],[Order Date]])</f>
        <v>#VALUE!</v>
      </c>
      <c r="C1787" s="9" t="e">
        <f>YEAR(Table1[[#This Row],[Order Date]])</f>
        <v>#VALUE!</v>
      </c>
      <c r="D1787" t="s">
        <v>677</v>
      </c>
      <c r="E1787" t="s">
        <v>10</v>
      </c>
      <c r="F1787" t="s">
        <v>34</v>
      </c>
      <c r="G1787" t="s">
        <v>47</v>
      </c>
      <c r="H1787" t="s">
        <v>678</v>
      </c>
      <c r="I1787" s="7">
        <v>10.33</v>
      </c>
      <c r="J1787" s="8">
        <v>3</v>
      </c>
      <c r="K1787" s="7">
        <v>-5.94</v>
      </c>
    </row>
    <row r="1788" spans="1:11" x14ac:dyDescent="0.3">
      <c r="A1788" s="2" t="s">
        <v>1463</v>
      </c>
      <c r="B1788" s="9" t="e">
        <f>MONTH(Table1[[#This Row],[Order Date]])</f>
        <v>#VALUE!</v>
      </c>
      <c r="C1788" s="9" t="e">
        <f>YEAR(Table1[[#This Row],[Order Date]])</f>
        <v>#VALUE!</v>
      </c>
      <c r="D1788" t="s">
        <v>1466</v>
      </c>
      <c r="E1788" t="s">
        <v>15</v>
      </c>
      <c r="F1788" t="s">
        <v>11</v>
      </c>
      <c r="G1788" t="s">
        <v>12</v>
      </c>
      <c r="H1788" t="s">
        <v>1468</v>
      </c>
      <c r="I1788" s="7">
        <v>3.81</v>
      </c>
      <c r="J1788" s="8">
        <v>1</v>
      </c>
      <c r="K1788" s="7">
        <v>1.24</v>
      </c>
    </row>
    <row r="1789" spans="1:11" x14ac:dyDescent="0.3">
      <c r="A1789" s="2" t="s">
        <v>2302</v>
      </c>
      <c r="B1789" s="9" t="e">
        <f>MONTH(Table1[[#This Row],[Order Date]])</f>
        <v>#VALUE!</v>
      </c>
      <c r="C1789" s="9" t="e">
        <f>YEAR(Table1[[#This Row],[Order Date]])</f>
        <v>#VALUE!</v>
      </c>
      <c r="D1789" t="s">
        <v>916</v>
      </c>
      <c r="E1789" t="s">
        <v>78</v>
      </c>
      <c r="F1789" t="s">
        <v>34</v>
      </c>
      <c r="G1789" t="s">
        <v>47</v>
      </c>
      <c r="H1789" t="s">
        <v>2306</v>
      </c>
      <c r="I1789" s="7">
        <v>63.82</v>
      </c>
      <c r="J1789" s="8">
        <v>2</v>
      </c>
      <c r="K1789" s="7">
        <v>9.57</v>
      </c>
    </row>
    <row r="1790" spans="1:11" x14ac:dyDescent="0.3">
      <c r="A1790" s="2" t="s">
        <v>2302</v>
      </c>
      <c r="B1790" s="9" t="e">
        <f>MONTH(Table1[[#This Row],[Order Date]])</f>
        <v>#VALUE!</v>
      </c>
      <c r="C1790" s="9" t="e">
        <f>YEAR(Table1[[#This Row],[Order Date]])</f>
        <v>#VALUE!</v>
      </c>
      <c r="D1790" t="s">
        <v>854</v>
      </c>
      <c r="E1790" t="s">
        <v>10</v>
      </c>
      <c r="F1790" t="s">
        <v>39</v>
      </c>
      <c r="G1790" t="s">
        <v>293</v>
      </c>
      <c r="H1790" t="s">
        <v>2307</v>
      </c>
      <c r="I1790" s="7">
        <v>479.99</v>
      </c>
      <c r="J1790" s="8">
        <v>2</v>
      </c>
      <c r="K1790" s="7">
        <v>56</v>
      </c>
    </row>
    <row r="1791" spans="1:11" x14ac:dyDescent="0.3">
      <c r="A1791" s="2" t="s">
        <v>2605</v>
      </c>
      <c r="B1791" s="9" t="e">
        <f>MONTH(Table1[[#This Row],[Order Date]])</f>
        <v>#VALUE!</v>
      </c>
      <c r="C1791" s="9" t="e">
        <f>YEAR(Table1[[#This Row],[Order Date]])</f>
        <v>#VALUE!</v>
      </c>
      <c r="D1791" t="s">
        <v>1022</v>
      </c>
      <c r="E1791" t="s">
        <v>78</v>
      </c>
      <c r="F1791" t="s">
        <v>11</v>
      </c>
      <c r="G1791" t="s">
        <v>43</v>
      </c>
      <c r="H1791" t="s">
        <v>2556</v>
      </c>
      <c r="I1791" s="7">
        <v>19.100000000000001</v>
      </c>
      <c r="J1791" s="8">
        <v>7</v>
      </c>
      <c r="K1791" s="7">
        <v>6.68</v>
      </c>
    </row>
    <row r="1792" spans="1:11" x14ac:dyDescent="0.3">
      <c r="A1792" s="2" t="s">
        <v>1767</v>
      </c>
      <c r="B1792" s="9" t="e">
        <f>MONTH(Table1[[#This Row],[Order Date]])</f>
        <v>#VALUE!</v>
      </c>
      <c r="C1792" s="9" t="e">
        <f>YEAR(Table1[[#This Row],[Order Date]])</f>
        <v>#VALUE!</v>
      </c>
      <c r="D1792" t="s">
        <v>1768</v>
      </c>
      <c r="E1792" t="s">
        <v>55</v>
      </c>
      <c r="F1792" t="s">
        <v>11</v>
      </c>
      <c r="G1792" t="s">
        <v>18</v>
      </c>
      <c r="H1792" t="s">
        <v>130</v>
      </c>
      <c r="I1792" s="7">
        <v>122.48</v>
      </c>
      <c r="J1792" s="8">
        <v>2</v>
      </c>
      <c r="K1792" s="7">
        <v>0</v>
      </c>
    </row>
    <row r="1793" spans="1:11" x14ac:dyDescent="0.3">
      <c r="A1793" s="2" t="s">
        <v>2369</v>
      </c>
      <c r="B1793" s="9" t="e">
        <f>MONTH(Table1[[#This Row],[Order Date]])</f>
        <v>#VALUE!</v>
      </c>
      <c r="C1793" s="9" t="e">
        <f>YEAR(Table1[[#This Row],[Order Date]])</f>
        <v>#VALUE!</v>
      </c>
      <c r="D1793" t="s">
        <v>1050</v>
      </c>
      <c r="E1793" t="s">
        <v>95</v>
      </c>
      <c r="F1793" t="s">
        <v>11</v>
      </c>
      <c r="G1793" t="s">
        <v>63</v>
      </c>
      <c r="H1793" t="s">
        <v>2218</v>
      </c>
      <c r="I1793" s="7">
        <v>7.92</v>
      </c>
      <c r="J1793" s="8">
        <v>1</v>
      </c>
      <c r="K1793" s="7">
        <v>2.77</v>
      </c>
    </row>
    <row r="1794" spans="1:11" x14ac:dyDescent="0.3">
      <c r="A1794" s="2" t="s">
        <v>2637</v>
      </c>
      <c r="B1794" s="9" t="e">
        <f>MONTH(Table1[[#This Row],[Order Date]])</f>
        <v>#VALUE!</v>
      </c>
      <c r="C1794" s="9" t="e">
        <f>YEAR(Table1[[#This Row],[Order Date]])</f>
        <v>#VALUE!</v>
      </c>
      <c r="D1794" t="s">
        <v>906</v>
      </c>
      <c r="E1794" t="s">
        <v>158</v>
      </c>
      <c r="F1794" t="s">
        <v>34</v>
      </c>
      <c r="G1794" t="s">
        <v>74</v>
      </c>
      <c r="H1794" t="s">
        <v>2612</v>
      </c>
      <c r="I1794" s="7">
        <v>84.98</v>
      </c>
      <c r="J1794" s="8">
        <v>1</v>
      </c>
      <c r="K1794" s="7">
        <v>18.7</v>
      </c>
    </row>
    <row r="1795" spans="1:11" x14ac:dyDescent="0.3">
      <c r="A1795" s="2" t="s">
        <v>2637</v>
      </c>
      <c r="B1795" s="9" t="e">
        <f>MONTH(Table1[[#This Row],[Order Date]])</f>
        <v>#VALUE!</v>
      </c>
      <c r="C1795" s="9" t="e">
        <f>YEAR(Table1[[#This Row],[Order Date]])</f>
        <v>#VALUE!</v>
      </c>
      <c r="D1795" t="s">
        <v>2554</v>
      </c>
      <c r="E1795" t="s">
        <v>108</v>
      </c>
      <c r="F1795" t="s">
        <v>39</v>
      </c>
      <c r="G1795" t="s">
        <v>293</v>
      </c>
      <c r="H1795" t="s">
        <v>2638</v>
      </c>
      <c r="I1795" s="7">
        <v>350.97</v>
      </c>
      <c r="J1795" s="8">
        <v>3</v>
      </c>
      <c r="K1795" s="7">
        <v>152.09</v>
      </c>
    </row>
    <row r="1796" spans="1:11" x14ac:dyDescent="0.3">
      <c r="A1796" s="2" t="s">
        <v>2644</v>
      </c>
      <c r="B1796" s="9" t="e">
        <f>MONTH(Table1[[#This Row],[Order Date]])</f>
        <v>#VALUE!</v>
      </c>
      <c r="C1796" s="9" t="e">
        <f>YEAR(Table1[[#This Row],[Order Date]])</f>
        <v>#VALUE!</v>
      </c>
      <c r="D1796" t="s">
        <v>1888</v>
      </c>
      <c r="E1796" t="s">
        <v>10</v>
      </c>
      <c r="F1796" t="s">
        <v>39</v>
      </c>
      <c r="G1796" t="s">
        <v>52</v>
      </c>
      <c r="H1796" t="s">
        <v>983</v>
      </c>
      <c r="I1796" s="7">
        <v>47.9</v>
      </c>
      <c r="J1796" s="8">
        <v>1</v>
      </c>
      <c r="K1796" s="7">
        <v>-2.99</v>
      </c>
    </row>
    <row r="1797" spans="1:11" x14ac:dyDescent="0.3">
      <c r="A1797" s="2" t="s">
        <v>2434</v>
      </c>
      <c r="B1797" s="9" t="e">
        <f>MONTH(Table1[[#This Row],[Order Date]])</f>
        <v>#VALUE!</v>
      </c>
      <c r="C1797" s="9" t="e">
        <f>YEAR(Table1[[#This Row],[Order Date]])</f>
        <v>#VALUE!</v>
      </c>
      <c r="D1797" t="s">
        <v>1381</v>
      </c>
      <c r="E1797" t="s">
        <v>10</v>
      </c>
      <c r="F1797" t="s">
        <v>34</v>
      </c>
      <c r="G1797" t="s">
        <v>140</v>
      </c>
      <c r="H1797" t="s">
        <v>978</v>
      </c>
      <c r="I1797" s="7">
        <v>99.37</v>
      </c>
      <c r="J1797" s="8">
        <v>2</v>
      </c>
      <c r="K1797" s="7">
        <v>-1.42</v>
      </c>
    </row>
    <row r="1798" spans="1:11" x14ac:dyDescent="0.3">
      <c r="A1798" s="2" t="s">
        <v>540</v>
      </c>
      <c r="B1798" s="9" t="e">
        <f>MONTH(Table1[[#This Row],[Order Date]])</f>
        <v>#VALUE!</v>
      </c>
      <c r="C1798" s="9" t="e">
        <f>YEAR(Table1[[#This Row],[Order Date]])</f>
        <v>#VALUE!</v>
      </c>
      <c r="D1798" t="s">
        <v>541</v>
      </c>
      <c r="E1798" t="s">
        <v>27</v>
      </c>
      <c r="F1798" t="s">
        <v>11</v>
      </c>
      <c r="G1798" t="s">
        <v>20</v>
      </c>
      <c r="H1798" t="s">
        <v>542</v>
      </c>
      <c r="I1798" s="7">
        <v>16.52</v>
      </c>
      <c r="J1798" s="8">
        <v>5</v>
      </c>
      <c r="K1798" s="7">
        <v>5.58</v>
      </c>
    </row>
    <row r="1799" spans="1:11" x14ac:dyDescent="0.3">
      <c r="A1799" s="2" t="s">
        <v>2491</v>
      </c>
      <c r="B1799" s="9" t="e">
        <f>MONTH(Table1[[#This Row],[Order Date]])</f>
        <v>#VALUE!</v>
      </c>
      <c r="C1799" s="9" t="e">
        <f>YEAR(Table1[[#This Row],[Order Date]])</f>
        <v>#VALUE!</v>
      </c>
      <c r="D1799" t="s">
        <v>206</v>
      </c>
      <c r="E1799" t="s">
        <v>123</v>
      </c>
      <c r="F1799" t="s">
        <v>39</v>
      </c>
      <c r="G1799" t="s">
        <v>293</v>
      </c>
      <c r="H1799" t="s">
        <v>2492</v>
      </c>
      <c r="I1799" s="7">
        <v>2396.4</v>
      </c>
      <c r="J1799" s="8">
        <v>10</v>
      </c>
      <c r="K1799" s="7">
        <v>179.73</v>
      </c>
    </row>
    <row r="1800" spans="1:11" x14ac:dyDescent="0.3">
      <c r="A1800" s="2" t="s">
        <v>821</v>
      </c>
      <c r="B1800" s="9" t="e">
        <f>MONTH(Table1[[#This Row],[Order Date]])</f>
        <v>#VALUE!</v>
      </c>
      <c r="C1800" s="9" t="e">
        <f>YEAR(Table1[[#This Row],[Order Date]])</f>
        <v>#VALUE!</v>
      </c>
      <c r="D1800" t="s">
        <v>828</v>
      </c>
      <c r="E1800" t="s">
        <v>23</v>
      </c>
      <c r="F1800" t="s">
        <v>39</v>
      </c>
      <c r="G1800" t="s">
        <v>293</v>
      </c>
      <c r="H1800" t="s">
        <v>830</v>
      </c>
      <c r="I1800" s="7">
        <v>206.99</v>
      </c>
      <c r="J1800" s="8">
        <v>3</v>
      </c>
      <c r="K1800" s="7">
        <v>-172.49</v>
      </c>
    </row>
    <row r="1801" spans="1:11" x14ac:dyDescent="0.3">
      <c r="A1801" s="2" t="s">
        <v>966</v>
      </c>
      <c r="B1801" s="9" t="e">
        <f>MONTH(Table1[[#This Row],[Order Date]])</f>
        <v>#VALUE!</v>
      </c>
      <c r="C1801" s="9" t="e">
        <f>YEAR(Table1[[#This Row],[Order Date]])</f>
        <v>#VALUE!</v>
      </c>
      <c r="D1801" t="s">
        <v>622</v>
      </c>
      <c r="E1801" t="s">
        <v>973</v>
      </c>
      <c r="F1801" t="s">
        <v>39</v>
      </c>
      <c r="G1801" t="s">
        <v>40</v>
      </c>
      <c r="H1801" t="s">
        <v>382</v>
      </c>
      <c r="I1801" s="7">
        <v>35.979999999999997</v>
      </c>
      <c r="J1801" s="8">
        <v>2</v>
      </c>
      <c r="K1801" s="7">
        <v>10.07</v>
      </c>
    </row>
    <row r="1802" spans="1:11" x14ac:dyDescent="0.3">
      <c r="A1802" s="2" t="s">
        <v>2695</v>
      </c>
      <c r="B1802" s="9" t="e">
        <f>MONTH(Table1[[#This Row],[Order Date]])</f>
        <v>#VALUE!</v>
      </c>
      <c r="C1802" s="9" t="e">
        <f>YEAR(Table1[[#This Row],[Order Date]])</f>
        <v>#VALUE!</v>
      </c>
      <c r="D1802" t="s">
        <v>444</v>
      </c>
      <c r="E1802" t="s">
        <v>517</v>
      </c>
      <c r="F1802" t="s">
        <v>34</v>
      </c>
      <c r="G1802" t="s">
        <v>47</v>
      </c>
      <c r="H1802" t="s">
        <v>2527</v>
      </c>
      <c r="I1802" s="7">
        <v>25.16</v>
      </c>
      <c r="J1802" s="8">
        <v>2</v>
      </c>
      <c r="K1802" s="7">
        <v>8.5500000000000007</v>
      </c>
    </row>
    <row r="1803" spans="1:11" x14ac:dyDescent="0.3">
      <c r="A1803" s="2" t="s">
        <v>2309</v>
      </c>
      <c r="B1803" s="9" t="e">
        <f>MONTH(Table1[[#This Row],[Order Date]])</f>
        <v>#VALUE!</v>
      </c>
      <c r="C1803" s="9" t="e">
        <f>YEAR(Table1[[#This Row],[Order Date]])</f>
        <v>#VALUE!</v>
      </c>
      <c r="D1803" t="s">
        <v>837</v>
      </c>
      <c r="E1803" t="s">
        <v>78</v>
      </c>
      <c r="F1803" t="s">
        <v>11</v>
      </c>
      <c r="G1803" t="s">
        <v>194</v>
      </c>
      <c r="H1803" t="s">
        <v>1797</v>
      </c>
      <c r="I1803" s="7">
        <v>15.88</v>
      </c>
      <c r="J1803" s="8">
        <v>5</v>
      </c>
      <c r="K1803" s="7">
        <v>-3.77</v>
      </c>
    </row>
    <row r="1804" spans="1:11" x14ac:dyDescent="0.3">
      <c r="A1804" s="2" t="s">
        <v>2309</v>
      </c>
      <c r="B1804" s="9" t="e">
        <f>MONTH(Table1[[#This Row],[Order Date]])</f>
        <v>#VALUE!</v>
      </c>
      <c r="C1804" s="9" t="e">
        <f>YEAR(Table1[[#This Row],[Order Date]])</f>
        <v>#VALUE!</v>
      </c>
      <c r="D1804" t="s">
        <v>2056</v>
      </c>
      <c r="E1804" t="s">
        <v>10</v>
      </c>
      <c r="F1804" t="s">
        <v>11</v>
      </c>
      <c r="G1804" t="s">
        <v>92</v>
      </c>
      <c r="H1804" t="s">
        <v>1825</v>
      </c>
      <c r="I1804" s="7">
        <v>24.59</v>
      </c>
      <c r="J1804" s="8">
        <v>3</v>
      </c>
      <c r="K1804" s="7">
        <v>-67.62</v>
      </c>
    </row>
    <row r="1805" spans="1:11" x14ac:dyDescent="0.3">
      <c r="A1805" s="2" t="s">
        <v>2607</v>
      </c>
      <c r="B1805" s="9" t="e">
        <f>MONTH(Table1[[#This Row],[Order Date]])</f>
        <v>#VALUE!</v>
      </c>
      <c r="C1805" s="9" t="e">
        <f>YEAR(Table1[[#This Row],[Order Date]])</f>
        <v>#VALUE!</v>
      </c>
      <c r="D1805" t="s">
        <v>271</v>
      </c>
      <c r="E1805" t="s">
        <v>78</v>
      </c>
      <c r="F1805" t="s">
        <v>39</v>
      </c>
      <c r="G1805" t="s">
        <v>293</v>
      </c>
      <c r="H1805" t="s">
        <v>2608</v>
      </c>
      <c r="I1805" s="7">
        <v>30.35</v>
      </c>
      <c r="J1805" s="8">
        <v>7</v>
      </c>
      <c r="K1805" s="7">
        <v>-24.28</v>
      </c>
    </row>
    <row r="1806" spans="1:11" x14ac:dyDescent="0.3">
      <c r="A1806" s="2" t="s">
        <v>2370</v>
      </c>
      <c r="B1806" s="9" t="e">
        <f>MONTH(Table1[[#This Row],[Order Date]])</f>
        <v>#VALUE!</v>
      </c>
      <c r="C1806" s="9" t="e">
        <f>YEAR(Table1[[#This Row],[Order Date]])</f>
        <v>#VALUE!</v>
      </c>
      <c r="D1806" t="s">
        <v>1195</v>
      </c>
      <c r="E1806" t="s">
        <v>15</v>
      </c>
      <c r="F1806" t="s">
        <v>39</v>
      </c>
      <c r="G1806" t="s">
        <v>293</v>
      </c>
      <c r="H1806" t="s">
        <v>1366</v>
      </c>
      <c r="I1806" s="7">
        <v>600.53</v>
      </c>
      <c r="J1806" s="8">
        <v>2</v>
      </c>
      <c r="K1806" s="7">
        <v>137.26</v>
      </c>
    </row>
    <row r="1807" spans="1:11" x14ac:dyDescent="0.3">
      <c r="A1807" s="2" t="s">
        <v>1923</v>
      </c>
      <c r="B1807" s="9" t="e">
        <f>MONTH(Table1[[#This Row],[Order Date]])</f>
        <v>#VALUE!</v>
      </c>
      <c r="C1807" s="9" t="e">
        <f>YEAR(Table1[[#This Row],[Order Date]])</f>
        <v>#VALUE!</v>
      </c>
      <c r="D1807" t="s">
        <v>1813</v>
      </c>
      <c r="E1807" t="s">
        <v>120</v>
      </c>
      <c r="F1807" t="s">
        <v>11</v>
      </c>
      <c r="G1807" t="s">
        <v>18</v>
      </c>
      <c r="H1807" t="s">
        <v>1928</v>
      </c>
      <c r="I1807" s="7">
        <v>150.41</v>
      </c>
      <c r="J1807" s="8">
        <v>9</v>
      </c>
      <c r="K1807" s="7">
        <v>-33.840000000000003</v>
      </c>
    </row>
    <row r="1808" spans="1:11" x14ac:dyDescent="0.3">
      <c r="A1808" s="2" t="s">
        <v>2032</v>
      </c>
      <c r="B1808" s="9" t="e">
        <f>MONTH(Table1[[#This Row],[Order Date]])</f>
        <v>#VALUE!</v>
      </c>
      <c r="C1808" s="9" t="e">
        <f>YEAR(Table1[[#This Row],[Order Date]])</f>
        <v>#VALUE!</v>
      </c>
      <c r="D1808" t="s">
        <v>1312</v>
      </c>
      <c r="E1808" t="s">
        <v>27</v>
      </c>
      <c r="F1808" t="s">
        <v>39</v>
      </c>
      <c r="G1808" t="s">
        <v>293</v>
      </c>
      <c r="H1808" t="s">
        <v>2033</v>
      </c>
      <c r="I1808" s="7">
        <v>2973.32</v>
      </c>
      <c r="J1808" s="8">
        <v>7</v>
      </c>
      <c r="K1808" s="7">
        <v>334.5</v>
      </c>
    </row>
    <row r="1809" spans="1:11" x14ac:dyDescent="0.3">
      <c r="A1809" s="2" t="s">
        <v>1116</v>
      </c>
      <c r="B1809" s="9" t="e">
        <f>MONTH(Table1[[#This Row],[Order Date]])</f>
        <v>#VALUE!</v>
      </c>
      <c r="C1809" s="9" t="e">
        <f>YEAR(Table1[[#This Row],[Order Date]])</f>
        <v>#VALUE!</v>
      </c>
      <c r="D1809" t="s">
        <v>1119</v>
      </c>
      <c r="E1809" t="s">
        <v>120</v>
      </c>
      <c r="F1809" t="s">
        <v>11</v>
      </c>
      <c r="G1809" t="s">
        <v>194</v>
      </c>
      <c r="H1809" t="s">
        <v>1120</v>
      </c>
      <c r="I1809" s="7">
        <v>7.63</v>
      </c>
      <c r="J1809" s="8">
        <v>3</v>
      </c>
      <c r="K1809" s="7">
        <v>-1.81</v>
      </c>
    </row>
    <row r="1810" spans="1:11" x14ac:dyDescent="0.3">
      <c r="A1810" s="2" t="s">
        <v>2709</v>
      </c>
      <c r="B1810" s="9" t="e">
        <f>MONTH(Table1[[#This Row],[Order Date]])</f>
        <v>#VALUE!</v>
      </c>
      <c r="C1810" s="9" t="e">
        <f>YEAR(Table1[[#This Row],[Order Date]])</f>
        <v>#VALUE!</v>
      </c>
      <c r="D1810" t="s">
        <v>90</v>
      </c>
      <c r="E1810" t="s">
        <v>390</v>
      </c>
      <c r="F1810" t="s">
        <v>11</v>
      </c>
      <c r="G1810" t="s">
        <v>12</v>
      </c>
      <c r="H1810" t="s">
        <v>2466</v>
      </c>
      <c r="I1810" s="7">
        <v>27.18</v>
      </c>
      <c r="J1810" s="8">
        <v>3</v>
      </c>
      <c r="K1810" s="7">
        <v>12.23</v>
      </c>
    </row>
    <row r="1811" spans="1:11" x14ac:dyDescent="0.3">
      <c r="A1811" s="2" t="s">
        <v>2709</v>
      </c>
      <c r="B1811" s="9" t="e">
        <f>MONTH(Table1[[#This Row],[Order Date]])</f>
        <v>#VALUE!</v>
      </c>
      <c r="C1811" s="9" t="e">
        <f>YEAR(Table1[[#This Row],[Order Date]])</f>
        <v>#VALUE!</v>
      </c>
      <c r="D1811" t="s">
        <v>1587</v>
      </c>
      <c r="E1811" t="s">
        <v>30</v>
      </c>
      <c r="F1811" t="s">
        <v>11</v>
      </c>
      <c r="G1811" t="s">
        <v>24</v>
      </c>
      <c r="H1811" t="s">
        <v>2710</v>
      </c>
      <c r="I1811" s="7">
        <v>17.940000000000001</v>
      </c>
      <c r="J1811" s="8">
        <v>3</v>
      </c>
      <c r="K1811" s="7">
        <v>6.46</v>
      </c>
    </row>
    <row r="1812" spans="1:11" x14ac:dyDescent="0.3">
      <c r="A1812" s="2" t="s">
        <v>2591</v>
      </c>
      <c r="B1812" s="9" t="e">
        <f>MONTH(Table1[[#This Row],[Order Date]])</f>
        <v>#VALUE!</v>
      </c>
      <c r="C1812" s="9" t="e">
        <f>YEAR(Table1[[#This Row],[Order Date]])</f>
        <v>#VALUE!</v>
      </c>
      <c r="D1812" t="s">
        <v>1526</v>
      </c>
      <c r="E1812" t="s">
        <v>158</v>
      </c>
      <c r="F1812" t="s">
        <v>34</v>
      </c>
      <c r="G1812" t="s">
        <v>47</v>
      </c>
      <c r="H1812" t="s">
        <v>2592</v>
      </c>
      <c r="I1812" s="7">
        <v>101.94</v>
      </c>
      <c r="J1812" s="8">
        <v>3</v>
      </c>
      <c r="K1812" s="7">
        <v>30.58</v>
      </c>
    </row>
    <row r="1813" spans="1:11" x14ac:dyDescent="0.3">
      <c r="A1813" s="2" t="s">
        <v>1630</v>
      </c>
      <c r="B1813" s="9" t="e">
        <f>MONTH(Table1[[#This Row],[Order Date]])</f>
        <v>#VALUE!</v>
      </c>
      <c r="C1813" s="9" t="e">
        <f>YEAR(Table1[[#This Row],[Order Date]])</f>
        <v>#VALUE!</v>
      </c>
      <c r="D1813" t="s">
        <v>484</v>
      </c>
      <c r="E1813" t="s">
        <v>30</v>
      </c>
      <c r="F1813" t="s">
        <v>11</v>
      </c>
      <c r="G1813" t="s">
        <v>92</v>
      </c>
      <c r="H1813" t="s">
        <v>1632</v>
      </c>
      <c r="I1813" s="7">
        <v>675.12</v>
      </c>
      <c r="J1813" s="8">
        <v>3</v>
      </c>
      <c r="K1813" s="7">
        <v>290.3</v>
      </c>
    </row>
    <row r="1814" spans="1:11" x14ac:dyDescent="0.3">
      <c r="A1814" s="2" t="s">
        <v>2314</v>
      </c>
      <c r="B1814" s="9" t="e">
        <f>MONTH(Table1[[#This Row],[Order Date]])</f>
        <v>#VALUE!</v>
      </c>
      <c r="C1814" s="9" t="e">
        <f>YEAR(Table1[[#This Row],[Order Date]])</f>
        <v>#VALUE!</v>
      </c>
      <c r="D1814" t="s">
        <v>238</v>
      </c>
      <c r="E1814" t="s">
        <v>10</v>
      </c>
      <c r="F1814" t="s">
        <v>39</v>
      </c>
      <c r="G1814" t="s">
        <v>52</v>
      </c>
      <c r="H1814" t="s">
        <v>2315</v>
      </c>
      <c r="I1814" s="7">
        <v>27.17</v>
      </c>
      <c r="J1814" s="8">
        <v>4</v>
      </c>
      <c r="K1814" s="7">
        <v>-1.36</v>
      </c>
    </row>
    <row r="1815" spans="1:11" x14ac:dyDescent="0.3">
      <c r="A1815" s="2" t="s">
        <v>1853</v>
      </c>
      <c r="B1815" s="9" t="e">
        <f>MONTH(Table1[[#This Row],[Order Date]])</f>
        <v>#VALUE!</v>
      </c>
      <c r="C1815" s="9" t="e">
        <f>YEAR(Table1[[#This Row],[Order Date]])</f>
        <v>#VALUE!</v>
      </c>
      <c r="D1815" t="s">
        <v>783</v>
      </c>
      <c r="E1815" t="s">
        <v>500</v>
      </c>
      <c r="F1815" t="s">
        <v>11</v>
      </c>
      <c r="G1815" t="s">
        <v>16</v>
      </c>
      <c r="H1815" t="s">
        <v>1854</v>
      </c>
      <c r="I1815" s="7">
        <v>14.62</v>
      </c>
      <c r="J1815" s="8">
        <v>2</v>
      </c>
      <c r="K1815" s="7">
        <v>6.87</v>
      </c>
    </row>
    <row r="1816" spans="1:11" x14ac:dyDescent="0.3">
      <c r="A1816" s="2" t="s">
        <v>2398</v>
      </c>
      <c r="B1816" s="9" t="e">
        <f>MONTH(Table1[[#This Row],[Order Date]])</f>
        <v>#VALUE!</v>
      </c>
      <c r="C1816" s="9" t="e">
        <f>YEAR(Table1[[#This Row],[Order Date]])</f>
        <v>#VALUE!</v>
      </c>
      <c r="D1816" t="s">
        <v>1838</v>
      </c>
      <c r="E1816" t="s">
        <v>2278</v>
      </c>
      <c r="F1816" t="s">
        <v>11</v>
      </c>
      <c r="G1816" t="s">
        <v>24</v>
      </c>
      <c r="H1816" t="s">
        <v>2399</v>
      </c>
      <c r="I1816" s="7">
        <v>8.0399999999999991</v>
      </c>
      <c r="J1816" s="8">
        <v>6</v>
      </c>
      <c r="K1816" s="7">
        <v>2.73</v>
      </c>
    </row>
    <row r="1817" spans="1:11" x14ac:dyDescent="0.3">
      <c r="A1817" s="2" t="s">
        <v>2083</v>
      </c>
      <c r="B1817" s="9" t="e">
        <f>MONTH(Table1[[#This Row],[Order Date]])</f>
        <v>#VALUE!</v>
      </c>
      <c r="C1817" s="9" t="e">
        <f>YEAR(Table1[[#This Row],[Order Date]])</f>
        <v>#VALUE!</v>
      </c>
      <c r="D1817" t="s">
        <v>774</v>
      </c>
      <c r="E1817" t="s">
        <v>158</v>
      </c>
      <c r="F1817" t="s">
        <v>39</v>
      </c>
      <c r="G1817" t="s">
        <v>40</v>
      </c>
      <c r="H1817" t="s">
        <v>2084</v>
      </c>
      <c r="I1817" s="7">
        <v>201.57</v>
      </c>
      <c r="J1817" s="8">
        <v>4</v>
      </c>
      <c r="K1817" s="7">
        <v>22.68</v>
      </c>
    </row>
    <row r="1818" spans="1:11" x14ac:dyDescent="0.3">
      <c r="A1818" s="2" t="s">
        <v>2083</v>
      </c>
      <c r="B1818" s="9" t="e">
        <f>MONTH(Table1[[#This Row],[Order Date]])</f>
        <v>#VALUE!</v>
      </c>
      <c r="C1818" s="9" t="e">
        <f>YEAR(Table1[[#This Row],[Order Date]])</f>
        <v>#VALUE!</v>
      </c>
      <c r="D1818" t="s">
        <v>672</v>
      </c>
      <c r="E1818" t="s">
        <v>30</v>
      </c>
      <c r="F1818" t="s">
        <v>39</v>
      </c>
      <c r="G1818" t="s">
        <v>52</v>
      </c>
      <c r="H1818" t="s">
        <v>2086</v>
      </c>
      <c r="I1818" s="7">
        <v>75</v>
      </c>
      <c r="J1818" s="8">
        <v>3</v>
      </c>
      <c r="K1818" s="7">
        <v>18</v>
      </c>
    </row>
    <row r="1819" spans="1:11" x14ac:dyDescent="0.3">
      <c r="A1819" s="2" t="s">
        <v>2722</v>
      </c>
      <c r="B1819" s="9" t="e">
        <f>MONTH(Table1[[#This Row],[Order Date]])</f>
        <v>#VALUE!</v>
      </c>
      <c r="C1819" s="9" t="e">
        <f>YEAR(Table1[[#This Row],[Order Date]])</f>
        <v>#VALUE!</v>
      </c>
      <c r="D1819" t="s">
        <v>1615</v>
      </c>
      <c r="E1819" t="s">
        <v>144</v>
      </c>
      <c r="F1819" t="s">
        <v>11</v>
      </c>
      <c r="G1819" t="s">
        <v>12</v>
      </c>
      <c r="H1819" t="s">
        <v>2723</v>
      </c>
      <c r="I1819" s="7">
        <v>11.56</v>
      </c>
      <c r="J1819" s="8">
        <v>2</v>
      </c>
      <c r="K1819" s="7">
        <v>5.66</v>
      </c>
    </row>
    <row r="1820" spans="1:11" x14ac:dyDescent="0.3">
      <c r="A1820" s="2" t="s">
        <v>2631</v>
      </c>
      <c r="B1820" s="9" t="e">
        <f>MONTH(Table1[[#This Row],[Order Date]])</f>
        <v>#VALUE!</v>
      </c>
      <c r="C1820" s="9" t="e">
        <f>YEAR(Table1[[#This Row],[Order Date]])</f>
        <v>#VALUE!</v>
      </c>
      <c r="D1820" t="s">
        <v>1149</v>
      </c>
      <c r="E1820" t="s">
        <v>23</v>
      </c>
      <c r="F1820" t="s">
        <v>39</v>
      </c>
      <c r="G1820" t="s">
        <v>40</v>
      </c>
      <c r="H1820" t="s">
        <v>2632</v>
      </c>
      <c r="I1820" s="7">
        <v>1499.97</v>
      </c>
      <c r="J1820" s="8">
        <v>5</v>
      </c>
      <c r="K1820" s="7">
        <v>-374.99</v>
      </c>
    </row>
    <row r="1821" spans="1:11" x14ac:dyDescent="0.3">
      <c r="A1821" s="2" t="s">
        <v>2216</v>
      </c>
      <c r="B1821" s="9" t="e">
        <f>MONTH(Table1[[#This Row],[Order Date]])</f>
        <v>#VALUE!</v>
      </c>
      <c r="C1821" s="9" t="e">
        <f>YEAR(Table1[[#This Row],[Order Date]])</f>
        <v>#VALUE!</v>
      </c>
      <c r="D1821" t="s">
        <v>1628</v>
      </c>
      <c r="E1821" t="s">
        <v>819</v>
      </c>
      <c r="F1821" t="s">
        <v>39</v>
      </c>
      <c r="G1821" t="s">
        <v>40</v>
      </c>
      <c r="H1821" t="s">
        <v>2217</v>
      </c>
      <c r="I1821" s="7">
        <v>821.94</v>
      </c>
      <c r="J1821" s="8">
        <v>6</v>
      </c>
      <c r="K1821" s="7">
        <v>213.7</v>
      </c>
    </row>
    <row r="1822" spans="1:11" x14ac:dyDescent="0.3">
      <c r="A1822" s="2" t="s">
        <v>2711</v>
      </c>
      <c r="B1822" s="9" t="e">
        <f>MONTH(Table1[[#This Row],[Order Date]])</f>
        <v>#VALUE!</v>
      </c>
      <c r="C1822" s="9" t="e">
        <f>YEAR(Table1[[#This Row],[Order Date]])</f>
        <v>#VALUE!</v>
      </c>
      <c r="D1822" t="s">
        <v>1301</v>
      </c>
      <c r="E1822" t="s">
        <v>27</v>
      </c>
      <c r="F1822" t="s">
        <v>39</v>
      </c>
      <c r="G1822" t="s">
        <v>293</v>
      </c>
      <c r="H1822" t="s">
        <v>2712</v>
      </c>
      <c r="I1822" s="7">
        <v>506.28</v>
      </c>
      <c r="J1822" s="8">
        <v>3</v>
      </c>
      <c r="K1822" s="7">
        <v>177.2</v>
      </c>
    </row>
    <row r="1823" spans="1:11" x14ac:dyDescent="0.3">
      <c r="A1823" s="2" t="s">
        <v>2609</v>
      </c>
      <c r="B1823" s="9" t="e">
        <f>MONTH(Table1[[#This Row],[Order Date]])</f>
        <v>#VALUE!</v>
      </c>
      <c r="C1823" s="9" t="e">
        <f>YEAR(Table1[[#This Row],[Order Date]])</f>
        <v>#VALUE!</v>
      </c>
      <c r="D1823" t="s">
        <v>2611</v>
      </c>
      <c r="E1823" t="s">
        <v>10</v>
      </c>
      <c r="F1823" t="s">
        <v>11</v>
      </c>
      <c r="G1823" t="s">
        <v>24</v>
      </c>
      <c r="H1823" t="s">
        <v>864</v>
      </c>
      <c r="I1823" s="7">
        <v>14.04</v>
      </c>
      <c r="J1823" s="8">
        <v>3</v>
      </c>
      <c r="K1823" s="7">
        <v>1.58</v>
      </c>
    </row>
    <row r="1824" spans="1:11" x14ac:dyDescent="0.3">
      <c r="A1824" s="2" t="s">
        <v>2497</v>
      </c>
      <c r="B1824" s="9" t="e">
        <f>MONTH(Table1[[#This Row],[Order Date]])</f>
        <v>#VALUE!</v>
      </c>
      <c r="C1824" s="9" t="e">
        <f>YEAR(Table1[[#This Row],[Order Date]])</f>
        <v>#VALUE!</v>
      </c>
      <c r="D1824" t="s">
        <v>2011</v>
      </c>
      <c r="E1824" t="s">
        <v>30</v>
      </c>
      <c r="F1824" t="s">
        <v>34</v>
      </c>
      <c r="G1824" t="s">
        <v>47</v>
      </c>
      <c r="H1824" t="s">
        <v>2498</v>
      </c>
      <c r="I1824" s="7">
        <v>24.96</v>
      </c>
      <c r="J1824" s="8">
        <v>4</v>
      </c>
      <c r="K1824" s="7">
        <v>6.24</v>
      </c>
    </row>
    <row r="1825" spans="1:11" x14ac:dyDescent="0.3">
      <c r="A1825" s="2" t="s">
        <v>2523</v>
      </c>
      <c r="B1825" s="9" t="e">
        <f>MONTH(Table1[[#This Row],[Order Date]])</f>
        <v>#VALUE!</v>
      </c>
      <c r="C1825" s="9" t="e">
        <f>YEAR(Table1[[#This Row],[Order Date]])</f>
        <v>#VALUE!</v>
      </c>
      <c r="D1825" t="s">
        <v>1235</v>
      </c>
      <c r="E1825" t="s">
        <v>10</v>
      </c>
      <c r="F1825" t="s">
        <v>34</v>
      </c>
      <c r="G1825" t="s">
        <v>47</v>
      </c>
      <c r="H1825" t="s">
        <v>2524</v>
      </c>
      <c r="I1825" s="7">
        <v>32.71</v>
      </c>
      <c r="J1825" s="8">
        <v>2</v>
      </c>
      <c r="K1825" s="7">
        <v>-26.17</v>
      </c>
    </row>
    <row r="1826" spans="1:11" x14ac:dyDescent="0.3">
      <c r="A1826" s="2" t="s">
        <v>2613</v>
      </c>
      <c r="B1826" s="9" t="e">
        <f>MONTH(Table1[[#This Row],[Order Date]])</f>
        <v>#VALUE!</v>
      </c>
      <c r="C1826" s="9" t="e">
        <f>YEAR(Table1[[#This Row],[Order Date]])</f>
        <v>#VALUE!</v>
      </c>
      <c r="D1826" t="s">
        <v>1423</v>
      </c>
      <c r="E1826" t="s">
        <v>171</v>
      </c>
      <c r="F1826" t="s">
        <v>39</v>
      </c>
      <c r="G1826" t="s">
        <v>293</v>
      </c>
      <c r="H1826" t="s">
        <v>2614</v>
      </c>
      <c r="I1826" s="7">
        <v>319.92</v>
      </c>
      <c r="J1826" s="8">
        <v>8</v>
      </c>
      <c r="K1826" s="7">
        <v>118.37</v>
      </c>
    </row>
    <row r="1827" spans="1:11" x14ac:dyDescent="0.3">
      <c r="A1827" s="2" t="s">
        <v>2613</v>
      </c>
      <c r="B1827" s="9" t="e">
        <f>MONTH(Table1[[#This Row],[Order Date]])</f>
        <v>#VALUE!</v>
      </c>
      <c r="C1827" s="9" t="e">
        <f>YEAR(Table1[[#This Row],[Order Date]])</f>
        <v>#VALUE!</v>
      </c>
      <c r="D1827" t="s">
        <v>383</v>
      </c>
      <c r="E1827" t="s">
        <v>78</v>
      </c>
      <c r="F1827" t="s">
        <v>39</v>
      </c>
      <c r="G1827" t="s">
        <v>52</v>
      </c>
      <c r="H1827" t="s">
        <v>2615</v>
      </c>
      <c r="I1827" s="7">
        <v>59.98</v>
      </c>
      <c r="J1827" s="8">
        <v>3</v>
      </c>
      <c r="K1827" s="7">
        <v>12</v>
      </c>
    </row>
    <row r="1828" spans="1:11" x14ac:dyDescent="0.3">
      <c r="A1828" s="2" t="s">
        <v>377</v>
      </c>
      <c r="B1828" s="9" t="e">
        <f>MONTH(Table1[[#This Row],[Order Date]])</f>
        <v>#VALUE!</v>
      </c>
      <c r="C1828" s="9" t="e">
        <f>YEAR(Table1[[#This Row],[Order Date]])</f>
        <v>#VALUE!</v>
      </c>
      <c r="D1828" t="s">
        <v>380</v>
      </c>
      <c r="E1828" t="s">
        <v>27</v>
      </c>
      <c r="F1828" t="s">
        <v>11</v>
      </c>
      <c r="G1828" t="s">
        <v>24</v>
      </c>
      <c r="H1828" t="s">
        <v>381</v>
      </c>
      <c r="I1828" s="7">
        <v>3.36</v>
      </c>
      <c r="J1828" s="8">
        <v>2</v>
      </c>
      <c r="K1828" s="7">
        <v>0.84</v>
      </c>
    </row>
    <row r="1829" spans="1:11" x14ac:dyDescent="0.3">
      <c r="A1829" s="2" t="s">
        <v>2525</v>
      </c>
      <c r="B1829" s="9" t="e">
        <f>MONTH(Table1[[#This Row],[Order Date]])</f>
        <v>#VALUE!</v>
      </c>
      <c r="C1829" s="9" t="e">
        <f>YEAR(Table1[[#This Row],[Order Date]])</f>
        <v>#VALUE!</v>
      </c>
      <c r="D1829" t="s">
        <v>979</v>
      </c>
      <c r="E1829" t="s">
        <v>10</v>
      </c>
      <c r="F1829" t="s">
        <v>39</v>
      </c>
      <c r="G1829" t="s">
        <v>52</v>
      </c>
      <c r="H1829" t="s">
        <v>2526</v>
      </c>
      <c r="I1829" s="7">
        <v>13.62</v>
      </c>
      <c r="J1829" s="8">
        <v>2</v>
      </c>
      <c r="K1829" s="7">
        <v>3.57</v>
      </c>
    </row>
    <row r="1830" spans="1:11" x14ac:dyDescent="0.3">
      <c r="A1830" s="2" t="s">
        <v>992</v>
      </c>
      <c r="B1830" s="9" t="e">
        <f>MONTH(Table1[[#This Row],[Order Date]])</f>
        <v>#VALUE!</v>
      </c>
      <c r="C1830" s="9" t="e">
        <f>YEAR(Table1[[#This Row],[Order Date]])</f>
        <v>#VALUE!</v>
      </c>
      <c r="D1830" t="s">
        <v>395</v>
      </c>
      <c r="E1830" t="s">
        <v>123</v>
      </c>
      <c r="F1830" t="s">
        <v>39</v>
      </c>
      <c r="G1830" t="s">
        <v>52</v>
      </c>
      <c r="H1830" t="s">
        <v>997</v>
      </c>
      <c r="I1830" s="7">
        <v>170.97</v>
      </c>
      <c r="J1830" s="8">
        <v>3</v>
      </c>
      <c r="K1830" s="7">
        <v>70.099999999999994</v>
      </c>
    </row>
    <row r="1831" spans="1:11" x14ac:dyDescent="0.3">
      <c r="A1831" s="2" t="s">
        <v>2616</v>
      </c>
      <c r="B1831" s="9" t="e">
        <f>MONTH(Table1[[#This Row],[Order Date]])</f>
        <v>#VALUE!</v>
      </c>
      <c r="C1831" s="9" t="e">
        <f>YEAR(Table1[[#This Row],[Order Date]])</f>
        <v>#VALUE!</v>
      </c>
      <c r="D1831" t="s">
        <v>729</v>
      </c>
      <c r="E1831" t="s">
        <v>474</v>
      </c>
      <c r="F1831" t="s">
        <v>39</v>
      </c>
      <c r="G1831" t="s">
        <v>293</v>
      </c>
      <c r="H1831" t="s">
        <v>2617</v>
      </c>
      <c r="I1831" s="7">
        <v>3040</v>
      </c>
      <c r="J1831" s="8">
        <v>8</v>
      </c>
      <c r="K1831" s="7">
        <v>1459.2</v>
      </c>
    </row>
    <row r="1832" spans="1:11" x14ac:dyDescent="0.3">
      <c r="A1832" s="2" t="s">
        <v>2376</v>
      </c>
      <c r="B1832" s="9" t="e">
        <f>MONTH(Table1[[#This Row],[Order Date]])</f>
        <v>#VALUE!</v>
      </c>
      <c r="C1832" s="9" t="e">
        <f>YEAR(Table1[[#This Row],[Order Date]])</f>
        <v>#VALUE!</v>
      </c>
      <c r="D1832" t="s">
        <v>2161</v>
      </c>
      <c r="E1832" t="s">
        <v>10</v>
      </c>
      <c r="F1832" t="s">
        <v>34</v>
      </c>
      <c r="G1832" t="s">
        <v>35</v>
      </c>
      <c r="H1832" t="s">
        <v>2377</v>
      </c>
      <c r="I1832" s="7">
        <v>275.06</v>
      </c>
      <c r="J1832" s="8">
        <v>3</v>
      </c>
      <c r="K1832" s="7">
        <v>-90.38</v>
      </c>
    </row>
    <row r="1833" spans="1:11" x14ac:dyDescent="0.3">
      <c r="A1833" s="2" t="s">
        <v>1997</v>
      </c>
      <c r="B1833" s="9" t="e">
        <f>MONTH(Table1[[#This Row],[Order Date]])</f>
        <v>#VALUE!</v>
      </c>
      <c r="C1833" s="9" t="e">
        <f>YEAR(Table1[[#This Row],[Order Date]])</f>
        <v>#VALUE!</v>
      </c>
      <c r="D1833" t="s">
        <v>694</v>
      </c>
      <c r="E1833" t="s">
        <v>1998</v>
      </c>
      <c r="F1833" t="s">
        <v>39</v>
      </c>
      <c r="G1833" t="s">
        <v>293</v>
      </c>
      <c r="H1833" t="s">
        <v>2000</v>
      </c>
      <c r="I1833" s="7">
        <v>1379.92</v>
      </c>
      <c r="J1833" s="8">
        <v>8</v>
      </c>
      <c r="K1833" s="7">
        <v>648.55999999999995</v>
      </c>
    </row>
    <row r="1834" spans="1:11" x14ac:dyDescent="0.3">
      <c r="A1834" s="2" t="s">
        <v>710</v>
      </c>
      <c r="B1834" s="9" t="e">
        <f>MONTH(Table1[[#This Row],[Order Date]])</f>
        <v>#VALUE!</v>
      </c>
      <c r="C1834" s="9" t="e">
        <f>YEAR(Table1[[#This Row],[Order Date]])</f>
        <v>#VALUE!</v>
      </c>
      <c r="D1834" t="s">
        <v>554</v>
      </c>
      <c r="E1834" t="s">
        <v>27</v>
      </c>
      <c r="F1834" t="s">
        <v>39</v>
      </c>
      <c r="G1834" t="s">
        <v>40</v>
      </c>
      <c r="H1834" t="s">
        <v>713</v>
      </c>
      <c r="I1834" s="7">
        <v>1113.5</v>
      </c>
      <c r="J1834" s="8">
        <v>12</v>
      </c>
      <c r="K1834" s="7">
        <v>125.27</v>
      </c>
    </row>
    <row r="1835" spans="1:11" x14ac:dyDescent="0.3">
      <c r="A1835" s="2" t="s">
        <v>710</v>
      </c>
      <c r="B1835" s="9" t="e">
        <f>MONTH(Table1[[#This Row],[Order Date]])</f>
        <v>#VALUE!</v>
      </c>
      <c r="C1835" s="9" t="e">
        <f>YEAR(Table1[[#This Row],[Order Date]])</f>
        <v>#VALUE!</v>
      </c>
      <c r="D1835" t="s">
        <v>715</v>
      </c>
      <c r="E1835" t="s">
        <v>15</v>
      </c>
      <c r="F1835" t="s">
        <v>11</v>
      </c>
      <c r="G1835" t="s">
        <v>20</v>
      </c>
      <c r="H1835" t="s">
        <v>716</v>
      </c>
      <c r="I1835" s="7">
        <v>17.46</v>
      </c>
      <c r="J1835" s="8">
        <v>6</v>
      </c>
      <c r="K1835" s="7">
        <v>-30.56</v>
      </c>
    </row>
    <row r="1836" spans="1:11" x14ac:dyDescent="0.3">
      <c r="A1836" s="2" t="s">
        <v>2670</v>
      </c>
      <c r="B1836" s="9" t="e">
        <f>MONTH(Table1[[#This Row],[Order Date]])</f>
        <v>#VALUE!</v>
      </c>
      <c r="C1836" s="9" t="e">
        <f>YEAR(Table1[[#This Row],[Order Date]])</f>
        <v>#VALUE!</v>
      </c>
      <c r="D1836" t="s">
        <v>1918</v>
      </c>
      <c r="E1836" t="s">
        <v>237</v>
      </c>
      <c r="F1836" t="s">
        <v>39</v>
      </c>
      <c r="G1836" t="s">
        <v>52</v>
      </c>
      <c r="H1836" t="s">
        <v>2671</v>
      </c>
      <c r="I1836" s="7">
        <v>27.19</v>
      </c>
      <c r="J1836" s="8">
        <v>3</v>
      </c>
      <c r="K1836" s="7">
        <v>0.34</v>
      </c>
    </row>
    <row r="1837" spans="1:11" x14ac:dyDescent="0.3">
      <c r="A1837" s="2" t="s">
        <v>1154</v>
      </c>
      <c r="B1837" s="9" t="e">
        <f>MONTH(Table1[[#This Row],[Order Date]])</f>
        <v>#VALUE!</v>
      </c>
      <c r="C1837" s="9" t="e">
        <f>YEAR(Table1[[#This Row],[Order Date]])</f>
        <v>#VALUE!</v>
      </c>
      <c r="D1837" t="s">
        <v>1155</v>
      </c>
      <c r="E1837" t="s">
        <v>27</v>
      </c>
      <c r="F1837" t="s">
        <v>39</v>
      </c>
      <c r="G1837" t="s">
        <v>40</v>
      </c>
      <c r="H1837" t="s">
        <v>1156</v>
      </c>
      <c r="I1837" s="7">
        <v>213.48</v>
      </c>
      <c r="J1837" s="8">
        <v>3</v>
      </c>
      <c r="K1837" s="7">
        <v>16.010000000000002</v>
      </c>
    </row>
    <row r="1838" spans="1:11" x14ac:dyDescent="0.3">
      <c r="A1838" s="2" t="s">
        <v>2558</v>
      </c>
      <c r="B1838" s="9" t="e">
        <f>MONTH(Table1[[#This Row],[Order Date]])</f>
        <v>#VALUE!</v>
      </c>
      <c r="C1838" s="9" t="e">
        <f>YEAR(Table1[[#This Row],[Order Date]])</f>
        <v>#VALUE!</v>
      </c>
      <c r="D1838" t="s">
        <v>1695</v>
      </c>
      <c r="E1838" t="s">
        <v>120</v>
      </c>
      <c r="F1838" t="s">
        <v>11</v>
      </c>
      <c r="G1838" t="s">
        <v>16</v>
      </c>
      <c r="H1838" t="s">
        <v>2559</v>
      </c>
      <c r="I1838" s="7">
        <v>9.2200000000000006</v>
      </c>
      <c r="J1838" s="8">
        <v>4</v>
      </c>
      <c r="K1838" s="7">
        <v>3.34</v>
      </c>
    </row>
    <row r="1839" spans="1:11" x14ac:dyDescent="0.3">
      <c r="A1839" s="2" t="s">
        <v>1801</v>
      </c>
      <c r="B1839" s="9" t="e">
        <f>MONTH(Table1[[#This Row],[Order Date]])</f>
        <v>#VALUE!</v>
      </c>
      <c r="C1839" s="9" t="e">
        <f>YEAR(Table1[[#This Row],[Order Date]])</f>
        <v>#VALUE!</v>
      </c>
      <c r="D1839" t="s">
        <v>1540</v>
      </c>
      <c r="E1839" t="s">
        <v>474</v>
      </c>
      <c r="F1839" t="s">
        <v>11</v>
      </c>
      <c r="G1839" t="s">
        <v>12</v>
      </c>
      <c r="H1839" t="s">
        <v>1805</v>
      </c>
      <c r="I1839" s="7">
        <v>23.92</v>
      </c>
      <c r="J1839" s="8">
        <v>4</v>
      </c>
      <c r="K1839" s="7">
        <v>11.72</v>
      </c>
    </row>
    <row r="1840" spans="1:11" x14ac:dyDescent="0.3">
      <c r="A1840" s="2" t="s">
        <v>2378</v>
      </c>
      <c r="B1840" s="9" t="e">
        <f>MONTH(Table1[[#This Row],[Order Date]])</f>
        <v>#VALUE!</v>
      </c>
      <c r="C1840" s="9" t="e">
        <f>YEAR(Table1[[#This Row],[Order Date]])</f>
        <v>#VALUE!</v>
      </c>
      <c r="D1840" t="s">
        <v>615</v>
      </c>
      <c r="E1840" t="s">
        <v>10</v>
      </c>
      <c r="F1840" t="s">
        <v>11</v>
      </c>
      <c r="G1840" t="s">
        <v>63</v>
      </c>
      <c r="H1840" t="s">
        <v>2379</v>
      </c>
      <c r="I1840" s="7">
        <v>113.33</v>
      </c>
      <c r="J1840" s="8">
        <v>9</v>
      </c>
      <c r="K1840" s="7">
        <v>35.42</v>
      </c>
    </row>
    <row r="1841" spans="1:11" x14ac:dyDescent="0.3">
      <c r="A1841" s="2" t="s">
        <v>1162</v>
      </c>
      <c r="B1841" s="9" t="e">
        <f>MONTH(Table1[[#This Row],[Order Date]])</f>
        <v>#VALUE!</v>
      </c>
      <c r="C1841" s="9" t="e">
        <f>YEAR(Table1[[#This Row],[Order Date]])</f>
        <v>#VALUE!</v>
      </c>
      <c r="D1841" t="s">
        <v>1165</v>
      </c>
      <c r="E1841" t="s">
        <v>120</v>
      </c>
      <c r="F1841" t="s">
        <v>11</v>
      </c>
      <c r="G1841" t="s">
        <v>63</v>
      </c>
      <c r="H1841" t="s">
        <v>1166</v>
      </c>
      <c r="I1841" s="7">
        <v>29.81</v>
      </c>
      <c r="J1841" s="8">
        <v>2</v>
      </c>
      <c r="K1841" s="7">
        <v>10.81</v>
      </c>
    </row>
    <row r="1842" spans="1:11" x14ac:dyDescent="0.3">
      <c r="A1842" s="2" t="s">
        <v>2713</v>
      </c>
      <c r="B1842" s="9" t="e">
        <f>MONTH(Table1[[#This Row],[Order Date]])</f>
        <v>#VALUE!</v>
      </c>
      <c r="C1842" s="9" t="e">
        <f>YEAR(Table1[[#This Row],[Order Date]])</f>
        <v>#VALUE!</v>
      </c>
      <c r="D1842" t="s">
        <v>1020</v>
      </c>
      <c r="E1842" t="s">
        <v>10</v>
      </c>
      <c r="F1842" t="s">
        <v>39</v>
      </c>
      <c r="G1842" t="s">
        <v>293</v>
      </c>
      <c r="H1842" t="s">
        <v>2714</v>
      </c>
      <c r="I1842" s="7">
        <v>336.51</v>
      </c>
      <c r="J1842" s="8">
        <v>3</v>
      </c>
      <c r="K1842" s="7">
        <v>44.87</v>
      </c>
    </row>
    <row r="1843" spans="1:11" x14ac:dyDescent="0.3">
      <c r="A1843" s="2" t="s">
        <v>2741</v>
      </c>
      <c r="B1843" s="9" t="e">
        <f>MONTH(Table1[[#This Row],[Order Date]])</f>
        <v>#VALUE!</v>
      </c>
      <c r="C1843" s="9" t="e">
        <f>YEAR(Table1[[#This Row],[Order Date]])</f>
        <v>#VALUE!</v>
      </c>
      <c r="D1843" t="s">
        <v>662</v>
      </c>
      <c r="E1843" t="s">
        <v>158</v>
      </c>
      <c r="F1843" t="s">
        <v>11</v>
      </c>
      <c r="G1843" t="s">
        <v>43</v>
      </c>
      <c r="H1843" t="s">
        <v>2742</v>
      </c>
      <c r="I1843" s="7">
        <v>19.600000000000001</v>
      </c>
      <c r="J1843" s="8">
        <v>5</v>
      </c>
      <c r="K1843" s="7">
        <v>9.6</v>
      </c>
    </row>
    <row r="1844" spans="1:11" x14ac:dyDescent="0.3">
      <c r="A1844" s="2" t="s">
        <v>2402</v>
      </c>
      <c r="B1844" s="9" t="e">
        <f>MONTH(Table1[[#This Row],[Order Date]])</f>
        <v>#VALUE!</v>
      </c>
      <c r="C1844" s="9" t="e">
        <f>YEAR(Table1[[#This Row],[Order Date]])</f>
        <v>#VALUE!</v>
      </c>
      <c r="D1844" t="s">
        <v>1398</v>
      </c>
      <c r="E1844" t="s">
        <v>15</v>
      </c>
      <c r="F1844" t="s">
        <v>39</v>
      </c>
      <c r="G1844" t="s">
        <v>40</v>
      </c>
      <c r="H1844" t="s">
        <v>2405</v>
      </c>
      <c r="I1844" s="7">
        <v>1439.97</v>
      </c>
      <c r="J1844" s="8">
        <v>4</v>
      </c>
      <c r="K1844" s="7">
        <v>144</v>
      </c>
    </row>
    <row r="1845" spans="1:11" x14ac:dyDescent="0.3">
      <c r="A1845" s="2" t="s">
        <v>2653</v>
      </c>
      <c r="B1845" s="9" t="e">
        <f>MONTH(Table1[[#This Row],[Order Date]])</f>
        <v>#VALUE!</v>
      </c>
      <c r="C1845" s="9" t="e">
        <f>YEAR(Table1[[#This Row],[Order Date]])</f>
        <v>#VALUE!</v>
      </c>
      <c r="D1845" t="s">
        <v>2654</v>
      </c>
      <c r="E1845" t="s">
        <v>819</v>
      </c>
      <c r="F1845" t="s">
        <v>11</v>
      </c>
      <c r="G1845" t="s">
        <v>63</v>
      </c>
      <c r="H1845" t="s">
        <v>2655</v>
      </c>
      <c r="I1845" s="7">
        <v>325.86</v>
      </c>
      <c r="J1845" s="8">
        <v>2</v>
      </c>
      <c r="K1845" s="7">
        <v>149.9</v>
      </c>
    </row>
    <row r="1846" spans="1:11" x14ac:dyDescent="0.3">
      <c r="A1846" s="2" t="s">
        <v>2660</v>
      </c>
      <c r="B1846" s="9" t="e">
        <f>MONTH(Table1[[#This Row],[Order Date]])</f>
        <v>#VALUE!</v>
      </c>
      <c r="C1846" s="9" t="e">
        <f>YEAR(Table1[[#This Row],[Order Date]])</f>
        <v>#VALUE!</v>
      </c>
      <c r="D1846" t="s">
        <v>2184</v>
      </c>
      <c r="E1846" t="s">
        <v>600</v>
      </c>
      <c r="F1846" t="s">
        <v>11</v>
      </c>
      <c r="G1846" t="s">
        <v>16</v>
      </c>
      <c r="H1846" t="s">
        <v>2661</v>
      </c>
      <c r="I1846" s="7">
        <v>5.76</v>
      </c>
      <c r="J1846" s="8">
        <v>2</v>
      </c>
      <c r="K1846" s="7">
        <v>2.82</v>
      </c>
    </row>
    <row r="1847" spans="1:11" x14ac:dyDescent="0.3">
      <c r="A1847" s="2" t="s">
        <v>2043</v>
      </c>
      <c r="B1847" s="9" t="e">
        <f>MONTH(Table1[[#This Row],[Order Date]])</f>
        <v>#VALUE!</v>
      </c>
      <c r="C1847" s="9" t="e">
        <f>YEAR(Table1[[#This Row],[Order Date]])</f>
        <v>#VALUE!</v>
      </c>
      <c r="D1847" t="s">
        <v>2044</v>
      </c>
      <c r="E1847" t="s">
        <v>144</v>
      </c>
      <c r="F1847" t="s">
        <v>39</v>
      </c>
      <c r="G1847" t="s">
        <v>40</v>
      </c>
      <c r="H1847" t="s">
        <v>2045</v>
      </c>
      <c r="I1847" s="7">
        <v>239.97</v>
      </c>
      <c r="J1847" s="8">
        <v>3</v>
      </c>
      <c r="K1847" s="7">
        <v>2.4</v>
      </c>
    </row>
    <row r="1848" spans="1:11" x14ac:dyDescent="0.3">
      <c r="A1848" s="2" t="s">
        <v>2258</v>
      </c>
      <c r="B1848" s="9" t="e">
        <f>MONTH(Table1[[#This Row],[Order Date]])</f>
        <v>#VALUE!</v>
      </c>
      <c r="C1848" s="9" t="e">
        <f>YEAR(Table1[[#This Row],[Order Date]])</f>
        <v>#VALUE!</v>
      </c>
      <c r="D1848" t="s">
        <v>1301</v>
      </c>
      <c r="E1848" t="s">
        <v>269</v>
      </c>
      <c r="F1848" t="s">
        <v>39</v>
      </c>
      <c r="G1848" t="s">
        <v>293</v>
      </c>
      <c r="H1848" t="s">
        <v>2171</v>
      </c>
      <c r="I1848" s="7">
        <v>59.99</v>
      </c>
      <c r="J1848" s="8">
        <v>2</v>
      </c>
      <c r="K1848" s="7">
        <v>-46</v>
      </c>
    </row>
    <row r="1849" spans="1:11" x14ac:dyDescent="0.3">
      <c r="A1849" s="2" t="s">
        <v>2258</v>
      </c>
      <c r="B1849" s="9" t="e">
        <f>MONTH(Table1[[#This Row],[Order Date]])</f>
        <v>#VALUE!</v>
      </c>
      <c r="C1849" s="9" t="e">
        <f>YEAR(Table1[[#This Row],[Order Date]])</f>
        <v>#VALUE!</v>
      </c>
      <c r="D1849" t="s">
        <v>196</v>
      </c>
      <c r="E1849" t="s">
        <v>144</v>
      </c>
      <c r="F1849" t="s">
        <v>39</v>
      </c>
      <c r="G1849" t="s">
        <v>293</v>
      </c>
      <c r="H1849" t="s">
        <v>2260</v>
      </c>
      <c r="I1849" s="7">
        <v>1035.8</v>
      </c>
      <c r="J1849" s="8">
        <v>4</v>
      </c>
      <c r="K1849" s="7">
        <v>269.31</v>
      </c>
    </row>
    <row r="1850" spans="1:11" x14ac:dyDescent="0.3">
      <c r="A1850" s="2" t="s">
        <v>1677</v>
      </c>
      <c r="B1850" s="9" t="e">
        <f>MONTH(Table1[[#This Row],[Order Date]])</f>
        <v>#VALUE!</v>
      </c>
      <c r="C1850" s="9" t="e">
        <f>YEAR(Table1[[#This Row],[Order Date]])</f>
        <v>#VALUE!</v>
      </c>
      <c r="D1850" t="s">
        <v>1580</v>
      </c>
      <c r="E1850" t="s">
        <v>144</v>
      </c>
      <c r="F1850" t="s">
        <v>11</v>
      </c>
      <c r="G1850" t="s">
        <v>63</v>
      </c>
      <c r="H1850" t="s">
        <v>1678</v>
      </c>
      <c r="I1850" s="7">
        <v>62.28</v>
      </c>
      <c r="J1850" s="8">
        <v>4</v>
      </c>
      <c r="K1850" s="7">
        <v>29.27</v>
      </c>
    </row>
    <row r="1851" spans="1:11" x14ac:dyDescent="0.3">
      <c r="A1851" s="2" t="s">
        <v>2734</v>
      </c>
      <c r="B1851" s="9" t="e">
        <f>MONTH(Table1[[#This Row],[Order Date]])</f>
        <v>#VALUE!</v>
      </c>
      <c r="C1851" s="9" t="e">
        <f>YEAR(Table1[[#This Row],[Order Date]])</f>
        <v>#VALUE!</v>
      </c>
      <c r="D1851" t="s">
        <v>2101</v>
      </c>
      <c r="E1851" t="s">
        <v>144</v>
      </c>
      <c r="F1851" t="s">
        <v>39</v>
      </c>
      <c r="G1851" t="s">
        <v>40</v>
      </c>
      <c r="H1851" t="s">
        <v>2735</v>
      </c>
      <c r="I1851" s="7">
        <v>546.05999999999995</v>
      </c>
      <c r="J1851" s="8">
        <v>3</v>
      </c>
      <c r="K1851" s="7">
        <v>163.82</v>
      </c>
    </row>
    <row r="1852" spans="1:11" x14ac:dyDescent="0.3">
      <c r="A1852"/>
      <c r="B1852"/>
      <c r="C1852"/>
      <c r="I1852"/>
      <c r="J1852"/>
      <c r="K1852"/>
    </row>
    <row r="1853" spans="1:11" x14ac:dyDescent="0.3">
      <c r="A1853"/>
      <c r="B1853"/>
      <c r="C1853"/>
      <c r="I1853"/>
      <c r="J1853"/>
      <c r="K1853"/>
    </row>
    <row r="1854" spans="1:11" x14ac:dyDescent="0.3">
      <c r="A1854"/>
      <c r="B1854"/>
      <c r="C1854"/>
      <c r="I1854"/>
      <c r="J1854"/>
      <c r="K1854"/>
    </row>
    <row r="1855" spans="1:11" x14ac:dyDescent="0.3">
      <c r="A1855"/>
      <c r="B1855"/>
      <c r="C1855"/>
      <c r="I1855"/>
      <c r="J1855"/>
      <c r="K1855"/>
    </row>
    <row r="1856" spans="1:11" x14ac:dyDescent="0.3">
      <c r="A1856"/>
      <c r="B1856"/>
      <c r="C1856"/>
      <c r="I1856"/>
      <c r="J1856"/>
      <c r="K1856"/>
    </row>
    <row r="1857" customFormat="1" x14ac:dyDescent="0.3"/>
    <row r="1858" customFormat="1" x14ac:dyDescent="0.3"/>
    <row r="1859" customFormat="1" x14ac:dyDescent="0.3"/>
    <row r="1860" customFormat="1" x14ac:dyDescent="0.3"/>
    <row r="1861" customFormat="1" x14ac:dyDescent="0.3"/>
    <row r="1862" customFormat="1" x14ac:dyDescent="0.3"/>
    <row r="1863" customFormat="1" x14ac:dyDescent="0.3"/>
    <row r="1864" customFormat="1" x14ac:dyDescent="0.3"/>
    <row r="1865" customFormat="1" x14ac:dyDescent="0.3"/>
    <row r="1866" customFormat="1" x14ac:dyDescent="0.3"/>
    <row r="1867" customFormat="1" x14ac:dyDescent="0.3"/>
    <row r="1868" customFormat="1" x14ac:dyDescent="0.3"/>
    <row r="1869" customFormat="1" x14ac:dyDescent="0.3"/>
    <row r="1870" customFormat="1" x14ac:dyDescent="0.3"/>
    <row r="1871" customFormat="1" x14ac:dyDescent="0.3"/>
    <row r="1872" customFormat="1" x14ac:dyDescent="0.3"/>
    <row r="1873" customFormat="1" x14ac:dyDescent="0.3"/>
    <row r="1874" customFormat="1" x14ac:dyDescent="0.3"/>
    <row r="1875" customFormat="1" x14ac:dyDescent="0.3"/>
    <row r="1876" customFormat="1" x14ac:dyDescent="0.3"/>
    <row r="1877" customFormat="1" x14ac:dyDescent="0.3"/>
    <row r="1878" customFormat="1" x14ac:dyDescent="0.3"/>
    <row r="1879" customFormat="1" x14ac:dyDescent="0.3"/>
    <row r="1880" customFormat="1" x14ac:dyDescent="0.3"/>
    <row r="1881" customFormat="1" x14ac:dyDescent="0.3"/>
    <row r="1882" customFormat="1" x14ac:dyDescent="0.3"/>
    <row r="1883" customFormat="1" x14ac:dyDescent="0.3"/>
    <row r="1884" customFormat="1" x14ac:dyDescent="0.3"/>
    <row r="1885" customFormat="1" x14ac:dyDescent="0.3"/>
    <row r="1886" customFormat="1" x14ac:dyDescent="0.3"/>
    <row r="1887" customFormat="1" x14ac:dyDescent="0.3"/>
    <row r="1888" customFormat="1" x14ac:dyDescent="0.3"/>
    <row r="1889" customFormat="1" x14ac:dyDescent="0.3"/>
    <row r="1890" customFormat="1" x14ac:dyDescent="0.3"/>
    <row r="1891" customFormat="1" x14ac:dyDescent="0.3"/>
    <row r="1892" customFormat="1" x14ac:dyDescent="0.3"/>
    <row r="1893" customFormat="1" x14ac:dyDescent="0.3"/>
    <row r="1894" customFormat="1" x14ac:dyDescent="0.3"/>
    <row r="1895" customFormat="1" x14ac:dyDescent="0.3"/>
    <row r="1896" customFormat="1" x14ac:dyDescent="0.3"/>
    <row r="1897" customFormat="1" x14ac:dyDescent="0.3"/>
    <row r="1898" customFormat="1" x14ac:dyDescent="0.3"/>
    <row r="1899" customFormat="1" x14ac:dyDescent="0.3"/>
    <row r="1900" customFormat="1" x14ac:dyDescent="0.3"/>
    <row r="1901" customFormat="1" x14ac:dyDescent="0.3"/>
    <row r="1902" customFormat="1" x14ac:dyDescent="0.3"/>
    <row r="1903" customFormat="1" x14ac:dyDescent="0.3"/>
    <row r="1904" customFormat="1" x14ac:dyDescent="0.3"/>
    <row r="1905" customFormat="1" x14ac:dyDescent="0.3"/>
    <row r="1906" customFormat="1" x14ac:dyDescent="0.3"/>
    <row r="1907" customFormat="1" x14ac:dyDescent="0.3"/>
    <row r="1908" customFormat="1" x14ac:dyDescent="0.3"/>
    <row r="1909" customFormat="1" x14ac:dyDescent="0.3"/>
    <row r="1910" customFormat="1" x14ac:dyDescent="0.3"/>
    <row r="1911" customFormat="1" x14ac:dyDescent="0.3"/>
    <row r="1912" customFormat="1" x14ac:dyDescent="0.3"/>
    <row r="1913" customFormat="1" x14ac:dyDescent="0.3"/>
    <row r="1914" customFormat="1" x14ac:dyDescent="0.3"/>
    <row r="1915" customFormat="1" x14ac:dyDescent="0.3"/>
    <row r="1916" customFormat="1" x14ac:dyDescent="0.3"/>
    <row r="1917" customFormat="1" x14ac:dyDescent="0.3"/>
    <row r="1918" customFormat="1" x14ac:dyDescent="0.3"/>
    <row r="1919" customFormat="1" x14ac:dyDescent="0.3"/>
    <row r="1920" customFormat="1" x14ac:dyDescent="0.3"/>
    <row r="1921" customFormat="1" x14ac:dyDescent="0.3"/>
    <row r="1922" customFormat="1" x14ac:dyDescent="0.3"/>
    <row r="1923" customFormat="1" x14ac:dyDescent="0.3"/>
    <row r="1924" customFormat="1" x14ac:dyDescent="0.3"/>
    <row r="1925" customFormat="1" x14ac:dyDescent="0.3"/>
    <row r="1926" customFormat="1" x14ac:dyDescent="0.3"/>
    <row r="1927" customFormat="1" x14ac:dyDescent="0.3"/>
    <row r="1928" customFormat="1" x14ac:dyDescent="0.3"/>
    <row r="1929" customFormat="1" x14ac:dyDescent="0.3"/>
    <row r="1930" customFormat="1" x14ac:dyDescent="0.3"/>
    <row r="1931" customFormat="1" x14ac:dyDescent="0.3"/>
    <row r="1932" customFormat="1" x14ac:dyDescent="0.3"/>
    <row r="1933" customFormat="1" x14ac:dyDescent="0.3"/>
    <row r="1934" customFormat="1" x14ac:dyDescent="0.3"/>
    <row r="1935" customFormat="1" x14ac:dyDescent="0.3"/>
    <row r="1936" customFormat="1" x14ac:dyDescent="0.3"/>
    <row r="1937" customFormat="1" x14ac:dyDescent="0.3"/>
    <row r="1938" customFormat="1" x14ac:dyDescent="0.3"/>
    <row r="1939" customFormat="1" x14ac:dyDescent="0.3"/>
    <row r="1940" customFormat="1" x14ac:dyDescent="0.3"/>
    <row r="1941" customFormat="1" x14ac:dyDescent="0.3"/>
    <row r="1942" customFormat="1" x14ac:dyDescent="0.3"/>
    <row r="1943" customFormat="1" x14ac:dyDescent="0.3"/>
    <row r="1944" customFormat="1" x14ac:dyDescent="0.3"/>
    <row r="1945" customFormat="1" x14ac:dyDescent="0.3"/>
    <row r="1946" customFormat="1" x14ac:dyDescent="0.3"/>
    <row r="1947" customFormat="1" x14ac:dyDescent="0.3"/>
    <row r="1948" customFormat="1" x14ac:dyDescent="0.3"/>
    <row r="1949" customFormat="1" x14ac:dyDescent="0.3"/>
    <row r="1950" customFormat="1" x14ac:dyDescent="0.3"/>
    <row r="1951" customFormat="1" x14ac:dyDescent="0.3"/>
    <row r="1952" customFormat="1" x14ac:dyDescent="0.3"/>
    <row r="1953" customFormat="1" x14ac:dyDescent="0.3"/>
    <row r="1954" customFormat="1" x14ac:dyDescent="0.3"/>
    <row r="1955" customFormat="1" x14ac:dyDescent="0.3"/>
    <row r="1956" customFormat="1" x14ac:dyDescent="0.3"/>
    <row r="1957" customFormat="1" x14ac:dyDescent="0.3"/>
    <row r="1958" customFormat="1" x14ac:dyDescent="0.3"/>
    <row r="1959" customFormat="1" x14ac:dyDescent="0.3"/>
    <row r="1960" customFormat="1" x14ac:dyDescent="0.3"/>
    <row r="1961" customFormat="1" x14ac:dyDescent="0.3"/>
    <row r="1962" customFormat="1" x14ac:dyDescent="0.3"/>
    <row r="1963" customFormat="1" x14ac:dyDescent="0.3"/>
    <row r="1964" customFormat="1" x14ac:dyDescent="0.3"/>
    <row r="1965" customFormat="1" x14ac:dyDescent="0.3"/>
    <row r="1966" customFormat="1" x14ac:dyDescent="0.3"/>
    <row r="1967" customFormat="1" x14ac:dyDescent="0.3"/>
    <row r="1968" customFormat="1" x14ac:dyDescent="0.3"/>
    <row r="1969" customFormat="1" x14ac:dyDescent="0.3"/>
    <row r="1970" customFormat="1" x14ac:dyDescent="0.3"/>
    <row r="1971" customFormat="1" x14ac:dyDescent="0.3"/>
    <row r="1972" customFormat="1" x14ac:dyDescent="0.3"/>
    <row r="1973" customFormat="1" x14ac:dyDescent="0.3"/>
    <row r="1974" customFormat="1" x14ac:dyDescent="0.3"/>
    <row r="1975" customFormat="1" x14ac:dyDescent="0.3"/>
    <row r="1976" customFormat="1" x14ac:dyDescent="0.3"/>
    <row r="1977" customFormat="1" x14ac:dyDescent="0.3"/>
    <row r="1978" customFormat="1" x14ac:dyDescent="0.3"/>
    <row r="1979" customFormat="1" x14ac:dyDescent="0.3"/>
    <row r="1980" customFormat="1" x14ac:dyDescent="0.3"/>
    <row r="1981" customFormat="1" x14ac:dyDescent="0.3"/>
    <row r="1982" customFormat="1" x14ac:dyDescent="0.3"/>
    <row r="1983" customFormat="1" x14ac:dyDescent="0.3"/>
    <row r="1984" customFormat="1" x14ac:dyDescent="0.3"/>
    <row r="1985" customFormat="1" x14ac:dyDescent="0.3"/>
    <row r="1986" customFormat="1" x14ac:dyDescent="0.3"/>
    <row r="1987" customFormat="1" x14ac:dyDescent="0.3"/>
    <row r="1988" customFormat="1" x14ac:dyDescent="0.3"/>
    <row r="1989" customFormat="1" x14ac:dyDescent="0.3"/>
    <row r="1990" customFormat="1" x14ac:dyDescent="0.3"/>
    <row r="1991" customFormat="1" x14ac:dyDescent="0.3"/>
    <row r="1992" customFormat="1" x14ac:dyDescent="0.3"/>
    <row r="1993" customFormat="1" x14ac:dyDescent="0.3"/>
    <row r="1994" customFormat="1" x14ac:dyDescent="0.3"/>
    <row r="1995" customFormat="1" x14ac:dyDescent="0.3"/>
    <row r="1996" customFormat="1" x14ac:dyDescent="0.3"/>
    <row r="1997" customFormat="1" x14ac:dyDescent="0.3"/>
    <row r="1998" customFormat="1" x14ac:dyDescent="0.3"/>
    <row r="1999" customFormat="1" x14ac:dyDescent="0.3"/>
    <row r="2000" customFormat="1" x14ac:dyDescent="0.3"/>
    <row r="2001" customFormat="1" x14ac:dyDescent="0.3"/>
    <row r="2002" customFormat="1" x14ac:dyDescent="0.3"/>
    <row r="2003" customFormat="1" x14ac:dyDescent="0.3"/>
    <row r="2004" customFormat="1" x14ac:dyDescent="0.3"/>
    <row r="2005" customFormat="1" x14ac:dyDescent="0.3"/>
    <row r="2006" customFormat="1" x14ac:dyDescent="0.3"/>
    <row r="2007" customFormat="1" x14ac:dyDescent="0.3"/>
    <row r="2008" customFormat="1" x14ac:dyDescent="0.3"/>
    <row r="2009" customFormat="1" x14ac:dyDescent="0.3"/>
    <row r="2010" customFormat="1" x14ac:dyDescent="0.3"/>
    <row r="2011" customFormat="1" x14ac:dyDescent="0.3"/>
    <row r="2012" customFormat="1" x14ac:dyDescent="0.3"/>
    <row r="2013" customFormat="1" x14ac:dyDescent="0.3"/>
    <row r="2014" customFormat="1" x14ac:dyDescent="0.3"/>
    <row r="2015" customFormat="1" x14ac:dyDescent="0.3"/>
    <row r="2016" customFormat="1" x14ac:dyDescent="0.3"/>
    <row r="2017" customFormat="1" x14ac:dyDescent="0.3"/>
    <row r="2018" customFormat="1" x14ac:dyDescent="0.3"/>
    <row r="2019" customFormat="1" x14ac:dyDescent="0.3"/>
    <row r="2020" customFormat="1" x14ac:dyDescent="0.3"/>
    <row r="2021" customFormat="1" x14ac:dyDescent="0.3"/>
    <row r="2022" customFormat="1" x14ac:dyDescent="0.3"/>
    <row r="2023" customFormat="1" x14ac:dyDescent="0.3"/>
    <row r="2024" customFormat="1" x14ac:dyDescent="0.3"/>
    <row r="2025" customFormat="1" x14ac:dyDescent="0.3"/>
    <row r="2026" customFormat="1" x14ac:dyDescent="0.3"/>
    <row r="2027" customFormat="1" x14ac:dyDescent="0.3"/>
    <row r="2028" customFormat="1" x14ac:dyDescent="0.3"/>
    <row r="2029" customFormat="1" x14ac:dyDescent="0.3"/>
    <row r="2030" customFormat="1" x14ac:dyDescent="0.3"/>
    <row r="2031" customFormat="1" x14ac:dyDescent="0.3"/>
    <row r="2032" customFormat="1" x14ac:dyDescent="0.3"/>
    <row r="2033" customFormat="1" x14ac:dyDescent="0.3"/>
    <row r="2034" customFormat="1" x14ac:dyDescent="0.3"/>
    <row r="2035" customFormat="1" x14ac:dyDescent="0.3"/>
    <row r="2036" customFormat="1" x14ac:dyDescent="0.3"/>
    <row r="2037" customFormat="1" x14ac:dyDescent="0.3"/>
    <row r="2038" customFormat="1" x14ac:dyDescent="0.3"/>
    <row r="2039" customFormat="1" x14ac:dyDescent="0.3"/>
    <row r="2040" customFormat="1" x14ac:dyDescent="0.3"/>
    <row r="2041" customFormat="1" x14ac:dyDescent="0.3"/>
    <row r="2042" customFormat="1" x14ac:dyDescent="0.3"/>
    <row r="2043" customFormat="1" x14ac:dyDescent="0.3"/>
    <row r="2044" customFormat="1" x14ac:dyDescent="0.3"/>
    <row r="2045" customFormat="1" x14ac:dyDescent="0.3"/>
    <row r="2046" customFormat="1" x14ac:dyDescent="0.3"/>
    <row r="2047" customFormat="1" x14ac:dyDescent="0.3"/>
    <row r="2048" customFormat="1" x14ac:dyDescent="0.3"/>
    <row r="2049" customFormat="1" x14ac:dyDescent="0.3"/>
    <row r="2050" customFormat="1" x14ac:dyDescent="0.3"/>
    <row r="2051" customFormat="1" x14ac:dyDescent="0.3"/>
    <row r="2052" customFormat="1" x14ac:dyDescent="0.3"/>
    <row r="2053" customFormat="1" x14ac:dyDescent="0.3"/>
    <row r="2054" customFormat="1" x14ac:dyDescent="0.3"/>
    <row r="2055" customFormat="1" x14ac:dyDescent="0.3"/>
    <row r="2056" customFormat="1" x14ac:dyDescent="0.3"/>
    <row r="2057" customFormat="1" x14ac:dyDescent="0.3"/>
    <row r="2058" customFormat="1" x14ac:dyDescent="0.3"/>
    <row r="2059" customFormat="1" x14ac:dyDescent="0.3"/>
    <row r="2060" customFormat="1" x14ac:dyDescent="0.3"/>
    <row r="2061" customFormat="1" x14ac:dyDescent="0.3"/>
    <row r="2062" customFormat="1" x14ac:dyDescent="0.3"/>
    <row r="2063" customFormat="1" x14ac:dyDescent="0.3"/>
    <row r="2064" customFormat="1" x14ac:dyDescent="0.3"/>
    <row r="2065" customFormat="1" x14ac:dyDescent="0.3"/>
    <row r="2066" customFormat="1" x14ac:dyDescent="0.3"/>
    <row r="2067" customFormat="1" x14ac:dyDescent="0.3"/>
    <row r="2068" customFormat="1" x14ac:dyDescent="0.3"/>
    <row r="2069" customFormat="1" x14ac:dyDescent="0.3"/>
    <row r="2070" customFormat="1" x14ac:dyDescent="0.3"/>
    <row r="2071" customFormat="1" x14ac:dyDescent="0.3"/>
    <row r="2072" customFormat="1" x14ac:dyDescent="0.3"/>
    <row r="2073" customFormat="1" x14ac:dyDescent="0.3"/>
    <row r="2074" customFormat="1" x14ac:dyDescent="0.3"/>
    <row r="2075" customFormat="1" x14ac:dyDescent="0.3"/>
    <row r="2076" customFormat="1" x14ac:dyDescent="0.3"/>
    <row r="2077" customFormat="1" x14ac:dyDescent="0.3"/>
    <row r="2078" customFormat="1" x14ac:dyDescent="0.3"/>
    <row r="2079" customFormat="1" x14ac:dyDescent="0.3"/>
    <row r="2080" customFormat="1" x14ac:dyDescent="0.3"/>
    <row r="2081" customFormat="1" x14ac:dyDescent="0.3"/>
    <row r="2082" customFormat="1" x14ac:dyDescent="0.3"/>
    <row r="2083" customFormat="1" x14ac:dyDescent="0.3"/>
    <row r="2084" customFormat="1" x14ac:dyDescent="0.3"/>
    <row r="2085" customFormat="1" x14ac:dyDescent="0.3"/>
    <row r="2086" customFormat="1" x14ac:dyDescent="0.3"/>
    <row r="2087" customFormat="1" x14ac:dyDescent="0.3"/>
    <row r="2088" customFormat="1" x14ac:dyDescent="0.3"/>
    <row r="2089" customFormat="1" x14ac:dyDescent="0.3"/>
    <row r="2090" customFormat="1" x14ac:dyDescent="0.3"/>
    <row r="2091" customFormat="1" x14ac:dyDescent="0.3"/>
    <row r="2092" customFormat="1" x14ac:dyDescent="0.3"/>
    <row r="2093" customFormat="1" x14ac:dyDescent="0.3"/>
    <row r="2094" customFormat="1" x14ac:dyDescent="0.3"/>
    <row r="2095" customFormat="1" x14ac:dyDescent="0.3"/>
    <row r="2096" customFormat="1" x14ac:dyDescent="0.3"/>
    <row r="2097" customFormat="1" x14ac:dyDescent="0.3"/>
    <row r="2098" customFormat="1" x14ac:dyDescent="0.3"/>
    <row r="2099" customFormat="1" x14ac:dyDescent="0.3"/>
    <row r="2100" customFormat="1" x14ac:dyDescent="0.3"/>
    <row r="2101" customFormat="1" x14ac:dyDescent="0.3"/>
    <row r="2102" customFormat="1" x14ac:dyDescent="0.3"/>
    <row r="2103" customFormat="1" x14ac:dyDescent="0.3"/>
    <row r="2104" customFormat="1" x14ac:dyDescent="0.3"/>
    <row r="2105" customFormat="1" x14ac:dyDescent="0.3"/>
    <row r="2106" customFormat="1" x14ac:dyDescent="0.3"/>
    <row r="2107" customFormat="1" x14ac:dyDescent="0.3"/>
    <row r="2108" customFormat="1" x14ac:dyDescent="0.3"/>
    <row r="2109" customFormat="1" x14ac:dyDescent="0.3"/>
    <row r="2110" customFormat="1" x14ac:dyDescent="0.3"/>
    <row r="2111" customFormat="1" x14ac:dyDescent="0.3"/>
    <row r="2112" customFormat="1" x14ac:dyDescent="0.3"/>
    <row r="2113" customFormat="1" x14ac:dyDescent="0.3"/>
    <row r="2114" customFormat="1" x14ac:dyDescent="0.3"/>
    <row r="2115" customFormat="1" x14ac:dyDescent="0.3"/>
    <row r="2116" customFormat="1" x14ac:dyDescent="0.3"/>
    <row r="2117" customFormat="1" x14ac:dyDescent="0.3"/>
    <row r="2118" customFormat="1" x14ac:dyDescent="0.3"/>
    <row r="2119" customFormat="1" x14ac:dyDescent="0.3"/>
    <row r="2120" customFormat="1" x14ac:dyDescent="0.3"/>
    <row r="2121" customFormat="1" x14ac:dyDescent="0.3"/>
    <row r="2122" customFormat="1" x14ac:dyDescent="0.3"/>
    <row r="2123" customFormat="1" x14ac:dyDescent="0.3"/>
    <row r="2124" customFormat="1" x14ac:dyDescent="0.3"/>
    <row r="2125" customFormat="1" x14ac:dyDescent="0.3"/>
    <row r="2126" customFormat="1" x14ac:dyDescent="0.3"/>
    <row r="2127" customFormat="1" x14ac:dyDescent="0.3"/>
    <row r="2128" customFormat="1" x14ac:dyDescent="0.3"/>
    <row r="2129" customFormat="1" x14ac:dyDescent="0.3"/>
    <row r="2130" customFormat="1" x14ac:dyDescent="0.3"/>
    <row r="2131" customFormat="1" x14ac:dyDescent="0.3"/>
    <row r="2132" customFormat="1" x14ac:dyDescent="0.3"/>
    <row r="2133" customFormat="1" x14ac:dyDescent="0.3"/>
    <row r="2134" customFormat="1" x14ac:dyDescent="0.3"/>
    <row r="2135" customFormat="1" x14ac:dyDescent="0.3"/>
    <row r="2136" customFormat="1" x14ac:dyDescent="0.3"/>
    <row r="2137" customFormat="1" x14ac:dyDescent="0.3"/>
    <row r="2138" customFormat="1" x14ac:dyDescent="0.3"/>
    <row r="2139" customFormat="1" x14ac:dyDescent="0.3"/>
    <row r="2140" customFormat="1" x14ac:dyDescent="0.3"/>
    <row r="2141" customFormat="1" x14ac:dyDescent="0.3"/>
    <row r="2142" customFormat="1" x14ac:dyDescent="0.3"/>
    <row r="2143" customFormat="1" x14ac:dyDescent="0.3"/>
    <row r="2144" customFormat="1" x14ac:dyDescent="0.3"/>
    <row r="2145" customFormat="1" x14ac:dyDescent="0.3"/>
    <row r="2146" customFormat="1" x14ac:dyDescent="0.3"/>
    <row r="2147" customFormat="1" x14ac:dyDescent="0.3"/>
    <row r="2148" customFormat="1" x14ac:dyDescent="0.3"/>
    <row r="2149" customFormat="1" x14ac:dyDescent="0.3"/>
    <row r="2150" customFormat="1" x14ac:dyDescent="0.3"/>
    <row r="2151" customFormat="1" x14ac:dyDescent="0.3"/>
    <row r="2152" customFormat="1" x14ac:dyDescent="0.3"/>
    <row r="2153" customFormat="1" x14ac:dyDescent="0.3"/>
    <row r="2154" customFormat="1" x14ac:dyDescent="0.3"/>
    <row r="2155" customFormat="1" x14ac:dyDescent="0.3"/>
    <row r="2156" customFormat="1" x14ac:dyDescent="0.3"/>
    <row r="2157" customFormat="1" x14ac:dyDescent="0.3"/>
    <row r="2158" customFormat="1" x14ac:dyDescent="0.3"/>
    <row r="2159" customFormat="1" x14ac:dyDescent="0.3"/>
    <row r="2160" customFormat="1" x14ac:dyDescent="0.3"/>
    <row r="2161" customFormat="1" x14ac:dyDescent="0.3"/>
    <row r="2162" customFormat="1" x14ac:dyDescent="0.3"/>
    <row r="2163" customFormat="1" x14ac:dyDescent="0.3"/>
    <row r="2164" customFormat="1" x14ac:dyDescent="0.3"/>
    <row r="2165" customFormat="1" x14ac:dyDescent="0.3"/>
    <row r="2166" customFormat="1" x14ac:dyDescent="0.3"/>
    <row r="2167" customFormat="1" x14ac:dyDescent="0.3"/>
    <row r="2168" customFormat="1" x14ac:dyDescent="0.3"/>
    <row r="2169" customFormat="1" x14ac:dyDescent="0.3"/>
    <row r="2170" customFormat="1" x14ac:dyDescent="0.3"/>
    <row r="2171" customFormat="1" x14ac:dyDescent="0.3"/>
    <row r="2172" customFormat="1" x14ac:dyDescent="0.3"/>
    <row r="2173" customFormat="1" x14ac:dyDescent="0.3"/>
    <row r="2174" customFormat="1" x14ac:dyDescent="0.3"/>
    <row r="2175" customFormat="1" x14ac:dyDescent="0.3"/>
    <row r="2176" customFormat="1" x14ac:dyDescent="0.3"/>
    <row r="2177" customFormat="1" x14ac:dyDescent="0.3"/>
    <row r="2178" customFormat="1" x14ac:dyDescent="0.3"/>
    <row r="2179" customFormat="1" x14ac:dyDescent="0.3"/>
    <row r="2180" customFormat="1" x14ac:dyDescent="0.3"/>
    <row r="2181" customFormat="1" x14ac:dyDescent="0.3"/>
    <row r="2182" customFormat="1" x14ac:dyDescent="0.3"/>
    <row r="2183" customFormat="1" x14ac:dyDescent="0.3"/>
    <row r="2184" customFormat="1" x14ac:dyDescent="0.3"/>
    <row r="2185" customFormat="1" x14ac:dyDescent="0.3"/>
    <row r="2186" customFormat="1" x14ac:dyDescent="0.3"/>
    <row r="2187" customFormat="1" x14ac:dyDescent="0.3"/>
    <row r="2188" customFormat="1" x14ac:dyDescent="0.3"/>
    <row r="2189" customFormat="1" x14ac:dyDescent="0.3"/>
    <row r="2190" customFormat="1" x14ac:dyDescent="0.3"/>
    <row r="2191" customFormat="1" x14ac:dyDescent="0.3"/>
    <row r="2192" customFormat="1" x14ac:dyDescent="0.3"/>
    <row r="2193" customFormat="1" x14ac:dyDescent="0.3"/>
    <row r="2194" customFormat="1" x14ac:dyDescent="0.3"/>
    <row r="2195" customFormat="1" x14ac:dyDescent="0.3"/>
    <row r="2196" customFormat="1" x14ac:dyDescent="0.3"/>
    <row r="2197" customFormat="1" x14ac:dyDescent="0.3"/>
    <row r="2198" customFormat="1" x14ac:dyDescent="0.3"/>
    <row r="2199" customFormat="1" x14ac:dyDescent="0.3"/>
    <row r="2200" customFormat="1" x14ac:dyDescent="0.3"/>
    <row r="2201" customFormat="1" x14ac:dyDescent="0.3"/>
    <row r="2202" customFormat="1" x14ac:dyDescent="0.3"/>
    <row r="2203" customFormat="1" x14ac:dyDescent="0.3"/>
    <row r="2204" customFormat="1" x14ac:dyDescent="0.3"/>
    <row r="2205" customFormat="1" x14ac:dyDescent="0.3"/>
    <row r="2206" customFormat="1" x14ac:dyDescent="0.3"/>
    <row r="2207" customFormat="1" x14ac:dyDescent="0.3"/>
    <row r="2208" customFormat="1" x14ac:dyDescent="0.3"/>
    <row r="2209" customFormat="1" x14ac:dyDescent="0.3"/>
    <row r="2210" customFormat="1" x14ac:dyDescent="0.3"/>
    <row r="2211" customFormat="1" x14ac:dyDescent="0.3"/>
    <row r="2212" customFormat="1" x14ac:dyDescent="0.3"/>
    <row r="2213" customFormat="1" x14ac:dyDescent="0.3"/>
    <row r="2214" customFormat="1" x14ac:dyDescent="0.3"/>
    <row r="2215" customFormat="1" x14ac:dyDescent="0.3"/>
    <row r="2216" customFormat="1" x14ac:dyDescent="0.3"/>
    <row r="2217" customFormat="1" x14ac:dyDescent="0.3"/>
    <row r="2218" customFormat="1" x14ac:dyDescent="0.3"/>
    <row r="2219" customFormat="1" x14ac:dyDescent="0.3"/>
    <row r="2220" customFormat="1" x14ac:dyDescent="0.3"/>
    <row r="2221" customFormat="1" x14ac:dyDescent="0.3"/>
    <row r="2222" customFormat="1" x14ac:dyDescent="0.3"/>
    <row r="2223" customFormat="1" x14ac:dyDescent="0.3"/>
    <row r="2224" customFormat="1" x14ac:dyDescent="0.3"/>
    <row r="2225" customFormat="1" x14ac:dyDescent="0.3"/>
    <row r="2226" customFormat="1" x14ac:dyDescent="0.3"/>
    <row r="2227" customFormat="1" x14ac:dyDescent="0.3"/>
    <row r="2228" customFormat="1" x14ac:dyDescent="0.3"/>
    <row r="2229" customFormat="1" x14ac:dyDescent="0.3"/>
    <row r="2230" customFormat="1" x14ac:dyDescent="0.3"/>
    <row r="2231" customFormat="1" x14ac:dyDescent="0.3"/>
    <row r="2232" customFormat="1" x14ac:dyDescent="0.3"/>
    <row r="2233" customFormat="1" x14ac:dyDescent="0.3"/>
    <row r="2234" customFormat="1" x14ac:dyDescent="0.3"/>
    <row r="2235" customFormat="1" x14ac:dyDescent="0.3"/>
    <row r="2236" customFormat="1" x14ac:dyDescent="0.3"/>
    <row r="2237" customFormat="1" x14ac:dyDescent="0.3"/>
    <row r="2238" customFormat="1" x14ac:dyDescent="0.3"/>
    <row r="2239" customFormat="1" x14ac:dyDescent="0.3"/>
    <row r="2240" customFormat="1" x14ac:dyDescent="0.3"/>
    <row r="2241" customFormat="1" x14ac:dyDescent="0.3"/>
    <row r="2242" customFormat="1" x14ac:dyDescent="0.3"/>
    <row r="2243" customFormat="1" x14ac:dyDescent="0.3"/>
    <row r="2244" customFormat="1" x14ac:dyDescent="0.3"/>
    <row r="2245" customFormat="1" x14ac:dyDescent="0.3"/>
    <row r="2246" customFormat="1" x14ac:dyDescent="0.3"/>
    <row r="2247" customFormat="1" x14ac:dyDescent="0.3"/>
    <row r="2248" customFormat="1" x14ac:dyDescent="0.3"/>
    <row r="2249" customFormat="1" x14ac:dyDescent="0.3"/>
    <row r="2250" customFormat="1" x14ac:dyDescent="0.3"/>
    <row r="2251" customFormat="1" x14ac:dyDescent="0.3"/>
    <row r="2252" customFormat="1" x14ac:dyDescent="0.3"/>
    <row r="2253" customFormat="1" x14ac:dyDescent="0.3"/>
    <row r="2254" customFormat="1" x14ac:dyDescent="0.3"/>
    <row r="2255" customFormat="1" x14ac:dyDescent="0.3"/>
    <row r="2256" customFormat="1" x14ac:dyDescent="0.3"/>
    <row r="2257" customFormat="1" x14ac:dyDescent="0.3"/>
    <row r="2258" customFormat="1" x14ac:dyDescent="0.3"/>
    <row r="2259" customFormat="1" x14ac:dyDescent="0.3"/>
    <row r="2260" customFormat="1" x14ac:dyDescent="0.3"/>
    <row r="2261" customFormat="1" x14ac:dyDescent="0.3"/>
    <row r="2262" customFormat="1" x14ac:dyDescent="0.3"/>
    <row r="2263" customFormat="1" x14ac:dyDescent="0.3"/>
    <row r="2264" customFormat="1" x14ac:dyDescent="0.3"/>
    <row r="2265" customFormat="1" x14ac:dyDescent="0.3"/>
    <row r="2266" customFormat="1" x14ac:dyDescent="0.3"/>
    <row r="2267" customFormat="1" x14ac:dyDescent="0.3"/>
    <row r="2268" customFormat="1" x14ac:dyDescent="0.3"/>
    <row r="2269" customFormat="1" x14ac:dyDescent="0.3"/>
    <row r="2270" customFormat="1" x14ac:dyDescent="0.3"/>
    <row r="2271" customFormat="1" x14ac:dyDescent="0.3"/>
    <row r="2272" customFormat="1" x14ac:dyDescent="0.3"/>
    <row r="2273" customFormat="1" x14ac:dyDescent="0.3"/>
    <row r="2274" customFormat="1" x14ac:dyDescent="0.3"/>
    <row r="2275" customFormat="1" x14ac:dyDescent="0.3"/>
    <row r="2276" customFormat="1" x14ac:dyDescent="0.3"/>
    <row r="2277" customFormat="1" x14ac:dyDescent="0.3"/>
    <row r="2278" customFormat="1" x14ac:dyDescent="0.3"/>
    <row r="2279" customFormat="1" x14ac:dyDescent="0.3"/>
    <row r="2280" customFormat="1" x14ac:dyDescent="0.3"/>
    <row r="2281" customFormat="1" x14ac:dyDescent="0.3"/>
    <row r="2282" customFormat="1" x14ac:dyDescent="0.3"/>
    <row r="2283" customFormat="1" x14ac:dyDescent="0.3"/>
    <row r="2284" customFormat="1" x14ac:dyDescent="0.3"/>
    <row r="2285" customFormat="1" x14ac:dyDescent="0.3"/>
    <row r="2286" customFormat="1" x14ac:dyDescent="0.3"/>
    <row r="2287" customFormat="1" x14ac:dyDescent="0.3"/>
    <row r="2288" customFormat="1" x14ac:dyDescent="0.3"/>
    <row r="2289" customFormat="1" x14ac:dyDescent="0.3"/>
    <row r="2290" customFormat="1" x14ac:dyDescent="0.3"/>
    <row r="2291" customFormat="1" x14ac:dyDescent="0.3"/>
    <row r="2292" customFormat="1" x14ac:dyDescent="0.3"/>
    <row r="2293" customFormat="1" x14ac:dyDescent="0.3"/>
    <row r="2294" customFormat="1" x14ac:dyDescent="0.3"/>
    <row r="2295" customFormat="1" x14ac:dyDescent="0.3"/>
    <row r="2296" customFormat="1" x14ac:dyDescent="0.3"/>
    <row r="2297" customFormat="1" x14ac:dyDescent="0.3"/>
    <row r="2298" customFormat="1" x14ac:dyDescent="0.3"/>
    <row r="2299" customFormat="1" x14ac:dyDescent="0.3"/>
    <row r="2300" customFormat="1" x14ac:dyDescent="0.3"/>
    <row r="2301" customFormat="1" x14ac:dyDescent="0.3"/>
    <row r="2302" customFormat="1" x14ac:dyDescent="0.3"/>
    <row r="2303" customFormat="1" x14ac:dyDescent="0.3"/>
    <row r="2304" customFormat="1" x14ac:dyDescent="0.3"/>
    <row r="2305" customFormat="1" x14ac:dyDescent="0.3"/>
    <row r="2306" customFormat="1" x14ac:dyDescent="0.3"/>
    <row r="2307" customFormat="1" x14ac:dyDescent="0.3"/>
    <row r="2308" customFormat="1" x14ac:dyDescent="0.3"/>
    <row r="2309" customFormat="1" x14ac:dyDescent="0.3"/>
    <row r="2310" customFormat="1" x14ac:dyDescent="0.3"/>
    <row r="2311" customFormat="1" x14ac:dyDescent="0.3"/>
    <row r="2312" customFormat="1" x14ac:dyDescent="0.3"/>
    <row r="2313" customFormat="1" x14ac:dyDescent="0.3"/>
    <row r="2314" customFormat="1" x14ac:dyDescent="0.3"/>
    <row r="2315" customFormat="1" x14ac:dyDescent="0.3"/>
    <row r="2316" customFormat="1" x14ac:dyDescent="0.3"/>
    <row r="2317" customFormat="1" x14ac:dyDescent="0.3"/>
    <row r="2318" customFormat="1" x14ac:dyDescent="0.3"/>
    <row r="2319" customFormat="1" x14ac:dyDescent="0.3"/>
    <row r="2320" customFormat="1" x14ac:dyDescent="0.3"/>
    <row r="2321" customFormat="1" x14ac:dyDescent="0.3"/>
    <row r="2322" customFormat="1" x14ac:dyDescent="0.3"/>
    <row r="2323" customFormat="1" x14ac:dyDescent="0.3"/>
    <row r="2324" customFormat="1" x14ac:dyDescent="0.3"/>
    <row r="2325" customFormat="1" x14ac:dyDescent="0.3"/>
    <row r="2326" customFormat="1" x14ac:dyDescent="0.3"/>
    <row r="2327" customFormat="1" x14ac:dyDescent="0.3"/>
    <row r="2328" customFormat="1" x14ac:dyDescent="0.3"/>
    <row r="2329" customFormat="1" x14ac:dyDescent="0.3"/>
    <row r="2330" customFormat="1" x14ac:dyDescent="0.3"/>
    <row r="2331" customFormat="1" x14ac:dyDescent="0.3"/>
    <row r="2332" customFormat="1" x14ac:dyDescent="0.3"/>
    <row r="2333" customFormat="1" x14ac:dyDescent="0.3"/>
    <row r="2334" customFormat="1" x14ac:dyDescent="0.3"/>
    <row r="2335" customFormat="1" x14ac:dyDescent="0.3"/>
    <row r="2336" customFormat="1" x14ac:dyDescent="0.3"/>
    <row r="2337" customFormat="1" x14ac:dyDescent="0.3"/>
    <row r="2338" customFormat="1" x14ac:dyDescent="0.3"/>
    <row r="2339" customFormat="1" x14ac:dyDescent="0.3"/>
    <row r="2340" customFormat="1" x14ac:dyDescent="0.3"/>
    <row r="2341" customFormat="1" x14ac:dyDescent="0.3"/>
    <row r="2342" customFormat="1" x14ac:dyDescent="0.3"/>
    <row r="2343" customFormat="1" x14ac:dyDescent="0.3"/>
    <row r="2344" customFormat="1" x14ac:dyDescent="0.3"/>
    <row r="2345" customFormat="1" x14ac:dyDescent="0.3"/>
    <row r="2346" customFormat="1" x14ac:dyDescent="0.3"/>
    <row r="2347" customFormat="1" x14ac:dyDescent="0.3"/>
    <row r="2348" customFormat="1" x14ac:dyDescent="0.3"/>
    <row r="2349" customFormat="1" x14ac:dyDescent="0.3"/>
    <row r="2350" customFormat="1" x14ac:dyDescent="0.3"/>
    <row r="2351" customFormat="1" x14ac:dyDescent="0.3"/>
    <row r="2352" customFormat="1" x14ac:dyDescent="0.3"/>
    <row r="2353" customFormat="1" x14ac:dyDescent="0.3"/>
    <row r="2354" customFormat="1" x14ac:dyDescent="0.3"/>
    <row r="2355" customFormat="1" x14ac:dyDescent="0.3"/>
    <row r="2356" customFormat="1" x14ac:dyDescent="0.3"/>
    <row r="2357" customFormat="1" x14ac:dyDescent="0.3"/>
    <row r="2358" customFormat="1" x14ac:dyDescent="0.3"/>
    <row r="2359" customFormat="1" x14ac:dyDescent="0.3"/>
    <row r="2360" customFormat="1" x14ac:dyDescent="0.3"/>
    <row r="2361" customFormat="1" x14ac:dyDescent="0.3"/>
    <row r="2362" customFormat="1" x14ac:dyDescent="0.3"/>
    <row r="2363" customFormat="1" x14ac:dyDescent="0.3"/>
    <row r="2364" customFormat="1" x14ac:dyDescent="0.3"/>
    <row r="2365" customFormat="1" x14ac:dyDescent="0.3"/>
    <row r="2366" customFormat="1" x14ac:dyDescent="0.3"/>
    <row r="2367" customFormat="1" x14ac:dyDescent="0.3"/>
    <row r="2368" customFormat="1" x14ac:dyDescent="0.3"/>
    <row r="2369" customFormat="1" x14ac:dyDescent="0.3"/>
    <row r="2370" customFormat="1" x14ac:dyDescent="0.3"/>
    <row r="2371" customFormat="1" x14ac:dyDescent="0.3"/>
    <row r="2372" customFormat="1" x14ac:dyDescent="0.3"/>
    <row r="2373" customFormat="1" x14ac:dyDescent="0.3"/>
    <row r="2374" customFormat="1" x14ac:dyDescent="0.3"/>
    <row r="2375" customFormat="1" x14ac:dyDescent="0.3"/>
    <row r="2376" customFormat="1" x14ac:dyDescent="0.3"/>
    <row r="2377" customFormat="1" x14ac:dyDescent="0.3"/>
    <row r="2378" customFormat="1" x14ac:dyDescent="0.3"/>
    <row r="2379" customFormat="1" x14ac:dyDescent="0.3"/>
    <row r="2380" customFormat="1" x14ac:dyDescent="0.3"/>
    <row r="2381" customFormat="1" x14ac:dyDescent="0.3"/>
    <row r="2382" customFormat="1" x14ac:dyDescent="0.3"/>
    <row r="2383" customFormat="1" x14ac:dyDescent="0.3"/>
    <row r="2384" customFormat="1" x14ac:dyDescent="0.3"/>
    <row r="2385" customFormat="1" x14ac:dyDescent="0.3"/>
    <row r="2386" customFormat="1" x14ac:dyDescent="0.3"/>
    <row r="2387" customFormat="1" x14ac:dyDescent="0.3"/>
    <row r="2388" customFormat="1" x14ac:dyDescent="0.3"/>
    <row r="2389" customFormat="1" x14ac:dyDescent="0.3"/>
    <row r="2390" customFormat="1" x14ac:dyDescent="0.3"/>
    <row r="2391" customFormat="1" x14ac:dyDescent="0.3"/>
    <row r="2392" customFormat="1" x14ac:dyDescent="0.3"/>
    <row r="2393" customFormat="1" x14ac:dyDescent="0.3"/>
    <row r="2394" customFormat="1" x14ac:dyDescent="0.3"/>
    <row r="2395" customFormat="1" x14ac:dyDescent="0.3"/>
    <row r="2396" customFormat="1" x14ac:dyDescent="0.3"/>
    <row r="2397" customFormat="1" x14ac:dyDescent="0.3"/>
    <row r="2398" customFormat="1" x14ac:dyDescent="0.3"/>
    <row r="2399" customFormat="1" x14ac:dyDescent="0.3"/>
    <row r="2400" customFormat="1" x14ac:dyDescent="0.3"/>
    <row r="2401" customFormat="1" x14ac:dyDescent="0.3"/>
    <row r="2402" customFormat="1" x14ac:dyDescent="0.3"/>
    <row r="2403" customFormat="1" x14ac:dyDescent="0.3"/>
    <row r="2404" customFormat="1" x14ac:dyDescent="0.3"/>
    <row r="2405" customFormat="1" x14ac:dyDescent="0.3"/>
    <row r="2406" customFormat="1" x14ac:dyDescent="0.3"/>
    <row r="2407" customFormat="1" x14ac:dyDescent="0.3"/>
    <row r="2408" customFormat="1" x14ac:dyDescent="0.3"/>
    <row r="2409" customFormat="1" x14ac:dyDescent="0.3"/>
    <row r="2410" customFormat="1" x14ac:dyDescent="0.3"/>
    <row r="2411" customFormat="1" x14ac:dyDescent="0.3"/>
    <row r="2412" customFormat="1" x14ac:dyDescent="0.3"/>
    <row r="2413" customFormat="1" x14ac:dyDescent="0.3"/>
    <row r="2414" customFormat="1" x14ac:dyDescent="0.3"/>
    <row r="2415" customFormat="1" x14ac:dyDescent="0.3"/>
    <row r="2416" customFormat="1" x14ac:dyDescent="0.3"/>
    <row r="2417" customFormat="1" x14ac:dyDescent="0.3"/>
    <row r="2418" customFormat="1" x14ac:dyDescent="0.3"/>
    <row r="2419" customFormat="1" x14ac:dyDescent="0.3"/>
    <row r="2420" customFormat="1" x14ac:dyDescent="0.3"/>
    <row r="2421" customFormat="1" x14ac:dyDescent="0.3"/>
    <row r="2422" customFormat="1" x14ac:dyDescent="0.3"/>
    <row r="2423" customFormat="1" x14ac:dyDescent="0.3"/>
    <row r="2424" customFormat="1" x14ac:dyDescent="0.3"/>
    <row r="2425" customFormat="1" x14ac:dyDescent="0.3"/>
    <row r="2426" customFormat="1" x14ac:dyDescent="0.3"/>
    <row r="2427" customFormat="1" x14ac:dyDescent="0.3"/>
    <row r="2428" customFormat="1" x14ac:dyDescent="0.3"/>
    <row r="2429" customFormat="1" x14ac:dyDescent="0.3"/>
    <row r="2430" customFormat="1" x14ac:dyDescent="0.3"/>
    <row r="2431" customFormat="1" x14ac:dyDescent="0.3"/>
    <row r="2432" customFormat="1" x14ac:dyDescent="0.3"/>
    <row r="2433" customFormat="1" x14ac:dyDescent="0.3"/>
    <row r="2434" customFormat="1" x14ac:dyDescent="0.3"/>
    <row r="2435" customFormat="1" x14ac:dyDescent="0.3"/>
    <row r="2436" customFormat="1" x14ac:dyDescent="0.3"/>
    <row r="2437" customFormat="1" x14ac:dyDescent="0.3"/>
    <row r="2438" customFormat="1" x14ac:dyDescent="0.3"/>
    <row r="2439" customFormat="1" x14ac:dyDescent="0.3"/>
    <row r="2440" customFormat="1" x14ac:dyDescent="0.3"/>
    <row r="2441" customFormat="1" x14ac:dyDescent="0.3"/>
    <row r="2442" customFormat="1" x14ac:dyDescent="0.3"/>
    <row r="2443" customFormat="1" x14ac:dyDescent="0.3"/>
    <row r="2444" customFormat="1" x14ac:dyDescent="0.3"/>
    <row r="2445" customFormat="1" x14ac:dyDescent="0.3"/>
    <row r="2446" customFormat="1" x14ac:dyDescent="0.3"/>
    <row r="2447" customFormat="1" x14ac:dyDescent="0.3"/>
    <row r="2448" customFormat="1" x14ac:dyDescent="0.3"/>
    <row r="2449" customFormat="1" x14ac:dyDescent="0.3"/>
    <row r="2450" customFormat="1" x14ac:dyDescent="0.3"/>
    <row r="2451" customFormat="1" x14ac:dyDescent="0.3"/>
    <row r="2452" customFormat="1" x14ac:dyDescent="0.3"/>
    <row r="2453" customFormat="1" x14ac:dyDescent="0.3"/>
    <row r="2454" customFormat="1" x14ac:dyDescent="0.3"/>
    <row r="2455" customFormat="1" x14ac:dyDescent="0.3"/>
    <row r="2456" customFormat="1" x14ac:dyDescent="0.3"/>
    <row r="2457" customFormat="1" x14ac:dyDescent="0.3"/>
    <row r="2458" customFormat="1" x14ac:dyDescent="0.3"/>
    <row r="2459" customFormat="1" x14ac:dyDescent="0.3"/>
    <row r="2460" customFormat="1" x14ac:dyDescent="0.3"/>
    <row r="2461" customFormat="1" x14ac:dyDescent="0.3"/>
    <row r="2462" customFormat="1" x14ac:dyDescent="0.3"/>
    <row r="2463" customFormat="1" x14ac:dyDescent="0.3"/>
    <row r="2464" customFormat="1" x14ac:dyDescent="0.3"/>
    <row r="2465" customFormat="1" x14ac:dyDescent="0.3"/>
    <row r="2466" customFormat="1" x14ac:dyDescent="0.3"/>
    <row r="2467" customFormat="1" x14ac:dyDescent="0.3"/>
    <row r="2468" customFormat="1" x14ac:dyDescent="0.3"/>
    <row r="2469" customFormat="1" x14ac:dyDescent="0.3"/>
    <row r="2470" customFormat="1" x14ac:dyDescent="0.3"/>
    <row r="2471" customFormat="1" x14ac:dyDescent="0.3"/>
    <row r="2472" customFormat="1" x14ac:dyDescent="0.3"/>
    <row r="2473" customFormat="1" x14ac:dyDescent="0.3"/>
    <row r="2474" customFormat="1" x14ac:dyDescent="0.3"/>
    <row r="2475" customFormat="1" x14ac:dyDescent="0.3"/>
    <row r="2476" customFormat="1" x14ac:dyDescent="0.3"/>
    <row r="2477" customFormat="1" x14ac:dyDescent="0.3"/>
    <row r="2478" customFormat="1" x14ac:dyDescent="0.3"/>
    <row r="2479" customFormat="1" x14ac:dyDescent="0.3"/>
    <row r="2480" customFormat="1" x14ac:dyDescent="0.3"/>
    <row r="2481" customFormat="1" x14ac:dyDescent="0.3"/>
    <row r="2482" customFormat="1" x14ac:dyDescent="0.3"/>
    <row r="2483" customFormat="1" x14ac:dyDescent="0.3"/>
    <row r="2484" customFormat="1" x14ac:dyDescent="0.3"/>
    <row r="2485" customFormat="1" x14ac:dyDescent="0.3"/>
    <row r="2486" customFormat="1" x14ac:dyDescent="0.3"/>
    <row r="2487" customFormat="1" x14ac:dyDescent="0.3"/>
    <row r="2488" customFormat="1" x14ac:dyDescent="0.3"/>
    <row r="2489" customFormat="1" x14ac:dyDescent="0.3"/>
    <row r="2490" customFormat="1" x14ac:dyDescent="0.3"/>
    <row r="2491" customFormat="1" x14ac:dyDescent="0.3"/>
    <row r="2492" customFormat="1" x14ac:dyDescent="0.3"/>
    <row r="2493" customFormat="1" x14ac:dyDescent="0.3"/>
    <row r="2494" customFormat="1" x14ac:dyDescent="0.3"/>
    <row r="2495" customFormat="1" x14ac:dyDescent="0.3"/>
    <row r="2496" customFormat="1" x14ac:dyDescent="0.3"/>
    <row r="2497" customFormat="1" x14ac:dyDescent="0.3"/>
    <row r="2498" customFormat="1" x14ac:dyDescent="0.3"/>
    <row r="2499" customFormat="1" x14ac:dyDescent="0.3"/>
    <row r="2500" customFormat="1" x14ac:dyDescent="0.3"/>
    <row r="2501" customFormat="1" x14ac:dyDescent="0.3"/>
    <row r="2502" customFormat="1" x14ac:dyDescent="0.3"/>
    <row r="2503" customFormat="1" x14ac:dyDescent="0.3"/>
    <row r="2504" customFormat="1" x14ac:dyDescent="0.3"/>
    <row r="2505" customFormat="1" x14ac:dyDescent="0.3"/>
    <row r="2506" customFormat="1" x14ac:dyDescent="0.3"/>
    <row r="2507" customFormat="1" x14ac:dyDescent="0.3"/>
    <row r="2508" customFormat="1" x14ac:dyDescent="0.3"/>
    <row r="2509" customFormat="1" x14ac:dyDescent="0.3"/>
    <row r="2510" customFormat="1" x14ac:dyDescent="0.3"/>
    <row r="2511" customFormat="1" x14ac:dyDescent="0.3"/>
    <row r="2512" customFormat="1" x14ac:dyDescent="0.3"/>
    <row r="2513" customFormat="1" x14ac:dyDescent="0.3"/>
    <row r="2514" customFormat="1" x14ac:dyDescent="0.3"/>
    <row r="2515" customFormat="1" x14ac:dyDescent="0.3"/>
    <row r="2516" customFormat="1" x14ac:dyDescent="0.3"/>
    <row r="2517" customFormat="1" x14ac:dyDescent="0.3"/>
    <row r="2518" customFormat="1" x14ac:dyDescent="0.3"/>
    <row r="2519" customFormat="1" x14ac:dyDescent="0.3"/>
    <row r="2520" customFormat="1" x14ac:dyDescent="0.3"/>
    <row r="2521" customFormat="1" x14ac:dyDescent="0.3"/>
    <row r="2522" customFormat="1" x14ac:dyDescent="0.3"/>
    <row r="2523" customFormat="1" x14ac:dyDescent="0.3"/>
    <row r="2524" customFormat="1" x14ac:dyDescent="0.3"/>
    <row r="2525" customFormat="1" x14ac:dyDescent="0.3"/>
    <row r="2526" customFormat="1" x14ac:dyDescent="0.3"/>
    <row r="2527" customFormat="1" x14ac:dyDescent="0.3"/>
    <row r="2528" customFormat="1" x14ac:dyDescent="0.3"/>
    <row r="2529" customFormat="1" x14ac:dyDescent="0.3"/>
    <row r="2530" customFormat="1" x14ac:dyDescent="0.3"/>
    <row r="2531" customFormat="1" x14ac:dyDescent="0.3"/>
    <row r="2532" customFormat="1" x14ac:dyDescent="0.3"/>
    <row r="2533" customFormat="1" x14ac:dyDescent="0.3"/>
    <row r="2534" customFormat="1" x14ac:dyDescent="0.3"/>
    <row r="2535" customFormat="1" x14ac:dyDescent="0.3"/>
    <row r="2536" customFormat="1" x14ac:dyDescent="0.3"/>
    <row r="2537" customFormat="1" x14ac:dyDescent="0.3"/>
    <row r="2538" customFormat="1" x14ac:dyDescent="0.3"/>
    <row r="2539" customFormat="1" x14ac:dyDescent="0.3"/>
    <row r="2540" customFormat="1" x14ac:dyDescent="0.3"/>
    <row r="2541" customFormat="1" x14ac:dyDescent="0.3"/>
    <row r="2542" customFormat="1" x14ac:dyDescent="0.3"/>
    <row r="2543" customFormat="1" x14ac:dyDescent="0.3"/>
    <row r="2544" customFormat="1" x14ac:dyDescent="0.3"/>
    <row r="2545" customFormat="1" x14ac:dyDescent="0.3"/>
    <row r="2546" customFormat="1" x14ac:dyDescent="0.3"/>
    <row r="2547" customFormat="1" x14ac:dyDescent="0.3"/>
    <row r="2548" customFormat="1" x14ac:dyDescent="0.3"/>
    <row r="2549" customFormat="1" x14ac:dyDescent="0.3"/>
    <row r="2550" customFormat="1" x14ac:dyDescent="0.3"/>
    <row r="2551" customFormat="1" x14ac:dyDescent="0.3"/>
    <row r="2552" customFormat="1" x14ac:dyDescent="0.3"/>
    <row r="2553" customFormat="1" x14ac:dyDescent="0.3"/>
    <row r="2554" customFormat="1" x14ac:dyDescent="0.3"/>
    <row r="2555" customFormat="1" x14ac:dyDescent="0.3"/>
    <row r="2556" customFormat="1" x14ac:dyDescent="0.3"/>
    <row r="2557" customFormat="1" x14ac:dyDescent="0.3"/>
    <row r="2558" customFormat="1" x14ac:dyDescent="0.3"/>
    <row r="2559" customFormat="1" x14ac:dyDescent="0.3"/>
    <row r="2560" customFormat="1" x14ac:dyDescent="0.3"/>
    <row r="2561" customFormat="1" x14ac:dyDescent="0.3"/>
    <row r="2562" customFormat="1" x14ac:dyDescent="0.3"/>
    <row r="2563" customFormat="1" x14ac:dyDescent="0.3"/>
    <row r="2564" customFormat="1" x14ac:dyDescent="0.3"/>
    <row r="2565" customFormat="1" x14ac:dyDescent="0.3"/>
    <row r="2566" customFormat="1" x14ac:dyDescent="0.3"/>
    <row r="2567" customFormat="1" x14ac:dyDescent="0.3"/>
    <row r="2568" customFormat="1" x14ac:dyDescent="0.3"/>
    <row r="2569" customFormat="1" x14ac:dyDescent="0.3"/>
    <row r="2570" customFormat="1" x14ac:dyDescent="0.3"/>
    <row r="2571" customFormat="1" x14ac:dyDescent="0.3"/>
    <row r="2572" customFormat="1" x14ac:dyDescent="0.3"/>
    <row r="2573" customFormat="1" x14ac:dyDescent="0.3"/>
    <row r="2574" customFormat="1" x14ac:dyDescent="0.3"/>
    <row r="2575" customFormat="1" x14ac:dyDescent="0.3"/>
    <row r="2576" customFormat="1" x14ac:dyDescent="0.3"/>
    <row r="2577" customFormat="1" x14ac:dyDescent="0.3"/>
    <row r="2578" customFormat="1" x14ac:dyDescent="0.3"/>
    <row r="2579" customFormat="1" x14ac:dyDescent="0.3"/>
    <row r="2580" customFormat="1" x14ac:dyDescent="0.3"/>
    <row r="2581" customFormat="1" x14ac:dyDescent="0.3"/>
    <row r="2582" customFormat="1" x14ac:dyDescent="0.3"/>
    <row r="2583" customFormat="1" x14ac:dyDescent="0.3"/>
    <row r="2584" customFormat="1" x14ac:dyDescent="0.3"/>
    <row r="2585" customFormat="1" x14ac:dyDescent="0.3"/>
    <row r="2586" customFormat="1" x14ac:dyDescent="0.3"/>
    <row r="2587" customFormat="1" x14ac:dyDescent="0.3"/>
    <row r="2588" customFormat="1" x14ac:dyDescent="0.3"/>
    <row r="2589" customFormat="1" x14ac:dyDescent="0.3"/>
    <row r="2590" customFormat="1" x14ac:dyDescent="0.3"/>
    <row r="2591" customFormat="1" x14ac:dyDescent="0.3"/>
    <row r="2592" customFormat="1" x14ac:dyDescent="0.3"/>
    <row r="2593" customFormat="1" x14ac:dyDescent="0.3"/>
    <row r="2594" customFormat="1" x14ac:dyDescent="0.3"/>
    <row r="2595" customFormat="1" x14ac:dyDescent="0.3"/>
    <row r="2596" customFormat="1" x14ac:dyDescent="0.3"/>
    <row r="2597" customFormat="1" x14ac:dyDescent="0.3"/>
    <row r="2598" customFormat="1" x14ac:dyDescent="0.3"/>
    <row r="2599" customFormat="1" x14ac:dyDescent="0.3"/>
    <row r="2600" customFormat="1" x14ac:dyDescent="0.3"/>
    <row r="2601" customFormat="1" x14ac:dyDescent="0.3"/>
    <row r="2602" customFormat="1" x14ac:dyDescent="0.3"/>
    <row r="2603" customFormat="1" x14ac:dyDescent="0.3"/>
    <row r="2604" customFormat="1" x14ac:dyDescent="0.3"/>
    <row r="2605" customFormat="1" x14ac:dyDescent="0.3"/>
    <row r="2606" customFormat="1" x14ac:dyDescent="0.3"/>
    <row r="2607" customFormat="1" x14ac:dyDescent="0.3"/>
    <row r="2608" customFormat="1" x14ac:dyDescent="0.3"/>
    <row r="2609" customFormat="1" x14ac:dyDescent="0.3"/>
    <row r="2610" customFormat="1" x14ac:dyDescent="0.3"/>
    <row r="2611" customFormat="1" x14ac:dyDescent="0.3"/>
    <row r="2612" customFormat="1" x14ac:dyDescent="0.3"/>
    <row r="2613" customFormat="1" x14ac:dyDescent="0.3"/>
    <row r="2614" customFormat="1" x14ac:dyDescent="0.3"/>
    <row r="2615" customFormat="1" x14ac:dyDescent="0.3"/>
    <row r="2616" customFormat="1" x14ac:dyDescent="0.3"/>
    <row r="2617" customFormat="1" x14ac:dyDescent="0.3"/>
    <row r="2618" customFormat="1" x14ac:dyDescent="0.3"/>
    <row r="2619" customFormat="1" x14ac:dyDescent="0.3"/>
    <row r="2620" customFormat="1" x14ac:dyDescent="0.3"/>
    <row r="2621" customFormat="1" x14ac:dyDescent="0.3"/>
    <row r="2622" customFormat="1" x14ac:dyDescent="0.3"/>
    <row r="2623" customFormat="1" x14ac:dyDescent="0.3"/>
    <row r="2624" customFormat="1" x14ac:dyDescent="0.3"/>
    <row r="2625" customFormat="1" x14ac:dyDescent="0.3"/>
    <row r="2626" customFormat="1" x14ac:dyDescent="0.3"/>
    <row r="2627" customFormat="1" x14ac:dyDescent="0.3"/>
    <row r="2628" customFormat="1" x14ac:dyDescent="0.3"/>
    <row r="2629" customFormat="1" x14ac:dyDescent="0.3"/>
    <row r="2630" customFormat="1" x14ac:dyDescent="0.3"/>
    <row r="2631" customFormat="1" x14ac:dyDescent="0.3"/>
    <row r="2632" customFormat="1" x14ac:dyDescent="0.3"/>
    <row r="2633" customFormat="1" x14ac:dyDescent="0.3"/>
    <row r="2634" customFormat="1" x14ac:dyDescent="0.3"/>
    <row r="2635" customFormat="1" x14ac:dyDescent="0.3"/>
    <row r="2636" customFormat="1" x14ac:dyDescent="0.3"/>
    <row r="2637" customFormat="1" x14ac:dyDescent="0.3"/>
    <row r="2638" customFormat="1" x14ac:dyDescent="0.3"/>
    <row r="2639" customFormat="1" x14ac:dyDescent="0.3"/>
    <row r="2640" customFormat="1" x14ac:dyDescent="0.3"/>
    <row r="2641" customFormat="1" x14ac:dyDescent="0.3"/>
    <row r="2642" customFormat="1" x14ac:dyDescent="0.3"/>
    <row r="2643" customFormat="1" x14ac:dyDescent="0.3"/>
    <row r="2644" customFormat="1" x14ac:dyDescent="0.3"/>
    <row r="2645" customFormat="1" x14ac:dyDescent="0.3"/>
    <row r="2646" customFormat="1" x14ac:dyDescent="0.3"/>
    <row r="2647" customFormat="1" x14ac:dyDescent="0.3"/>
    <row r="2648" customFormat="1" x14ac:dyDescent="0.3"/>
    <row r="2649" customFormat="1" x14ac:dyDescent="0.3"/>
    <row r="2650" customFormat="1" x14ac:dyDescent="0.3"/>
    <row r="2651" customFormat="1" x14ac:dyDescent="0.3"/>
    <row r="2652" customFormat="1" x14ac:dyDescent="0.3"/>
    <row r="2653" customFormat="1" x14ac:dyDescent="0.3"/>
    <row r="2654" customFormat="1" x14ac:dyDescent="0.3"/>
    <row r="2655" customFormat="1" x14ac:dyDescent="0.3"/>
    <row r="2656" customFormat="1" x14ac:dyDescent="0.3"/>
    <row r="2657" customFormat="1" x14ac:dyDescent="0.3"/>
    <row r="2658" customFormat="1" x14ac:dyDescent="0.3"/>
    <row r="2659" customFormat="1" x14ac:dyDescent="0.3"/>
    <row r="2660" customFormat="1" x14ac:dyDescent="0.3"/>
    <row r="2661" customFormat="1" x14ac:dyDescent="0.3"/>
    <row r="2662" customFormat="1" x14ac:dyDescent="0.3"/>
    <row r="2663" customFormat="1" x14ac:dyDescent="0.3"/>
    <row r="2664" customFormat="1" x14ac:dyDescent="0.3"/>
    <row r="2665" customFormat="1" x14ac:dyDescent="0.3"/>
    <row r="2666" customFormat="1" x14ac:dyDescent="0.3"/>
    <row r="2667" customFormat="1" x14ac:dyDescent="0.3"/>
    <row r="2668" customFormat="1" x14ac:dyDescent="0.3"/>
    <row r="2669" customFormat="1" x14ac:dyDescent="0.3"/>
    <row r="2670" customFormat="1" x14ac:dyDescent="0.3"/>
    <row r="2671" customFormat="1" x14ac:dyDescent="0.3"/>
    <row r="2672" customFormat="1" x14ac:dyDescent="0.3"/>
    <row r="2673" customFormat="1" x14ac:dyDescent="0.3"/>
    <row r="2674" customFormat="1" x14ac:dyDescent="0.3"/>
    <row r="2675" customFormat="1" x14ac:dyDescent="0.3"/>
    <row r="2676" customFormat="1" x14ac:dyDescent="0.3"/>
    <row r="2677" customFormat="1" x14ac:dyDescent="0.3"/>
    <row r="2678" customFormat="1" x14ac:dyDescent="0.3"/>
    <row r="2679" customFormat="1" x14ac:dyDescent="0.3"/>
    <row r="2680" customFormat="1" x14ac:dyDescent="0.3"/>
    <row r="2681" customFormat="1" x14ac:dyDescent="0.3"/>
    <row r="2682" customFormat="1" x14ac:dyDescent="0.3"/>
    <row r="2683" customFormat="1" x14ac:dyDescent="0.3"/>
    <row r="2684" customFormat="1" x14ac:dyDescent="0.3"/>
    <row r="2685" customFormat="1" x14ac:dyDescent="0.3"/>
    <row r="2686" customFormat="1" x14ac:dyDescent="0.3"/>
    <row r="2687" customFormat="1" x14ac:dyDescent="0.3"/>
    <row r="2688" customFormat="1" x14ac:dyDescent="0.3"/>
    <row r="2689" customFormat="1" x14ac:dyDescent="0.3"/>
    <row r="2690" customFormat="1" x14ac:dyDescent="0.3"/>
    <row r="2691" customFormat="1" x14ac:dyDescent="0.3"/>
    <row r="2692" customFormat="1" x14ac:dyDescent="0.3"/>
    <row r="2693" customFormat="1" x14ac:dyDescent="0.3"/>
    <row r="2694" customFormat="1" x14ac:dyDescent="0.3"/>
    <row r="2695" customFormat="1" x14ac:dyDescent="0.3"/>
    <row r="2696" customFormat="1" x14ac:dyDescent="0.3"/>
    <row r="2697" customFormat="1" x14ac:dyDescent="0.3"/>
    <row r="2698" customFormat="1" x14ac:dyDescent="0.3"/>
    <row r="2699" customFormat="1" x14ac:dyDescent="0.3"/>
    <row r="2700" customFormat="1" x14ac:dyDescent="0.3"/>
    <row r="2701" customFormat="1" x14ac:dyDescent="0.3"/>
    <row r="2702" customFormat="1" x14ac:dyDescent="0.3"/>
    <row r="2703" customFormat="1" x14ac:dyDescent="0.3"/>
    <row r="2704" customFormat="1" x14ac:dyDescent="0.3"/>
    <row r="2705" customFormat="1" x14ac:dyDescent="0.3"/>
    <row r="2706" customFormat="1" x14ac:dyDescent="0.3"/>
    <row r="2707" customFormat="1" x14ac:dyDescent="0.3"/>
    <row r="2708" customFormat="1" x14ac:dyDescent="0.3"/>
    <row r="2709" customFormat="1" x14ac:dyDescent="0.3"/>
    <row r="2710" customFormat="1" x14ac:dyDescent="0.3"/>
    <row r="2711" customFormat="1" x14ac:dyDescent="0.3"/>
    <row r="2712" customFormat="1" x14ac:dyDescent="0.3"/>
    <row r="2713" customFormat="1" x14ac:dyDescent="0.3"/>
    <row r="2714" customFormat="1" x14ac:dyDescent="0.3"/>
    <row r="2715" customFormat="1" x14ac:dyDescent="0.3"/>
    <row r="2716" customFormat="1" x14ac:dyDescent="0.3"/>
    <row r="2717" customFormat="1" x14ac:dyDescent="0.3"/>
    <row r="2718" customFormat="1" x14ac:dyDescent="0.3"/>
    <row r="2719" customFormat="1" x14ac:dyDescent="0.3"/>
    <row r="2720" customFormat="1" x14ac:dyDescent="0.3"/>
    <row r="2721" customFormat="1" x14ac:dyDescent="0.3"/>
    <row r="2722" customFormat="1" x14ac:dyDescent="0.3"/>
    <row r="2723" customFormat="1" x14ac:dyDescent="0.3"/>
    <row r="2724" customFormat="1" x14ac:dyDescent="0.3"/>
    <row r="2725" customFormat="1" x14ac:dyDescent="0.3"/>
    <row r="2726" customFormat="1" x14ac:dyDescent="0.3"/>
    <row r="2727" customFormat="1" x14ac:dyDescent="0.3"/>
    <row r="2728" customFormat="1" x14ac:dyDescent="0.3"/>
    <row r="2729" customFormat="1" x14ac:dyDescent="0.3"/>
    <row r="2730" customFormat="1" x14ac:dyDescent="0.3"/>
    <row r="2731" customFormat="1" x14ac:dyDescent="0.3"/>
    <row r="2732" customFormat="1" x14ac:dyDescent="0.3"/>
    <row r="2733" customFormat="1" x14ac:dyDescent="0.3"/>
    <row r="2734" customFormat="1" x14ac:dyDescent="0.3"/>
    <row r="2735" customFormat="1" x14ac:dyDescent="0.3"/>
    <row r="2736" customFormat="1" x14ac:dyDescent="0.3"/>
    <row r="2737" customFormat="1" x14ac:dyDescent="0.3"/>
    <row r="2738" customFormat="1" x14ac:dyDescent="0.3"/>
    <row r="2739" customFormat="1" x14ac:dyDescent="0.3"/>
    <row r="2740" customFormat="1" x14ac:dyDescent="0.3"/>
    <row r="2741" customFormat="1" x14ac:dyDescent="0.3"/>
    <row r="2742" customFormat="1" x14ac:dyDescent="0.3"/>
    <row r="2743" customFormat="1" x14ac:dyDescent="0.3"/>
    <row r="2744" customFormat="1" x14ac:dyDescent="0.3"/>
    <row r="2745" customFormat="1" x14ac:dyDescent="0.3"/>
    <row r="2746" customFormat="1" x14ac:dyDescent="0.3"/>
    <row r="2747" customFormat="1" x14ac:dyDescent="0.3"/>
    <row r="2748" customFormat="1" x14ac:dyDescent="0.3"/>
    <row r="2749" customFormat="1" x14ac:dyDescent="0.3"/>
    <row r="2750" customFormat="1" x14ac:dyDescent="0.3"/>
    <row r="2751" customFormat="1" x14ac:dyDescent="0.3"/>
    <row r="2752" customFormat="1" x14ac:dyDescent="0.3"/>
    <row r="2753" customFormat="1" x14ac:dyDescent="0.3"/>
    <row r="2754" customFormat="1" x14ac:dyDescent="0.3"/>
    <row r="2755" customFormat="1" x14ac:dyDescent="0.3"/>
    <row r="2756" customFormat="1" x14ac:dyDescent="0.3"/>
    <row r="2757" customFormat="1" x14ac:dyDescent="0.3"/>
    <row r="2758" customFormat="1" x14ac:dyDescent="0.3"/>
    <row r="2759" customFormat="1" x14ac:dyDescent="0.3"/>
    <row r="2760" customFormat="1" x14ac:dyDescent="0.3"/>
    <row r="2761" customFormat="1" x14ac:dyDescent="0.3"/>
    <row r="2762" customFormat="1" x14ac:dyDescent="0.3"/>
    <row r="2763" customFormat="1" x14ac:dyDescent="0.3"/>
    <row r="2764" customFormat="1" x14ac:dyDescent="0.3"/>
    <row r="2765" customFormat="1" x14ac:dyDescent="0.3"/>
    <row r="2766" customFormat="1" x14ac:dyDescent="0.3"/>
    <row r="2767" customFormat="1" x14ac:dyDescent="0.3"/>
    <row r="2768" customFormat="1" x14ac:dyDescent="0.3"/>
    <row r="2769" customFormat="1" x14ac:dyDescent="0.3"/>
    <row r="2770" customFormat="1" x14ac:dyDescent="0.3"/>
    <row r="2771" customFormat="1" x14ac:dyDescent="0.3"/>
    <row r="2772" customFormat="1" x14ac:dyDescent="0.3"/>
    <row r="2773" customFormat="1" x14ac:dyDescent="0.3"/>
    <row r="2774" customFormat="1" x14ac:dyDescent="0.3"/>
    <row r="2775" customFormat="1" x14ac:dyDescent="0.3"/>
    <row r="2776" customFormat="1" x14ac:dyDescent="0.3"/>
    <row r="2777" customFormat="1" x14ac:dyDescent="0.3"/>
    <row r="2778" customFormat="1" x14ac:dyDescent="0.3"/>
    <row r="2779" customFormat="1" x14ac:dyDescent="0.3"/>
    <row r="2780" customFormat="1" x14ac:dyDescent="0.3"/>
    <row r="2781" customFormat="1" x14ac:dyDescent="0.3"/>
    <row r="2782" customFormat="1" x14ac:dyDescent="0.3"/>
    <row r="2783" customFormat="1" x14ac:dyDescent="0.3"/>
    <row r="2784" customFormat="1" x14ac:dyDescent="0.3"/>
    <row r="2785" customFormat="1" x14ac:dyDescent="0.3"/>
    <row r="2786" customFormat="1" x14ac:dyDescent="0.3"/>
    <row r="2787" customFormat="1" x14ac:dyDescent="0.3"/>
    <row r="2788" customFormat="1" x14ac:dyDescent="0.3"/>
    <row r="2789" customFormat="1" x14ac:dyDescent="0.3"/>
    <row r="2790" customFormat="1" x14ac:dyDescent="0.3"/>
    <row r="2791" customFormat="1" x14ac:dyDescent="0.3"/>
    <row r="2792" customFormat="1" x14ac:dyDescent="0.3"/>
    <row r="2793" customFormat="1" x14ac:dyDescent="0.3"/>
    <row r="2794" customFormat="1" x14ac:dyDescent="0.3"/>
    <row r="2795" customFormat="1" x14ac:dyDescent="0.3"/>
    <row r="2796" customFormat="1" x14ac:dyDescent="0.3"/>
    <row r="2797" customFormat="1" x14ac:dyDescent="0.3"/>
    <row r="2798" customFormat="1" x14ac:dyDescent="0.3"/>
    <row r="2799" customFormat="1" x14ac:dyDescent="0.3"/>
    <row r="2800" customFormat="1" x14ac:dyDescent="0.3"/>
    <row r="2801" customFormat="1" x14ac:dyDescent="0.3"/>
    <row r="2802" customFormat="1" x14ac:dyDescent="0.3"/>
    <row r="2803" customFormat="1" x14ac:dyDescent="0.3"/>
    <row r="2804" customFormat="1" x14ac:dyDescent="0.3"/>
    <row r="2805" customFormat="1" x14ac:dyDescent="0.3"/>
    <row r="2806" customFormat="1" x14ac:dyDescent="0.3"/>
    <row r="2807" customFormat="1" x14ac:dyDescent="0.3"/>
    <row r="2808" customFormat="1" x14ac:dyDescent="0.3"/>
    <row r="2809" customFormat="1" x14ac:dyDescent="0.3"/>
    <row r="2810" customFormat="1" x14ac:dyDescent="0.3"/>
    <row r="2811" customFormat="1" x14ac:dyDescent="0.3"/>
    <row r="2812" customFormat="1" x14ac:dyDescent="0.3"/>
    <row r="2813" customFormat="1" x14ac:dyDescent="0.3"/>
    <row r="2814" customFormat="1" x14ac:dyDescent="0.3"/>
    <row r="2815" customFormat="1" x14ac:dyDescent="0.3"/>
    <row r="2816" customFormat="1" x14ac:dyDescent="0.3"/>
    <row r="2817" customFormat="1" x14ac:dyDescent="0.3"/>
    <row r="2818" customFormat="1" x14ac:dyDescent="0.3"/>
    <row r="2819" customFormat="1" x14ac:dyDescent="0.3"/>
    <row r="2820" customFormat="1" x14ac:dyDescent="0.3"/>
    <row r="2821" customFormat="1" x14ac:dyDescent="0.3"/>
    <row r="2822" customFormat="1" x14ac:dyDescent="0.3"/>
    <row r="2823" customFormat="1" x14ac:dyDescent="0.3"/>
    <row r="2824" customFormat="1" x14ac:dyDescent="0.3"/>
    <row r="2825" customFormat="1" x14ac:dyDescent="0.3"/>
    <row r="2826" customFormat="1" x14ac:dyDescent="0.3"/>
    <row r="2827" customFormat="1" x14ac:dyDescent="0.3"/>
    <row r="2828" customFormat="1" x14ac:dyDescent="0.3"/>
    <row r="2829" customFormat="1" x14ac:dyDescent="0.3"/>
    <row r="2830" customFormat="1" x14ac:dyDescent="0.3"/>
    <row r="2831" customFormat="1" x14ac:dyDescent="0.3"/>
    <row r="2832" customFormat="1" x14ac:dyDescent="0.3"/>
    <row r="2833" customFormat="1" x14ac:dyDescent="0.3"/>
    <row r="2834" customFormat="1" x14ac:dyDescent="0.3"/>
    <row r="2835" customFormat="1" x14ac:dyDescent="0.3"/>
    <row r="2836" customFormat="1" x14ac:dyDescent="0.3"/>
    <row r="2837" customFormat="1" x14ac:dyDescent="0.3"/>
    <row r="2838" customFormat="1" x14ac:dyDescent="0.3"/>
    <row r="2839" customFormat="1" x14ac:dyDescent="0.3"/>
    <row r="2840" customFormat="1" x14ac:dyDescent="0.3"/>
    <row r="2841" customFormat="1" x14ac:dyDescent="0.3"/>
    <row r="2842" customFormat="1" x14ac:dyDescent="0.3"/>
    <row r="2843" customFormat="1" x14ac:dyDescent="0.3"/>
    <row r="2844" customFormat="1" x14ac:dyDescent="0.3"/>
    <row r="2845" customFormat="1" x14ac:dyDescent="0.3"/>
    <row r="2846" customFormat="1" x14ac:dyDescent="0.3"/>
    <row r="2847" customFormat="1" x14ac:dyDescent="0.3"/>
    <row r="2848" customFormat="1" x14ac:dyDescent="0.3"/>
    <row r="2849" customFormat="1" x14ac:dyDescent="0.3"/>
    <row r="2850" customFormat="1" x14ac:dyDescent="0.3"/>
    <row r="2851" customFormat="1" x14ac:dyDescent="0.3"/>
    <row r="2852" customFormat="1" x14ac:dyDescent="0.3"/>
    <row r="2853" customFormat="1" x14ac:dyDescent="0.3"/>
    <row r="2854" customFormat="1" x14ac:dyDescent="0.3"/>
    <row r="2855" customFormat="1" x14ac:dyDescent="0.3"/>
    <row r="2856" customFormat="1" x14ac:dyDescent="0.3"/>
    <row r="2857" customFormat="1" x14ac:dyDescent="0.3"/>
    <row r="2858" customFormat="1" x14ac:dyDescent="0.3"/>
    <row r="2859" customFormat="1" x14ac:dyDescent="0.3"/>
    <row r="2860" customFormat="1" x14ac:dyDescent="0.3"/>
    <row r="2861" customFormat="1" x14ac:dyDescent="0.3"/>
    <row r="2862" customFormat="1" x14ac:dyDescent="0.3"/>
    <row r="2863" customFormat="1" x14ac:dyDescent="0.3"/>
    <row r="2864" customFormat="1" x14ac:dyDescent="0.3"/>
    <row r="2865" customFormat="1" x14ac:dyDescent="0.3"/>
    <row r="2866" customFormat="1" x14ac:dyDescent="0.3"/>
    <row r="2867" customFormat="1" x14ac:dyDescent="0.3"/>
    <row r="2868" customFormat="1" x14ac:dyDescent="0.3"/>
    <row r="2869" customFormat="1" x14ac:dyDescent="0.3"/>
    <row r="2870" customFormat="1" x14ac:dyDescent="0.3"/>
    <row r="2871" customFormat="1" x14ac:dyDescent="0.3"/>
    <row r="2872" customFormat="1" x14ac:dyDescent="0.3"/>
    <row r="2873" customFormat="1" x14ac:dyDescent="0.3"/>
    <row r="2874" customFormat="1" x14ac:dyDescent="0.3"/>
    <row r="2875" customFormat="1" x14ac:dyDescent="0.3"/>
    <row r="2876" customFormat="1" x14ac:dyDescent="0.3"/>
    <row r="2877" customFormat="1" x14ac:dyDescent="0.3"/>
    <row r="2878" customFormat="1" x14ac:dyDescent="0.3"/>
    <row r="2879" customFormat="1" x14ac:dyDescent="0.3"/>
    <row r="2880" customFormat="1" x14ac:dyDescent="0.3"/>
    <row r="2881" customFormat="1" x14ac:dyDescent="0.3"/>
    <row r="2882" customFormat="1" x14ac:dyDescent="0.3"/>
    <row r="2883" customFormat="1" x14ac:dyDescent="0.3"/>
    <row r="2884" customFormat="1" x14ac:dyDescent="0.3"/>
    <row r="2885" customFormat="1" x14ac:dyDescent="0.3"/>
    <row r="2886" customFormat="1" x14ac:dyDescent="0.3"/>
    <row r="2887" customFormat="1" x14ac:dyDescent="0.3"/>
    <row r="2888" customFormat="1" x14ac:dyDescent="0.3"/>
    <row r="2889" customFormat="1" x14ac:dyDescent="0.3"/>
    <row r="2890" customFormat="1" x14ac:dyDescent="0.3"/>
    <row r="2891" customFormat="1" x14ac:dyDescent="0.3"/>
    <row r="2892" customFormat="1" x14ac:dyDescent="0.3"/>
    <row r="2893" customFormat="1" x14ac:dyDescent="0.3"/>
    <row r="2894" customFormat="1" x14ac:dyDescent="0.3"/>
    <row r="2895" customFormat="1" x14ac:dyDescent="0.3"/>
    <row r="2896" customFormat="1" x14ac:dyDescent="0.3"/>
    <row r="2897" customFormat="1" x14ac:dyDescent="0.3"/>
    <row r="2898" customFormat="1" x14ac:dyDescent="0.3"/>
    <row r="2899" customFormat="1" x14ac:dyDescent="0.3"/>
    <row r="2900" customFormat="1" x14ac:dyDescent="0.3"/>
    <row r="2901" customFormat="1" x14ac:dyDescent="0.3"/>
    <row r="2902" customFormat="1" x14ac:dyDescent="0.3"/>
    <row r="2903" customFormat="1" x14ac:dyDescent="0.3"/>
    <row r="2904" customFormat="1" x14ac:dyDescent="0.3"/>
    <row r="2905" customFormat="1" x14ac:dyDescent="0.3"/>
    <row r="2906" customFormat="1" x14ac:dyDescent="0.3"/>
    <row r="2907" customFormat="1" x14ac:dyDescent="0.3"/>
    <row r="2908" customFormat="1" x14ac:dyDescent="0.3"/>
    <row r="2909" customFormat="1" x14ac:dyDescent="0.3"/>
    <row r="2910" customFormat="1" x14ac:dyDescent="0.3"/>
    <row r="2911" customFormat="1" x14ac:dyDescent="0.3"/>
    <row r="2912" customFormat="1" x14ac:dyDescent="0.3"/>
    <row r="2913" customFormat="1" x14ac:dyDescent="0.3"/>
    <row r="2914" customFormat="1" x14ac:dyDescent="0.3"/>
    <row r="2915" customFormat="1" x14ac:dyDescent="0.3"/>
    <row r="2916" customFormat="1" x14ac:dyDescent="0.3"/>
    <row r="2917" customFormat="1" x14ac:dyDescent="0.3"/>
    <row r="2918" customFormat="1" x14ac:dyDescent="0.3"/>
    <row r="2919" customFormat="1" x14ac:dyDescent="0.3"/>
    <row r="2920" customFormat="1" x14ac:dyDescent="0.3"/>
    <row r="2921" customFormat="1" x14ac:dyDescent="0.3"/>
    <row r="2922" customFormat="1" x14ac:dyDescent="0.3"/>
    <row r="2923" customFormat="1" x14ac:dyDescent="0.3"/>
    <row r="2924" customFormat="1" x14ac:dyDescent="0.3"/>
    <row r="2925" customFormat="1" x14ac:dyDescent="0.3"/>
    <row r="2926" customFormat="1" x14ac:dyDescent="0.3"/>
    <row r="2927" customFormat="1" x14ac:dyDescent="0.3"/>
    <row r="2928" customFormat="1" x14ac:dyDescent="0.3"/>
    <row r="2929" customFormat="1" x14ac:dyDescent="0.3"/>
    <row r="2930" customFormat="1" x14ac:dyDescent="0.3"/>
    <row r="2931" customFormat="1" x14ac:dyDescent="0.3"/>
    <row r="2932" customFormat="1" x14ac:dyDescent="0.3"/>
    <row r="2933" customFormat="1" x14ac:dyDescent="0.3"/>
    <row r="2934" customFormat="1" x14ac:dyDescent="0.3"/>
    <row r="2935" customFormat="1" x14ac:dyDescent="0.3"/>
    <row r="2936" customFormat="1" x14ac:dyDescent="0.3"/>
    <row r="2937" customFormat="1" x14ac:dyDescent="0.3"/>
    <row r="2938" customFormat="1" x14ac:dyDescent="0.3"/>
    <row r="2939" customFormat="1" x14ac:dyDescent="0.3"/>
    <row r="2940" customFormat="1" x14ac:dyDescent="0.3"/>
    <row r="2941" customFormat="1" x14ac:dyDescent="0.3"/>
    <row r="2942" customFormat="1" x14ac:dyDescent="0.3"/>
    <row r="2943" customFormat="1" x14ac:dyDescent="0.3"/>
    <row r="2944" customFormat="1" x14ac:dyDescent="0.3"/>
    <row r="2945" customFormat="1" x14ac:dyDescent="0.3"/>
    <row r="2946" customFormat="1" x14ac:dyDescent="0.3"/>
    <row r="2947" customFormat="1" x14ac:dyDescent="0.3"/>
    <row r="2948" customFormat="1" x14ac:dyDescent="0.3"/>
    <row r="2949" customFormat="1" x14ac:dyDescent="0.3"/>
    <row r="2950" customFormat="1" x14ac:dyDescent="0.3"/>
    <row r="2951" customFormat="1" x14ac:dyDescent="0.3"/>
    <row r="2952" customFormat="1" x14ac:dyDescent="0.3"/>
    <row r="2953" customFormat="1" x14ac:dyDescent="0.3"/>
    <row r="2954" customFormat="1" x14ac:dyDescent="0.3"/>
    <row r="2955" customFormat="1" x14ac:dyDescent="0.3"/>
    <row r="2956" customFormat="1" x14ac:dyDescent="0.3"/>
    <row r="2957" customFormat="1" x14ac:dyDescent="0.3"/>
    <row r="2958" customFormat="1" x14ac:dyDescent="0.3"/>
    <row r="2959" customFormat="1" x14ac:dyDescent="0.3"/>
    <row r="2960" customFormat="1" x14ac:dyDescent="0.3"/>
    <row r="2961" customFormat="1" x14ac:dyDescent="0.3"/>
    <row r="2962" customFormat="1" x14ac:dyDescent="0.3"/>
    <row r="2963" customFormat="1" x14ac:dyDescent="0.3"/>
    <row r="2964" customFormat="1" x14ac:dyDescent="0.3"/>
    <row r="2965" customFormat="1" x14ac:dyDescent="0.3"/>
    <row r="2966" customFormat="1" x14ac:dyDescent="0.3"/>
    <row r="2967" customFormat="1" x14ac:dyDescent="0.3"/>
    <row r="2968" customFormat="1" x14ac:dyDescent="0.3"/>
    <row r="2969" customFormat="1" x14ac:dyDescent="0.3"/>
    <row r="2970" customFormat="1" x14ac:dyDescent="0.3"/>
    <row r="2971" customFormat="1" x14ac:dyDescent="0.3"/>
    <row r="2972" customFormat="1" x14ac:dyDescent="0.3"/>
    <row r="2973" customFormat="1" x14ac:dyDescent="0.3"/>
    <row r="2974" customFormat="1" x14ac:dyDescent="0.3"/>
    <row r="2975" customFormat="1" x14ac:dyDescent="0.3"/>
    <row r="2976" customFormat="1" x14ac:dyDescent="0.3"/>
    <row r="2977" customFormat="1" x14ac:dyDescent="0.3"/>
    <row r="2978" customFormat="1" x14ac:dyDescent="0.3"/>
    <row r="2979" customFormat="1" x14ac:dyDescent="0.3"/>
    <row r="2980" customFormat="1" x14ac:dyDescent="0.3"/>
    <row r="2981" customFormat="1" x14ac:dyDescent="0.3"/>
    <row r="2982" customFormat="1" x14ac:dyDescent="0.3"/>
    <row r="2983" customFormat="1" x14ac:dyDescent="0.3"/>
    <row r="2984" customFormat="1" x14ac:dyDescent="0.3"/>
    <row r="2985" customFormat="1" x14ac:dyDescent="0.3"/>
    <row r="2986" customFormat="1" x14ac:dyDescent="0.3"/>
    <row r="2987" customFormat="1" x14ac:dyDescent="0.3"/>
    <row r="2988" customFormat="1" x14ac:dyDescent="0.3"/>
    <row r="2989" customFormat="1" x14ac:dyDescent="0.3"/>
    <row r="2990" customFormat="1" x14ac:dyDescent="0.3"/>
    <row r="2991" customFormat="1" x14ac:dyDescent="0.3"/>
    <row r="2992" customFormat="1" x14ac:dyDescent="0.3"/>
    <row r="2993" customFormat="1" x14ac:dyDescent="0.3"/>
    <row r="2994" customFormat="1" x14ac:dyDescent="0.3"/>
    <row r="2995" customFormat="1" x14ac:dyDescent="0.3"/>
    <row r="2996" customFormat="1" x14ac:dyDescent="0.3"/>
    <row r="2997" customFormat="1" x14ac:dyDescent="0.3"/>
    <row r="2998" customFormat="1" x14ac:dyDescent="0.3"/>
    <row r="2999" customFormat="1" x14ac:dyDescent="0.3"/>
    <row r="3000" customFormat="1" x14ac:dyDescent="0.3"/>
    <row r="3001" customFormat="1" x14ac:dyDescent="0.3"/>
    <row r="3002" customFormat="1" x14ac:dyDescent="0.3"/>
    <row r="3003" customFormat="1" x14ac:dyDescent="0.3"/>
    <row r="3004" customFormat="1" x14ac:dyDescent="0.3"/>
    <row r="3005" customFormat="1" x14ac:dyDescent="0.3"/>
    <row r="3006" customFormat="1" x14ac:dyDescent="0.3"/>
    <row r="3007" customFormat="1" x14ac:dyDescent="0.3"/>
    <row r="3008" customFormat="1" x14ac:dyDescent="0.3"/>
    <row r="3009" customFormat="1" x14ac:dyDescent="0.3"/>
    <row r="3010" customFormat="1" x14ac:dyDescent="0.3"/>
    <row r="3011" customFormat="1" x14ac:dyDescent="0.3"/>
    <row r="3012" customFormat="1" x14ac:dyDescent="0.3"/>
    <row r="3013" customFormat="1" x14ac:dyDescent="0.3"/>
    <row r="3014" customFormat="1" x14ac:dyDescent="0.3"/>
    <row r="3015" customFormat="1" x14ac:dyDescent="0.3"/>
    <row r="3016" customFormat="1" x14ac:dyDescent="0.3"/>
    <row r="3017" customFormat="1" x14ac:dyDescent="0.3"/>
    <row r="3018" customFormat="1" x14ac:dyDescent="0.3"/>
    <row r="3019" customFormat="1" x14ac:dyDescent="0.3"/>
    <row r="3020" customFormat="1" x14ac:dyDescent="0.3"/>
    <row r="3021" customFormat="1" x14ac:dyDescent="0.3"/>
    <row r="3022" customFormat="1" x14ac:dyDescent="0.3"/>
    <row r="3023" customFormat="1" x14ac:dyDescent="0.3"/>
    <row r="3024" customFormat="1" x14ac:dyDescent="0.3"/>
    <row r="3025" customFormat="1" x14ac:dyDescent="0.3"/>
    <row r="3026" customFormat="1" x14ac:dyDescent="0.3"/>
    <row r="3027" customFormat="1" x14ac:dyDescent="0.3"/>
    <row r="3028" customFormat="1" x14ac:dyDescent="0.3"/>
    <row r="3029" customFormat="1" x14ac:dyDescent="0.3"/>
    <row r="3030" customFormat="1" x14ac:dyDescent="0.3"/>
    <row r="3031" customFormat="1" x14ac:dyDescent="0.3"/>
    <row r="3032" customFormat="1" x14ac:dyDescent="0.3"/>
    <row r="3033" customFormat="1" x14ac:dyDescent="0.3"/>
    <row r="3034" customFormat="1" x14ac:dyDescent="0.3"/>
    <row r="3035" customFormat="1" x14ac:dyDescent="0.3"/>
    <row r="3036" customFormat="1" x14ac:dyDescent="0.3"/>
    <row r="3037" customFormat="1" x14ac:dyDescent="0.3"/>
    <row r="3038" customFormat="1" x14ac:dyDescent="0.3"/>
    <row r="3039" customFormat="1" x14ac:dyDescent="0.3"/>
    <row r="3040" customFormat="1" x14ac:dyDescent="0.3"/>
    <row r="3041" customFormat="1" x14ac:dyDescent="0.3"/>
    <row r="3042" customFormat="1" x14ac:dyDescent="0.3"/>
    <row r="3043" customFormat="1" x14ac:dyDescent="0.3"/>
    <row r="3044" customFormat="1" x14ac:dyDescent="0.3"/>
    <row r="3045" customFormat="1" x14ac:dyDescent="0.3"/>
    <row r="3046" customFormat="1" x14ac:dyDescent="0.3"/>
    <row r="3047" customFormat="1" x14ac:dyDescent="0.3"/>
    <row r="3048" customFormat="1" x14ac:dyDescent="0.3"/>
    <row r="3049" customFormat="1" x14ac:dyDescent="0.3"/>
    <row r="3050" customFormat="1" x14ac:dyDescent="0.3"/>
    <row r="3051" customFormat="1" x14ac:dyDescent="0.3"/>
    <row r="3052" customFormat="1" x14ac:dyDescent="0.3"/>
    <row r="3053" customFormat="1" x14ac:dyDescent="0.3"/>
    <row r="3054" customFormat="1" x14ac:dyDescent="0.3"/>
    <row r="3055" customFormat="1" x14ac:dyDescent="0.3"/>
    <row r="3056" customFormat="1" x14ac:dyDescent="0.3"/>
    <row r="3057" customFormat="1" x14ac:dyDescent="0.3"/>
    <row r="3058" customFormat="1" x14ac:dyDescent="0.3"/>
    <row r="3059" customFormat="1" x14ac:dyDescent="0.3"/>
    <row r="3060" customFormat="1" x14ac:dyDescent="0.3"/>
    <row r="3061" customFormat="1" x14ac:dyDescent="0.3"/>
    <row r="3062" customFormat="1" x14ac:dyDescent="0.3"/>
    <row r="3063" customFormat="1" x14ac:dyDescent="0.3"/>
    <row r="3064" customFormat="1" x14ac:dyDescent="0.3"/>
    <row r="3065" customFormat="1" x14ac:dyDescent="0.3"/>
    <row r="3066" customFormat="1" x14ac:dyDescent="0.3"/>
    <row r="3067" customFormat="1" x14ac:dyDescent="0.3"/>
    <row r="3068" customFormat="1" x14ac:dyDescent="0.3"/>
    <row r="3069" customFormat="1" x14ac:dyDescent="0.3"/>
    <row r="3070" customFormat="1" x14ac:dyDescent="0.3"/>
    <row r="3071" customFormat="1" x14ac:dyDescent="0.3"/>
    <row r="3072" customFormat="1" x14ac:dyDescent="0.3"/>
    <row r="3073" customFormat="1" x14ac:dyDescent="0.3"/>
    <row r="3074" customFormat="1" x14ac:dyDescent="0.3"/>
    <row r="3075" customFormat="1" x14ac:dyDescent="0.3"/>
    <row r="3076" customFormat="1" x14ac:dyDescent="0.3"/>
    <row r="3077" customFormat="1" x14ac:dyDescent="0.3"/>
    <row r="3078" customFormat="1" x14ac:dyDescent="0.3"/>
    <row r="3079" customFormat="1" x14ac:dyDescent="0.3"/>
    <row r="3080" customFormat="1" x14ac:dyDescent="0.3"/>
    <row r="3081" customFormat="1" x14ac:dyDescent="0.3"/>
    <row r="3082" customFormat="1" x14ac:dyDescent="0.3"/>
    <row r="3083" customFormat="1" x14ac:dyDescent="0.3"/>
    <row r="3084" customFormat="1" x14ac:dyDescent="0.3"/>
    <row r="3085" customFormat="1" x14ac:dyDescent="0.3"/>
    <row r="3086" customFormat="1" x14ac:dyDescent="0.3"/>
    <row r="3087" customFormat="1" x14ac:dyDescent="0.3"/>
    <row r="3088" customFormat="1" x14ac:dyDescent="0.3"/>
    <row r="3089" customFormat="1" x14ac:dyDescent="0.3"/>
    <row r="3090" customFormat="1" x14ac:dyDescent="0.3"/>
    <row r="3091" customFormat="1" x14ac:dyDescent="0.3"/>
    <row r="3092" customFormat="1" x14ac:dyDescent="0.3"/>
    <row r="3093" customFormat="1" x14ac:dyDescent="0.3"/>
    <row r="3094" customFormat="1" x14ac:dyDescent="0.3"/>
    <row r="3095" customFormat="1" x14ac:dyDescent="0.3"/>
    <row r="3096" customFormat="1" x14ac:dyDescent="0.3"/>
    <row r="3097" customFormat="1" x14ac:dyDescent="0.3"/>
    <row r="3098" customFormat="1" x14ac:dyDescent="0.3"/>
    <row r="3099" customFormat="1" x14ac:dyDescent="0.3"/>
    <row r="3100" customFormat="1" x14ac:dyDescent="0.3"/>
    <row r="3101" customFormat="1" x14ac:dyDescent="0.3"/>
    <row r="3102" customFormat="1" x14ac:dyDescent="0.3"/>
    <row r="3103" customFormat="1" x14ac:dyDescent="0.3"/>
    <row r="3104" customFormat="1" x14ac:dyDescent="0.3"/>
    <row r="3105" customFormat="1" x14ac:dyDescent="0.3"/>
    <row r="3106" customFormat="1" x14ac:dyDescent="0.3"/>
    <row r="3107" customFormat="1" x14ac:dyDescent="0.3"/>
    <row r="3108" customFormat="1" x14ac:dyDescent="0.3"/>
    <row r="3109" customFormat="1" x14ac:dyDescent="0.3"/>
    <row r="3110" customFormat="1" x14ac:dyDescent="0.3"/>
    <row r="3111" customFormat="1" x14ac:dyDescent="0.3"/>
    <row r="3112" customFormat="1" x14ac:dyDescent="0.3"/>
    <row r="3113" customFormat="1" x14ac:dyDescent="0.3"/>
    <row r="3114" customFormat="1" x14ac:dyDescent="0.3"/>
    <row r="3115" customFormat="1" x14ac:dyDescent="0.3"/>
    <row r="3116" customFormat="1" x14ac:dyDescent="0.3"/>
    <row r="3117" customFormat="1" x14ac:dyDescent="0.3"/>
    <row r="3118" customFormat="1" x14ac:dyDescent="0.3"/>
    <row r="3119" customFormat="1" x14ac:dyDescent="0.3"/>
    <row r="3120" customFormat="1" x14ac:dyDescent="0.3"/>
    <row r="3121" customFormat="1" x14ac:dyDescent="0.3"/>
    <row r="3122" customFormat="1" x14ac:dyDescent="0.3"/>
    <row r="3123" customFormat="1" x14ac:dyDescent="0.3"/>
    <row r="3124" customFormat="1" x14ac:dyDescent="0.3"/>
    <row r="3125" customFormat="1" x14ac:dyDescent="0.3"/>
    <row r="3126" customFormat="1" x14ac:dyDescent="0.3"/>
    <row r="3127" customFormat="1" x14ac:dyDescent="0.3"/>
    <row r="3128" customFormat="1" x14ac:dyDescent="0.3"/>
    <row r="3129" customFormat="1" x14ac:dyDescent="0.3"/>
    <row r="3130" customFormat="1" x14ac:dyDescent="0.3"/>
    <row r="3131" customFormat="1" x14ac:dyDescent="0.3"/>
    <row r="3132" customFormat="1" x14ac:dyDescent="0.3"/>
    <row r="3133" customFormat="1" x14ac:dyDescent="0.3"/>
    <row r="3134" customFormat="1" x14ac:dyDescent="0.3"/>
    <row r="3135" customFormat="1" x14ac:dyDescent="0.3"/>
    <row r="3136" customFormat="1" x14ac:dyDescent="0.3"/>
    <row r="3137" customFormat="1" x14ac:dyDescent="0.3"/>
    <row r="3138" customFormat="1" x14ac:dyDescent="0.3"/>
    <row r="3139" customFormat="1" x14ac:dyDescent="0.3"/>
    <row r="3140" customFormat="1" x14ac:dyDescent="0.3"/>
    <row r="3141" customFormat="1" x14ac:dyDescent="0.3"/>
    <row r="3142" customFormat="1" x14ac:dyDescent="0.3"/>
    <row r="3143" customFormat="1" x14ac:dyDescent="0.3"/>
    <row r="3144" customFormat="1" x14ac:dyDescent="0.3"/>
    <row r="3145" customFormat="1" x14ac:dyDescent="0.3"/>
    <row r="3146" customFormat="1" x14ac:dyDescent="0.3"/>
    <row r="3147" customFormat="1" x14ac:dyDescent="0.3"/>
    <row r="3148" customFormat="1" x14ac:dyDescent="0.3"/>
    <row r="3149" customFormat="1" x14ac:dyDescent="0.3"/>
    <row r="3150" customFormat="1" x14ac:dyDescent="0.3"/>
    <row r="3151" customFormat="1" x14ac:dyDescent="0.3"/>
    <row r="3152" customFormat="1" x14ac:dyDescent="0.3"/>
    <row r="3153" customFormat="1" x14ac:dyDescent="0.3"/>
    <row r="3154" customFormat="1" x14ac:dyDescent="0.3"/>
    <row r="3155" customFormat="1" x14ac:dyDescent="0.3"/>
    <row r="3156" customFormat="1" x14ac:dyDescent="0.3"/>
    <row r="3157" customFormat="1" x14ac:dyDescent="0.3"/>
    <row r="3158" customFormat="1" x14ac:dyDescent="0.3"/>
    <row r="3159" customFormat="1" x14ac:dyDescent="0.3"/>
    <row r="3160" customFormat="1" x14ac:dyDescent="0.3"/>
    <row r="3161" customFormat="1" x14ac:dyDescent="0.3"/>
    <row r="3162" customFormat="1" x14ac:dyDescent="0.3"/>
    <row r="3163" customFormat="1" x14ac:dyDescent="0.3"/>
    <row r="3164" customFormat="1" x14ac:dyDescent="0.3"/>
    <row r="3165" customFormat="1" x14ac:dyDescent="0.3"/>
    <row r="3166" customFormat="1" x14ac:dyDescent="0.3"/>
    <row r="3167" customFormat="1" x14ac:dyDescent="0.3"/>
    <row r="3168" customFormat="1" x14ac:dyDescent="0.3"/>
    <row r="3169" customFormat="1" x14ac:dyDescent="0.3"/>
    <row r="3170" customFormat="1" x14ac:dyDescent="0.3"/>
    <row r="3171" customFormat="1" x14ac:dyDescent="0.3"/>
    <row r="3172" customFormat="1" x14ac:dyDescent="0.3"/>
    <row r="3173" customFormat="1" x14ac:dyDescent="0.3"/>
    <row r="3174" customFormat="1" x14ac:dyDescent="0.3"/>
    <row r="3175" customFormat="1" x14ac:dyDescent="0.3"/>
    <row r="3176" customFormat="1" x14ac:dyDescent="0.3"/>
    <row r="3177" customFormat="1" x14ac:dyDescent="0.3"/>
    <row r="3178" customFormat="1" x14ac:dyDescent="0.3"/>
    <row r="3179" customFormat="1" x14ac:dyDescent="0.3"/>
    <row r="3180" customFormat="1" x14ac:dyDescent="0.3"/>
    <row r="3181" customFormat="1" x14ac:dyDescent="0.3"/>
    <row r="3182" customFormat="1" x14ac:dyDescent="0.3"/>
    <row r="3183" customFormat="1" x14ac:dyDescent="0.3"/>
    <row r="3184" customFormat="1" x14ac:dyDescent="0.3"/>
    <row r="3185" customFormat="1" x14ac:dyDescent="0.3"/>
    <row r="3186" customFormat="1" x14ac:dyDescent="0.3"/>
    <row r="3187" customFormat="1" x14ac:dyDescent="0.3"/>
    <row r="3188" customFormat="1" x14ac:dyDescent="0.3"/>
    <row r="3189" customFormat="1" x14ac:dyDescent="0.3"/>
    <row r="3190" customFormat="1" x14ac:dyDescent="0.3"/>
    <row r="3191" customFormat="1" x14ac:dyDescent="0.3"/>
    <row r="3192" customFormat="1" x14ac:dyDescent="0.3"/>
    <row r="3193" customFormat="1" x14ac:dyDescent="0.3"/>
    <row r="3194" customFormat="1" x14ac:dyDescent="0.3"/>
    <row r="3195" customFormat="1" x14ac:dyDescent="0.3"/>
    <row r="3196" customFormat="1" x14ac:dyDescent="0.3"/>
    <row r="3197" customFormat="1" x14ac:dyDescent="0.3"/>
    <row r="3198" customFormat="1" x14ac:dyDescent="0.3"/>
    <row r="3199" customFormat="1" x14ac:dyDescent="0.3"/>
    <row r="3200" customFormat="1" x14ac:dyDescent="0.3"/>
    <row r="3201" customFormat="1" x14ac:dyDescent="0.3"/>
    <row r="3202" customFormat="1" x14ac:dyDescent="0.3"/>
    <row r="3203" customFormat="1" x14ac:dyDescent="0.3"/>
    <row r="3204" customFormat="1" x14ac:dyDescent="0.3"/>
    <row r="3205" customFormat="1" x14ac:dyDescent="0.3"/>
    <row r="3206" customFormat="1" x14ac:dyDescent="0.3"/>
    <row r="3207" customFormat="1" x14ac:dyDescent="0.3"/>
    <row r="3208" customFormat="1" x14ac:dyDescent="0.3"/>
    <row r="3209" customFormat="1" x14ac:dyDescent="0.3"/>
    <row r="3210" customFormat="1" x14ac:dyDescent="0.3"/>
    <row r="3211" customFormat="1" x14ac:dyDescent="0.3"/>
    <row r="3212" customFormat="1" x14ac:dyDescent="0.3"/>
    <row r="3213" customFormat="1" x14ac:dyDescent="0.3"/>
    <row r="3214" customFormat="1" x14ac:dyDescent="0.3"/>
    <row r="3215" customFormat="1" x14ac:dyDescent="0.3"/>
    <row r="3216" customFormat="1" x14ac:dyDescent="0.3"/>
    <row r="3217" customFormat="1" x14ac:dyDescent="0.3"/>
    <row r="3218" customFormat="1" x14ac:dyDescent="0.3"/>
    <row r="3219" customFormat="1" x14ac:dyDescent="0.3"/>
    <row r="3220" customFormat="1" x14ac:dyDescent="0.3"/>
    <row r="3221" customFormat="1" x14ac:dyDescent="0.3"/>
    <row r="3222" customFormat="1" x14ac:dyDescent="0.3"/>
    <row r="3223" customFormat="1" x14ac:dyDescent="0.3"/>
    <row r="3224" customFormat="1" x14ac:dyDescent="0.3"/>
    <row r="3225" customFormat="1" x14ac:dyDescent="0.3"/>
    <row r="3226" customFormat="1" x14ac:dyDescent="0.3"/>
    <row r="3227" customFormat="1" x14ac:dyDescent="0.3"/>
    <row r="3228" customFormat="1" x14ac:dyDescent="0.3"/>
    <row r="3229" customFormat="1" x14ac:dyDescent="0.3"/>
    <row r="3230" customFormat="1" x14ac:dyDescent="0.3"/>
    <row r="3231" customFormat="1" x14ac:dyDescent="0.3"/>
    <row r="3232" customFormat="1" x14ac:dyDescent="0.3"/>
    <row r="3233" customFormat="1" x14ac:dyDescent="0.3"/>
    <row r="3234" customFormat="1" x14ac:dyDescent="0.3"/>
    <row r="3235" customFormat="1" x14ac:dyDescent="0.3"/>
    <row r="3236" customFormat="1" x14ac:dyDescent="0.3"/>
    <row r="3237" customFormat="1" x14ac:dyDescent="0.3"/>
    <row r="3238" customFormat="1" x14ac:dyDescent="0.3"/>
    <row r="3239" customFormat="1" x14ac:dyDescent="0.3"/>
    <row r="3240" customFormat="1" x14ac:dyDescent="0.3"/>
    <row r="3241" customFormat="1" x14ac:dyDescent="0.3"/>
    <row r="3242" customFormat="1" x14ac:dyDescent="0.3"/>
    <row r="3243" customFormat="1" x14ac:dyDescent="0.3"/>
    <row r="3244" customFormat="1" x14ac:dyDescent="0.3"/>
    <row r="3245" customFormat="1" x14ac:dyDescent="0.3"/>
    <row r="3246" customFormat="1" x14ac:dyDescent="0.3"/>
    <row r="3247" customFormat="1" x14ac:dyDescent="0.3"/>
    <row r="3248" customFormat="1" x14ac:dyDescent="0.3"/>
    <row r="3249" customFormat="1" x14ac:dyDescent="0.3"/>
    <row r="3250" customFormat="1" x14ac:dyDescent="0.3"/>
    <row r="3251" customFormat="1" x14ac:dyDescent="0.3"/>
    <row r="3252" customFormat="1" x14ac:dyDescent="0.3"/>
    <row r="3253" customFormat="1" x14ac:dyDescent="0.3"/>
    <row r="3254" customFormat="1" x14ac:dyDescent="0.3"/>
    <row r="3255" customFormat="1" x14ac:dyDescent="0.3"/>
    <row r="3256" customFormat="1" x14ac:dyDescent="0.3"/>
    <row r="3257" customFormat="1" x14ac:dyDescent="0.3"/>
    <row r="3258" customFormat="1" x14ac:dyDescent="0.3"/>
    <row r="3259" customFormat="1" x14ac:dyDescent="0.3"/>
    <row r="3260" customFormat="1" x14ac:dyDescent="0.3"/>
    <row r="3261" customFormat="1" x14ac:dyDescent="0.3"/>
    <row r="3262" customFormat="1" x14ac:dyDescent="0.3"/>
    <row r="3263" customFormat="1" x14ac:dyDescent="0.3"/>
    <row r="3264" customFormat="1" x14ac:dyDescent="0.3"/>
    <row r="3265" customFormat="1" x14ac:dyDescent="0.3"/>
    <row r="3266" customFormat="1" x14ac:dyDescent="0.3"/>
    <row r="3267" customFormat="1" x14ac:dyDescent="0.3"/>
    <row r="3268" customFormat="1" x14ac:dyDescent="0.3"/>
    <row r="3269" customFormat="1" x14ac:dyDescent="0.3"/>
    <row r="3270" customFormat="1" x14ac:dyDescent="0.3"/>
    <row r="3271" customFormat="1" x14ac:dyDescent="0.3"/>
    <row r="3272" customFormat="1" x14ac:dyDescent="0.3"/>
    <row r="3273" customFormat="1" x14ac:dyDescent="0.3"/>
    <row r="3274" customFormat="1" x14ac:dyDescent="0.3"/>
    <row r="3275" customFormat="1" x14ac:dyDescent="0.3"/>
    <row r="3276" customFormat="1" x14ac:dyDescent="0.3"/>
    <row r="3277" customFormat="1" x14ac:dyDescent="0.3"/>
    <row r="3278" customFormat="1" x14ac:dyDescent="0.3"/>
    <row r="3279" customFormat="1" x14ac:dyDescent="0.3"/>
    <row r="3280" customFormat="1" x14ac:dyDescent="0.3"/>
    <row r="3281" customFormat="1" x14ac:dyDescent="0.3"/>
    <row r="3282" customFormat="1" x14ac:dyDescent="0.3"/>
    <row r="3283" customFormat="1" x14ac:dyDescent="0.3"/>
    <row r="3284" customFormat="1" x14ac:dyDescent="0.3"/>
    <row r="3285" customFormat="1" x14ac:dyDescent="0.3"/>
    <row r="3286" customFormat="1" x14ac:dyDescent="0.3"/>
    <row r="3287" customFormat="1" x14ac:dyDescent="0.3"/>
    <row r="3288" customFormat="1" x14ac:dyDescent="0.3"/>
    <row r="3289" customFormat="1" x14ac:dyDescent="0.3"/>
    <row r="3290" customFormat="1" x14ac:dyDescent="0.3"/>
    <row r="3291" customFormat="1" x14ac:dyDescent="0.3"/>
    <row r="3292" customFormat="1" x14ac:dyDescent="0.3"/>
    <row r="3293" customFormat="1" x14ac:dyDescent="0.3"/>
    <row r="3294" customFormat="1" x14ac:dyDescent="0.3"/>
    <row r="3295" customFormat="1" x14ac:dyDescent="0.3"/>
    <row r="3296" customFormat="1" x14ac:dyDescent="0.3"/>
    <row r="3297" customFormat="1" x14ac:dyDescent="0.3"/>
    <row r="3298" customFormat="1" x14ac:dyDescent="0.3"/>
    <row r="3299" customFormat="1" x14ac:dyDescent="0.3"/>
    <row r="3300" customFormat="1" x14ac:dyDescent="0.3"/>
    <row r="3301" customFormat="1" x14ac:dyDescent="0.3"/>
    <row r="3302" customFormat="1" x14ac:dyDescent="0.3"/>
    <row r="3303" customFormat="1" x14ac:dyDescent="0.3"/>
    <row r="3304" customFormat="1" x14ac:dyDescent="0.3"/>
    <row r="3305" customFormat="1" x14ac:dyDescent="0.3"/>
    <row r="3306" customFormat="1" x14ac:dyDescent="0.3"/>
    <row r="3307" customFormat="1" x14ac:dyDescent="0.3"/>
    <row r="3308" customFormat="1" x14ac:dyDescent="0.3"/>
    <row r="3309" customFormat="1" x14ac:dyDescent="0.3"/>
    <row r="3310" customFormat="1" x14ac:dyDescent="0.3"/>
    <row r="3311" customFormat="1" x14ac:dyDescent="0.3"/>
    <row r="3312" customFormat="1" x14ac:dyDescent="0.3"/>
    <row r="3313" customFormat="1" x14ac:dyDescent="0.3"/>
    <row r="3314" customFormat="1" x14ac:dyDescent="0.3"/>
    <row r="3315" customFormat="1" x14ac:dyDescent="0.3"/>
    <row r="3316" customFormat="1" x14ac:dyDescent="0.3"/>
    <row r="3317" customFormat="1" x14ac:dyDescent="0.3"/>
    <row r="3318" customFormat="1" x14ac:dyDescent="0.3"/>
    <row r="3319" customFormat="1" x14ac:dyDescent="0.3"/>
    <row r="3320" customFormat="1" x14ac:dyDescent="0.3"/>
    <row r="3321" customFormat="1" x14ac:dyDescent="0.3"/>
    <row r="3322" customFormat="1" x14ac:dyDescent="0.3"/>
    <row r="3323" customFormat="1" x14ac:dyDescent="0.3"/>
    <row r="3324" customFormat="1" x14ac:dyDescent="0.3"/>
    <row r="3325" customFormat="1" x14ac:dyDescent="0.3"/>
    <row r="3326" customFormat="1" x14ac:dyDescent="0.3"/>
    <row r="3327" customFormat="1" x14ac:dyDescent="0.3"/>
    <row r="3328" customFormat="1" x14ac:dyDescent="0.3"/>
    <row r="3329" customFormat="1" x14ac:dyDescent="0.3"/>
    <row r="3330" customFormat="1" x14ac:dyDescent="0.3"/>
    <row r="3331" customFormat="1" x14ac:dyDescent="0.3"/>
    <row r="3332" customFormat="1" x14ac:dyDescent="0.3"/>
    <row r="3333" customFormat="1" x14ac:dyDescent="0.3"/>
    <row r="3334" customFormat="1" x14ac:dyDescent="0.3"/>
    <row r="3335" customFormat="1" x14ac:dyDescent="0.3"/>
    <row r="3336" customFormat="1" x14ac:dyDescent="0.3"/>
    <row r="3337" customFormat="1" x14ac:dyDescent="0.3"/>
    <row r="3338" customFormat="1" x14ac:dyDescent="0.3"/>
    <row r="3339" customFormat="1" x14ac:dyDescent="0.3"/>
    <row r="3340" customFormat="1" x14ac:dyDescent="0.3"/>
    <row r="3341" customFormat="1" x14ac:dyDescent="0.3"/>
    <row r="3342" customFormat="1" x14ac:dyDescent="0.3"/>
    <row r="3343" customFormat="1" x14ac:dyDescent="0.3"/>
    <row r="3344" customFormat="1" x14ac:dyDescent="0.3"/>
    <row r="3345" customFormat="1" x14ac:dyDescent="0.3"/>
    <row r="3346" customFormat="1" x14ac:dyDescent="0.3"/>
    <row r="3347" customFormat="1" x14ac:dyDescent="0.3"/>
    <row r="3348" customFormat="1" x14ac:dyDescent="0.3"/>
    <row r="3349" customFormat="1" x14ac:dyDescent="0.3"/>
    <row r="3350" customFormat="1" x14ac:dyDescent="0.3"/>
    <row r="3351" customFormat="1" x14ac:dyDescent="0.3"/>
    <row r="3352" customFormat="1" x14ac:dyDescent="0.3"/>
    <row r="3353" customFormat="1" x14ac:dyDescent="0.3"/>
    <row r="3354" customFormat="1" x14ac:dyDescent="0.3"/>
    <row r="3355" customFormat="1" x14ac:dyDescent="0.3"/>
    <row r="3356" customFormat="1" x14ac:dyDescent="0.3"/>
    <row r="3357" customFormat="1" x14ac:dyDescent="0.3"/>
    <row r="3358" customFormat="1" x14ac:dyDescent="0.3"/>
    <row r="3359" customFormat="1" x14ac:dyDescent="0.3"/>
    <row r="3360" customFormat="1" x14ac:dyDescent="0.3"/>
    <row r="3361" customFormat="1" x14ac:dyDescent="0.3"/>
    <row r="3362" customFormat="1" x14ac:dyDescent="0.3"/>
    <row r="3363" customFormat="1" x14ac:dyDescent="0.3"/>
    <row r="3364" customFormat="1" x14ac:dyDescent="0.3"/>
    <row r="3365" customFormat="1" x14ac:dyDescent="0.3"/>
    <row r="3366" customFormat="1" x14ac:dyDescent="0.3"/>
    <row r="3367" customFormat="1" x14ac:dyDescent="0.3"/>
    <row r="3368" customFormat="1" x14ac:dyDescent="0.3"/>
    <row r="3369" customFormat="1" x14ac:dyDescent="0.3"/>
    <row r="3370" customFormat="1" x14ac:dyDescent="0.3"/>
    <row r="3371" customFormat="1" x14ac:dyDescent="0.3"/>
    <row r="3372" customFormat="1" x14ac:dyDescent="0.3"/>
    <row r="3373" customFormat="1" x14ac:dyDescent="0.3"/>
    <row r="3374" customFormat="1" x14ac:dyDescent="0.3"/>
    <row r="3375" customFormat="1" x14ac:dyDescent="0.3"/>
    <row r="3376" customFormat="1" x14ac:dyDescent="0.3"/>
    <row r="3377" customFormat="1" x14ac:dyDescent="0.3"/>
    <row r="3378" customFormat="1" x14ac:dyDescent="0.3"/>
    <row r="3379" customFormat="1" x14ac:dyDescent="0.3"/>
    <row r="3380" customFormat="1" x14ac:dyDescent="0.3"/>
    <row r="3381" customFormat="1" x14ac:dyDescent="0.3"/>
    <row r="3382" customFormat="1" x14ac:dyDescent="0.3"/>
    <row r="3383" customFormat="1" x14ac:dyDescent="0.3"/>
    <row r="3384" customFormat="1" x14ac:dyDescent="0.3"/>
    <row r="3385" customFormat="1" x14ac:dyDescent="0.3"/>
    <row r="3386" customFormat="1" x14ac:dyDescent="0.3"/>
    <row r="3387" customFormat="1" x14ac:dyDescent="0.3"/>
    <row r="3388" customFormat="1" x14ac:dyDescent="0.3"/>
    <row r="3389" customFormat="1" x14ac:dyDescent="0.3"/>
    <row r="3390" customFormat="1" x14ac:dyDescent="0.3"/>
    <row r="3391" customFormat="1" x14ac:dyDescent="0.3"/>
    <row r="3392" customFormat="1" x14ac:dyDescent="0.3"/>
    <row r="3393" customFormat="1" x14ac:dyDescent="0.3"/>
    <row r="3394" customFormat="1" x14ac:dyDescent="0.3"/>
    <row r="3395" customFormat="1" x14ac:dyDescent="0.3"/>
    <row r="3396" customFormat="1" x14ac:dyDescent="0.3"/>
    <row r="3397" customFormat="1" x14ac:dyDescent="0.3"/>
    <row r="3398" customFormat="1" x14ac:dyDescent="0.3"/>
    <row r="3399" customFormat="1" x14ac:dyDescent="0.3"/>
    <row r="3400" customFormat="1" x14ac:dyDescent="0.3"/>
    <row r="3401" customFormat="1" x14ac:dyDescent="0.3"/>
    <row r="3402" customFormat="1" x14ac:dyDescent="0.3"/>
    <row r="3403" customFormat="1" x14ac:dyDescent="0.3"/>
    <row r="3404" customFormat="1" x14ac:dyDescent="0.3"/>
    <row r="3405" customFormat="1" x14ac:dyDescent="0.3"/>
    <row r="3406" customFormat="1" x14ac:dyDescent="0.3"/>
    <row r="3407" customFormat="1" x14ac:dyDescent="0.3"/>
    <row r="3408" customFormat="1" x14ac:dyDescent="0.3"/>
    <row r="3409" customFormat="1" x14ac:dyDescent="0.3"/>
    <row r="3410" customFormat="1" x14ac:dyDescent="0.3"/>
    <row r="3411" customFormat="1" x14ac:dyDescent="0.3"/>
    <row r="3412" customFormat="1" x14ac:dyDescent="0.3"/>
    <row r="3413" customFormat="1" x14ac:dyDescent="0.3"/>
    <row r="3414" customFormat="1" x14ac:dyDescent="0.3"/>
    <row r="3415" customFormat="1" x14ac:dyDescent="0.3"/>
    <row r="3416" customFormat="1" x14ac:dyDescent="0.3"/>
    <row r="3417" customFormat="1" x14ac:dyDescent="0.3"/>
    <row r="3418" customFormat="1" x14ac:dyDescent="0.3"/>
    <row r="3419" customFormat="1" x14ac:dyDescent="0.3"/>
    <row r="3420" customFormat="1" x14ac:dyDescent="0.3"/>
    <row r="3421" customFormat="1" x14ac:dyDescent="0.3"/>
    <row r="3422" customFormat="1" x14ac:dyDescent="0.3"/>
    <row r="3423" customFormat="1" x14ac:dyDescent="0.3"/>
    <row r="3424" customFormat="1" x14ac:dyDescent="0.3"/>
    <row r="3425" customFormat="1" x14ac:dyDescent="0.3"/>
    <row r="3426" customFormat="1" x14ac:dyDescent="0.3"/>
    <row r="3427" customFormat="1" x14ac:dyDescent="0.3"/>
    <row r="3428" customFormat="1" x14ac:dyDescent="0.3"/>
    <row r="3429" customFormat="1" x14ac:dyDescent="0.3"/>
    <row r="3430" customFormat="1" x14ac:dyDescent="0.3"/>
    <row r="3431" customFormat="1" x14ac:dyDescent="0.3"/>
    <row r="3432" customFormat="1" x14ac:dyDescent="0.3"/>
    <row r="3433" customFormat="1" x14ac:dyDescent="0.3"/>
    <row r="3434" customFormat="1" x14ac:dyDescent="0.3"/>
    <row r="3435" customFormat="1" x14ac:dyDescent="0.3"/>
    <row r="3436" customFormat="1" x14ac:dyDescent="0.3"/>
    <row r="3437" customFormat="1" x14ac:dyDescent="0.3"/>
    <row r="3438" customFormat="1" x14ac:dyDescent="0.3"/>
    <row r="3439" customFormat="1" x14ac:dyDescent="0.3"/>
    <row r="3440" customFormat="1" x14ac:dyDescent="0.3"/>
    <row r="3441" customFormat="1" x14ac:dyDescent="0.3"/>
    <row r="3442" customFormat="1" x14ac:dyDescent="0.3"/>
    <row r="3443" customFormat="1" x14ac:dyDescent="0.3"/>
    <row r="3444" customFormat="1" x14ac:dyDescent="0.3"/>
    <row r="3445" customFormat="1" x14ac:dyDescent="0.3"/>
    <row r="3446" customFormat="1" x14ac:dyDescent="0.3"/>
    <row r="3447" customFormat="1" x14ac:dyDescent="0.3"/>
    <row r="3448" customFormat="1" x14ac:dyDescent="0.3"/>
    <row r="3449" customFormat="1" x14ac:dyDescent="0.3"/>
    <row r="3450" customFormat="1" x14ac:dyDescent="0.3"/>
    <row r="3451" customFormat="1" x14ac:dyDescent="0.3"/>
    <row r="3452" customFormat="1" x14ac:dyDescent="0.3"/>
    <row r="3453" customFormat="1" x14ac:dyDescent="0.3"/>
    <row r="3454" customFormat="1" x14ac:dyDescent="0.3"/>
    <row r="3455" customFormat="1" x14ac:dyDescent="0.3"/>
    <row r="3456" customFormat="1" x14ac:dyDescent="0.3"/>
    <row r="3457" customFormat="1" x14ac:dyDescent="0.3"/>
    <row r="3458" customFormat="1" x14ac:dyDescent="0.3"/>
    <row r="3459" customFormat="1" x14ac:dyDescent="0.3"/>
    <row r="3460" customFormat="1" x14ac:dyDescent="0.3"/>
    <row r="3461" customFormat="1" x14ac:dyDescent="0.3"/>
    <row r="3462" customFormat="1" x14ac:dyDescent="0.3"/>
    <row r="3463" customFormat="1" x14ac:dyDescent="0.3"/>
    <row r="3464" customFormat="1" x14ac:dyDescent="0.3"/>
    <row r="3465" customFormat="1" x14ac:dyDescent="0.3"/>
    <row r="3466" customFormat="1" x14ac:dyDescent="0.3"/>
    <row r="3467" customFormat="1" x14ac:dyDescent="0.3"/>
    <row r="3468" customFormat="1" x14ac:dyDescent="0.3"/>
    <row r="3469" customFormat="1" x14ac:dyDescent="0.3"/>
    <row r="3470" customFormat="1" x14ac:dyDescent="0.3"/>
    <row r="3471" customFormat="1" x14ac:dyDescent="0.3"/>
    <row r="3472" customFormat="1" x14ac:dyDescent="0.3"/>
    <row r="3473" customFormat="1" x14ac:dyDescent="0.3"/>
    <row r="3474" customFormat="1" x14ac:dyDescent="0.3"/>
    <row r="3475" customFormat="1" x14ac:dyDescent="0.3"/>
    <row r="3476" customFormat="1" x14ac:dyDescent="0.3"/>
    <row r="3477" customFormat="1" x14ac:dyDescent="0.3"/>
    <row r="3478" customFormat="1" x14ac:dyDescent="0.3"/>
    <row r="3479" customFormat="1" x14ac:dyDescent="0.3"/>
    <row r="3480" customFormat="1" x14ac:dyDescent="0.3"/>
    <row r="3481" customFormat="1" x14ac:dyDescent="0.3"/>
    <row r="3482" customFormat="1" x14ac:dyDescent="0.3"/>
    <row r="3483" customFormat="1" x14ac:dyDescent="0.3"/>
    <row r="3484" customFormat="1" x14ac:dyDescent="0.3"/>
    <row r="3485" customFormat="1" x14ac:dyDescent="0.3"/>
    <row r="3486" customFormat="1" x14ac:dyDescent="0.3"/>
    <row r="3487" customFormat="1" x14ac:dyDescent="0.3"/>
    <row r="3488" customFormat="1" x14ac:dyDescent="0.3"/>
    <row r="3489" customFormat="1" x14ac:dyDescent="0.3"/>
    <row r="3490" customFormat="1" x14ac:dyDescent="0.3"/>
    <row r="3491" customFormat="1" x14ac:dyDescent="0.3"/>
    <row r="3492" customFormat="1" x14ac:dyDescent="0.3"/>
    <row r="3493" customFormat="1" x14ac:dyDescent="0.3"/>
    <row r="3494" customFormat="1" x14ac:dyDescent="0.3"/>
    <row r="3495" customFormat="1" x14ac:dyDescent="0.3"/>
    <row r="3496" customFormat="1" x14ac:dyDescent="0.3"/>
    <row r="3497" customFormat="1" x14ac:dyDescent="0.3"/>
    <row r="3498" customFormat="1" x14ac:dyDescent="0.3"/>
    <row r="3499" customFormat="1" x14ac:dyDescent="0.3"/>
    <row r="3500" customFormat="1" x14ac:dyDescent="0.3"/>
    <row r="3501" customFormat="1" x14ac:dyDescent="0.3"/>
    <row r="3502" customFormat="1" x14ac:dyDescent="0.3"/>
    <row r="3503" customFormat="1" x14ac:dyDescent="0.3"/>
    <row r="3504" customFormat="1" x14ac:dyDescent="0.3"/>
    <row r="3505" customFormat="1" x14ac:dyDescent="0.3"/>
    <row r="3506" customFormat="1" x14ac:dyDescent="0.3"/>
    <row r="3507" customFormat="1" x14ac:dyDescent="0.3"/>
    <row r="3508" customFormat="1" x14ac:dyDescent="0.3"/>
    <row r="3509" customFormat="1" x14ac:dyDescent="0.3"/>
    <row r="3510" customFormat="1" x14ac:dyDescent="0.3"/>
    <row r="3511" customFormat="1" x14ac:dyDescent="0.3"/>
    <row r="3512" customFormat="1" x14ac:dyDescent="0.3"/>
    <row r="3513" customFormat="1" x14ac:dyDescent="0.3"/>
    <row r="3514" customFormat="1" x14ac:dyDescent="0.3"/>
    <row r="3515" customFormat="1" x14ac:dyDescent="0.3"/>
    <row r="3516" customFormat="1" x14ac:dyDescent="0.3"/>
    <row r="3517" customFormat="1" x14ac:dyDescent="0.3"/>
    <row r="3518" customFormat="1" x14ac:dyDescent="0.3"/>
    <row r="3519" customFormat="1" x14ac:dyDescent="0.3"/>
    <row r="3520" customFormat="1" x14ac:dyDescent="0.3"/>
    <row r="3521" customFormat="1" x14ac:dyDescent="0.3"/>
    <row r="3522" customFormat="1" x14ac:dyDescent="0.3"/>
    <row r="3523" customFormat="1" x14ac:dyDescent="0.3"/>
    <row r="3524" customFormat="1" x14ac:dyDescent="0.3"/>
    <row r="3525" customFormat="1" x14ac:dyDescent="0.3"/>
    <row r="3526" customFormat="1" x14ac:dyDescent="0.3"/>
    <row r="3527" customFormat="1" x14ac:dyDescent="0.3"/>
    <row r="3528" customFormat="1" x14ac:dyDescent="0.3"/>
    <row r="3529" customFormat="1" x14ac:dyDescent="0.3"/>
    <row r="3530" customFormat="1" x14ac:dyDescent="0.3"/>
    <row r="3531" customFormat="1" x14ac:dyDescent="0.3"/>
    <row r="3532" customFormat="1" x14ac:dyDescent="0.3"/>
    <row r="3533" customFormat="1" x14ac:dyDescent="0.3"/>
    <row r="3534" customFormat="1" x14ac:dyDescent="0.3"/>
    <row r="3535" customFormat="1" x14ac:dyDescent="0.3"/>
    <row r="3536" customFormat="1" x14ac:dyDescent="0.3"/>
    <row r="3537" customFormat="1" x14ac:dyDescent="0.3"/>
    <row r="3538" customFormat="1" x14ac:dyDescent="0.3"/>
    <row r="3539" customFormat="1" x14ac:dyDescent="0.3"/>
    <row r="3540" customFormat="1" x14ac:dyDescent="0.3"/>
    <row r="3541" customFormat="1" x14ac:dyDescent="0.3"/>
    <row r="3542" customFormat="1" x14ac:dyDescent="0.3"/>
    <row r="3543" customFormat="1" x14ac:dyDescent="0.3"/>
    <row r="3544" customFormat="1" x14ac:dyDescent="0.3"/>
    <row r="3545" customFormat="1" x14ac:dyDescent="0.3"/>
    <row r="3546" customFormat="1" x14ac:dyDescent="0.3"/>
    <row r="3547" customFormat="1" x14ac:dyDescent="0.3"/>
    <row r="3548" customFormat="1" x14ac:dyDescent="0.3"/>
    <row r="3549" customFormat="1" x14ac:dyDescent="0.3"/>
    <row r="3550" customFormat="1" x14ac:dyDescent="0.3"/>
    <row r="3551" customFormat="1" x14ac:dyDescent="0.3"/>
    <row r="3552" customFormat="1" x14ac:dyDescent="0.3"/>
    <row r="3553" customFormat="1" x14ac:dyDescent="0.3"/>
    <row r="3554" customFormat="1" x14ac:dyDescent="0.3"/>
    <row r="3555" customFormat="1" x14ac:dyDescent="0.3"/>
    <row r="3556" customFormat="1" x14ac:dyDescent="0.3"/>
    <row r="3557" customFormat="1" x14ac:dyDescent="0.3"/>
    <row r="3558" customFormat="1" x14ac:dyDescent="0.3"/>
    <row r="3559" customFormat="1" x14ac:dyDescent="0.3"/>
    <row r="3560" customFormat="1" x14ac:dyDescent="0.3"/>
    <row r="3561" customFormat="1" x14ac:dyDescent="0.3"/>
    <row r="3562" customFormat="1" x14ac:dyDescent="0.3"/>
    <row r="3563" customFormat="1" x14ac:dyDescent="0.3"/>
    <row r="3564" customFormat="1" x14ac:dyDescent="0.3"/>
    <row r="3565" customFormat="1" x14ac:dyDescent="0.3"/>
    <row r="3566" customFormat="1" x14ac:dyDescent="0.3"/>
    <row r="3567" customFormat="1" x14ac:dyDescent="0.3"/>
    <row r="3568" customFormat="1" x14ac:dyDescent="0.3"/>
    <row r="3569" customFormat="1" x14ac:dyDescent="0.3"/>
    <row r="3570" customFormat="1" x14ac:dyDescent="0.3"/>
    <row r="3571" customFormat="1" x14ac:dyDescent="0.3"/>
    <row r="3572" customFormat="1" x14ac:dyDescent="0.3"/>
    <row r="3573" customFormat="1" x14ac:dyDescent="0.3"/>
    <row r="3574" customFormat="1" x14ac:dyDescent="0.3"/>
    <row r="3575" customFormat="1" x14ac:dyDescent="0.3"/>
    <row r="3576" customFormat="1" x14ac:dyDescent="0.3"/>
    <row r="3577" customFormat="1" x14ac:dyDescent="0.3"/>
    <row r="3578" customFormat="1" x14ac:dyDescent="0.3"/>
    <row r="3579" customFormat="1" x14ac:dyDescent="0.3"/>
    <row r="3580" customFormat="1" x14ac:dyDescent="0.3"/>
    <row r="3581" customFormat="1" x14ac:dyDescent="0.3"/>
    <row r="3582" customFormat="1" x14ac:dyDescent="0.3"/>
    <row r="3583" customFormat="1" x14ac:dyDescent="0.3"/>
    <row r="3584" customFormat="1" x14ac:dyDescent="0.3"/>
    <row r="3585" customFormat="1" x14ac:dyDescent="0.3"/>
    <row r="3586" customFormat="1" x14ac:dyDescent="0.3"/>
    <row r="3587" customFormat="1" x14ac:dyDescent="0.3"/>
    <row r="3588" customFormat="1" x14ac:dyDescent="0.3"/>
    <row r="3589" customFormat="1" x14ac:dyDescent="0.3"/>
    <row r="3590" customFormat="1" x14ac:dyDescent="0.3"/>
    <row r="3591" customFormat="1" x14ac:dyDescent="0.3"/>
    <row r="3592" customFormat="1" x14ac:dyDescent="0.3"/>
    <row r="3593" customFormat="1" x14ac:dyDescent="0.3"/>
    <row r="3594" customFormat="1" x14ac:dyDescent="0.3"/>
    <row r="3595" customFormat="1" x14ac:dyDescent="0.3"/>
    <row r="3596" customFormat="1" x14ac:dyDescent="0.3"/>
    <row r="3597" customFormat="1" x14ac:dyDescent="0.3"/>
    <row r="3598" customFormat="1" x14ac:dyDescent="0.3"/>
    <row r="3599" customFormat="1" x14ac:dyDescent="0.3"/>
    <row r="3600" customFormat="1" x14ac:dyDescent="0.3"/>
    <row r="3601" customFormat="1" x14ac:dyDescent="0.3"/>
    <row r="3602" customFormat="1" x14ac:dyDescent="0.3"/>
    <row r="3603" customFormat="1" x14ac:dyDescent="0.3"/>
    <row r="3604" customFormat="1" x14ac:dyDescent="0.3"/>
    <row r="3605" customFormat="1" x14ac:dyDescent="0.3"/>
    <row r="3606" customFormat="1" x14ac:dyDescent="0.3"/>
    <row r="3607" customFormat="1" x14ac:dyDescent="0.3"/>
    <row r="3608" customFormat="1" x14ac:dyDescent="0.3"/>
    <row r="3609" customFormat="1" x14ac:dyDescent="0.3"/>
    <row r="3610" customFormat="1" x14ac:dyDescent="0.3"/>
    <row r="3611" customFormat="1" x14ac:dyDescent="0.3"/>
    <row r="3612" customFormat="1" x14ac:dyDescent="0.3"/>
    <row r="3613" customFormat="1" x14ac:dyDescent="0.3"/>
    <row r="3614" customFormat="1" x14ac:dyDescent="0.3"/>
    <row r="3615" customFormat="1" x14ac:dyDescent="0.3"/>
    <row r="3616" customFormat="1" x14ac:dyDescent="0.3"/>
    <row r="3617" customFormat="1" x14ac:dyDescent="0.3"/>
    <row r="3618" customFormat="1" x14ac:dyDescent="0.3"/>
    <row r="3619" customFormat="1" x14ac:dyDescent="0.3"/>
    <row r="3620" customFormat="1" x14ac:dyDescent="0.3"/>
    <row r="3621" customFormat="1" x14ac:dyDescent="0.3"/>
    <row r="3622" customFormat="1" x14ac:dyDescent="0.3"/>
    <row r="3623" customFormat="1" x14ac:dyDescent="0.3"/>
    <row r="3624" customFormat="1" x14ac:dyDescent="0.3"/>
    <row r="3625" customFormat="1" x14ac:dyDescent="0.3"/>
    <row r="3626" customFormat="1" x14ac:dyDescent="0.3"/>
    <row r="3627" customFormat="1" x14ac:dyDescent="0.3"/>
    <row r="3628" customFormat="1" x14ac:dyDescent="0.3"/>
    <row r="3629" customFormat="1" x14ac:dyDescent="0.3"/>
    <row r="3630" customFormat="1" x14ac:dyDescent="0.3"/>
    <row r="3631" customFormat="1" x14ac:dyDescent="0.3"/>
    <row r="3632" customFormat="1" x14ac:dyDescent="0.3"/>
    <row r="3633" customFormat="1" x14ac:dyDescent="0.3"/>
    <row r="3634" customFormat="1" x14ac:dyDescent="0.3"/>
    <row r="3635" customFormat="1" x14ac:dyDescent="0.3"/>
    <row r="3636" customFormat="1" x14ac:dyDescent="0.3"/>
    <row r="3637" customFormat="1" x14ac:dyDescent="0.3"/>
    <row r="3638" customFormat="1" x14ac:dyDescent="0.3"/>
    <row r="3639" customFormat="1" x14ac:dyDescent="0.3"/>
    <row r="3640" customFormat="1" x14ac:dyDescent="0.3"/>
    <row r="3641" customFormat="1" x14ac:dyDescent="0.3"/>
    <row r="3642" customFormat="1" x14ac:dyDescent="0.3"/>
    <row r="3643" customFormat="1" x14ac:dyDescent="0.3"/>
    <row r="3644" customFormat="1" x14ac:dyDescent="0.3"/>
    <row r="3645" customFormat="1" x14ac:dyDescent="0.3"/>
    <row r="3646" customFormat="1" x14ac:dyDescent="0.3"/>
    <row r="3647" customFormat="1" x14ac:dyDescent="0.3"/>
    <row r="3648" customFormat="1" x14ac:dyDescent="0.3"/>
    <row r="3649" customFormat="1" x14ac:dyDescent="0.3"/>
    <row r="3650" customFormat="1" x14ac:dyDescent="0.3"/>
    <row r="3651" customFormat="1" x14ac:dyDescent="0.3"/>
    <row r="3652" customFormat="1" x14ac:dyDescent="0.3"/>
    <row r="3653" customFormat="1" x14ac:dyDescent="0.3"/>
    <row r="3654" customFormat="1" x14ac:dyDescent="0.3"/>
    <row r="3655" customFormat="1" x14ac:dyDescent="0.3"/>
    <row r="3656" customFormat="1" x14ac:dyDescent="0.3"/>
    <row r="3657" customFormat="1" x14ac:dyDescent="0.3"/>
    <row r="3658" customFormat="1" x14ac:dyDescent="0.3"/>
    <row r="3659" customFormat="1" x14ac:dyDescent="0.3"/>
    <row r="3660" customFormat="1" x14ac:dyDescent="0.3"/>
    <row r="3661" customFormat="1" x14ac:dyDescent="0.3"/>
    <row r="3662" customFormat="1" x14ac:dyDescent="0.3"/>
    <row r="3663" customFormat="1" x14ac:dyDescent="0.3"/>
    <row r="3664" customFormat="1" x14ac:dyDescent="0.3"/>
    <row r="3665" customFormat="1" x14ac:dyDescent="0.3"/>
    <row r="3666" customFormat="1" x14ac:dyDescent="0.3"/>
    <row r="3667" customFormat="1" x14ac:dyDescent="0.3"/>
    <row r="3668" customFormat="1" x14ac:dyDescent="0.3"/>
    <row r="3669" customFormat="1" x14ac:dyDescent="0.3"/>
    <row r="3670" customFormat="1" x14ac:dyDescent="0.3"/>
    <row r="3671" customFormat="1" x14ac:dyDescent="0.3"/>
    <row r="3672" customFormat="1" x14ac:dyDescent="0.3"/>
    <row r="3673" customFormat="1" x14ac:dyDescent="0.3"/>
    <row r="3674" customFormat="1" x14ac:dyDescent="0.3"/>
    <row r="3675" customFormat="1" x14ac:dyDescent="0.3"/>
    <row r="3676" customFormat="1" x14ac:dyDescent="0.3"/>
    <row r="3677" customFormat="1" x14ac:dyDescent="0.3"/>
    <row r="3678" customFormat="1" x14ac:dyDescent="0.3"/>
    <row r="3679" customFormat="1" x14ac:dyDescent="0.3"/>
    <row r="3680" customFormat="1" x14ac:dyDescent="0.3"/>
    <row r="3681" customFormat="1" x14ac:dyDescent="0.3"/>
    <row r="3682" customFormat="1" x14ac:dyDescent="0.3"/>
    <row r="3683" customFormat="1" x14ac:dyDescent="0.3"/>
    <row r="3684" customFormat="1" x14ac:dyDescent="0.3"/>
    <row r="3685" customFormat="1" x14ac:dyDescent="0.3"/>
    <row r="3686" customFormat="1" x14ac:dyDescent="0.3"/>
    <row r="3687" customFormat="1" x14ac:dyDescent="0.3"/>
    <row r="3688" customFormat="1" x14ac:dyDescent="0.3"/>
    <row r="3689" customFormat="1" x14ac:dyDescent="0.3"/>
    <row r="3690" customFormat="1" x14ac:dyDescent="0.3"/>
    <row r="3691" customFormat="1" x14ac:dyDescent="0.3"/>
    <row r="3692" customFormat="1" x14ac:dyDescent="0.3"/>
    <row r="3693" customFormat="1" x14ac:dyDescent="0.3"/>
    <row r="3694" customFormat="1" x14ac:dyDescent="0.3"/>
    <row r="3695" customFormat="1" x14ac:dyDescent="0.3"/>
    <row r="3696" customFormat="1" x14ac:dyDescent="0.3"/>
    <row r="3697" customFormat="1" x14ac:dyDescent="0.3"/>
    <row r="3698" customFormat="1" x14ac:dyDescent="0.3"/>
    <row r="3699" customFormat="1" x14ac:dyDescent="0.3"/>
    <row r="3700" customFormat="1" x14ac:dyDescent="0.3"/>
    <row r="3701" customFormat="1" x14ac:dyDescent="0.3"/>
    <row r="3702" customFormat="1" x14ac:dyDescent="0.3"/>
    <row r="3703" customFormat="1" x14ac:dyDescent="0.3"/>
    <row r="3704" customFormat="1" x14ac:dyDescent="0.3"/>
    <row r="3705" customFormat="1" x14ac:dyDescent="0.3"/>
    <row r="3706" customFormat="1" x14ac:dyDescent="0.3"/>
    <row r="3707" customFormat="1" x14ac:dyDescent="0.3"/>
    <row r="3708" customFormat="1" x14ac:dyDescent="0.3"/>
    <row r="3709" customFormat="1" x14ac:dyDescent="0.3"/>
    <row r="3710" customFormat="1" x14ac:dyDescent="0.3"/>
    <row r="3711" customFormat="1" x14ac:dyDescent="0.3"/>
    <row r="3712" customFormat="1" x14ac:dyDescent="0.3"/>
    <row r="3713" customFormat="1" x14ac:dyDescent="0.3"/>
    <row r="3714" customFormat="1" x14ac:dyDescent="0.3"/>
    <row r="3715" customFormat="1" x14ac:dyDescent="0.3"/>
    <row r="3716" customFormat="1" x14ac:dyDescent="0.3"/>
    <row r="3717" customFormat="1" x14ac:dyDescent="0.3"/>
    <row r="3718" customFormat="1" x14ac:dyDescent="0.3"/>
    <row r="3719" customFormat="1" x14ac:dyDescent="0.3"/>
    <row r="3720" customFormat="1" x14ac:dyDescent="0.3"/>
    <row r="3721" customFormat="1" x14ac:dyDescent="0.3"/>
    <row r="3722" customFormat="1" x14ac:dyDescent="0.3"/>
    <row r="3723" customFormat="1" x14ac:dyDescent="0.3"/>
    <row r="3724" customFormat="1" x14ac:dyDescent="0.3"/>
    <row r="3725" customFormat="1" x14ac:dyDescent="0.3"/>
    <row r="3726" customFormat="1" x14ac:dyDescent="0.3"/>
    <row r="3727" customFormat="1" x14ac:dyDescent="0.3"/>
    <row r="3728" customFormat="1" x14ac:dyDescent="0.3"/>
    <row r="3729" customFormat="1" x14ac:dyDescent="0.3"/>
    <row r="3730" customFormat="1" x14ac:dyDescent="0.3"/>
    <row r="3731" customFormat="1" x14ac:dyDescent="0.3"/>
    <row r="3732" customFormat="1" x14ac:dyDescent="0.3"/>
    <row r="3733" customFormat="1" x14ac:dyDescent="0.3"/>
    <row r="3734" customFormat="1" x14ac:dyDescent="0.3"/>
    <row r="3735" customFormat="1" x14ac:dyDescent="0.3"/>
    <row r="3736" customFormat="1" x14ac:dyDescent="0.3"/>
    <row r="3737" customFormat="1" x14ac:dyDescent="0.3"/>
    <row r="3738" customFormat="1" x14ac:dyDescent="0.3"/>
    <row r="3739" customFormat="1" x14ac:dyDescent="0.3"/>
    <row r="3740" customFormat="1" x14ac:dyDescent="0.3"/>
    <row r="3741" customFormat="1" x14ac:dyDescent="0.3"/>
    <row r="3742" customFormat="1" x14ac:dyDescent="0.3"/>
    <row r="3743" customFormat="1" x14ac:dyDescent="0.3"/>
    <row r="3744" customFormat="1" x14ac:dyDescent="0.3"/>
    <row r="3745" customFormat="1" x14ac:dyDescent="0.3"/>
    <row r="3746" customFormat="1" x14ac:dyDescent="0.3"/>
    <row r="3747" customFormat="1" x14ac:dyDescent="0.3"/>
    <row r="3748" customFormat="1" x14ac:dyDescent="0.3"/>
    <row r="3749" customFormat="1" x14ac:dyDescent="0.3"/>
    <row r="3750" customFormat="1" x14ac:dyDescent="0.3"/>
    <row r="3751" customFormat="1" x14ac:dyDescent="0.3"/>
    <row r="3752" customFormat="1" x14ac:dyDescent="0.3"/>
    <row r="3753" customFormat="1" x14ac:dyDescent="0.3"/>
    <row r="3754" customFormat="1" x14ac:dyDescent="0.3"/>
    <row r="3755" customFormat="1" x14ac:dyDescent="0.3"/>
    <row r="3756" customFormat="1" x14ac:dyDescent="0.3"/>
    <row r="3757" customFormat="1" x14ac:dyDescent="0.3"/>
    <row r="3758" customFormat="1" x14ac:dyDescent="0.3"/>
    <row r="3759" customFormat="1" x14ac:dyDescent="0.3"/>
    <row r="3760" customFormat="1" x14ac:dyDescent="0.3"/>
    <row r="3761" customFormat="1" x14ac:dyDescent="0.3"/>
    <row r="3762" customFormat="1" x14ac:dyDescent="0.3"/>
    <row r="3763" customFormat="1" x14ac:dyDescent="0.3"/>
    <row r="3764" customFormat="1" x14ac:dyDescent="0.3"/>
    <row r="3765" customFormat="1" x14ac:dyDescent="0.3"/>
    <row r="3766" customFormat="1" x14ac:dyDescent="0.3"/>
    <row r="3767" customFormat="1" x14ac:dyDescent="0.3"/>
    <row r="3768" customFormat="1" x14ac:dyDescent="0.3"/>
    <row r="3769" customFormat="1" x14ac:dyDescent="0.3"/>
    <row r="3770" customFormat="1" x14ac:dyDescent="0.3"/>
    <row r="3771" customFormat="1" x14ac:dyDescent="0.3"/>
    <row r="3772" customFormat="1" x14ac:dyDescent="0.3"/>
    <row r="3773" customFormat="1" x14ac:dyDescent="0.3"/>
    <row r="3774" customFormat="1" x14ac:dyDescent="0.3"/>
    <row r="3775" customFormat="1" x14ac:dyDescent="0.3"/>
    <row r="3776" customFormat="1" x14ac:dyDescent="0.3"/>
    <row r="3777" customFormat="1" x14ac:dyDescent="0.3"/>
    <row r="3778" customFormat="1" x14ac:dyDescent="0.3"/>
    <row r="3779" customFormat="1" x14ac:dyDescent="0.3"/>
    <row r="3780" customFormat="1" x14ac:dyDescent="0.3"/>
    <row r="3781" customFormat="1" x14ac:dyDescent="0.3"/>
    <row r="3782" customFormat="1" x14ac:dyDescent="0.3"/>
    <row r="3783" customFormat="1" x14ac:dyDescent="0.3"/>
    <row r="3784" customFormat="1" x14ac:dyDescent="0.3"/>
    <row r="3785" customFormat="1" x14ac:dyDescent="0.3"/>
    <row r="3786" customFormat="1" x14ac:dyDescent="0.3"/>
    <row r="3787" customFormat="1" x14ac:dyDescent="0.3"/>
    <row r="3788" customFormat="1" x14ac:dyDescent="0.3"/>
    <row r="3789" customFormat="1" x14ac:dyDescent="0.3"/>
    <row r="3790" customFormat="1" x14ac:dyDescent="0.3"/>
    <row r="3791" customFormat="1" x14ac:dyDescent="0.3"/>
    <row r="3792" customFormat="1" x14ac:dyDescent="0.3"/>
    <row r="3793" customFormat="1" x14ac:dyDescent="0.3"/>
    <row r="3794" customFormat="1" x14ac:dyDescent="0.3"/>
    <row r="3795" customFormat="1" x14ac:dyDescent="0.3"/>
    <row r="3796" customFormat="1" x14ac:dyDescent="0.3"/>
    <row r="3797" customFormat="1" x14ac:dyDescent="0.3"/>
    <row r="3798" customFormat="1" x14ac:dyDescent="0.3"/>
    <row r="3799" customFormat="1" x14ac:dyDescent="0.3"/>
    <row r="3800" customFormat="1" x14ac:dyDescent="0.3"/>
    <row r="3801" customFormat="1" x14ac:dyDescent="0.3"/>
    <row r="3802" customFormat="1" x14ac:dyDescent="0.3"/>
    <row r="3803" customFormat="1" x14ac:dyDescent="0.3"/>
    <row r="3804" customFormat="1" x14ac:dyDescent="0.3"/>
    <row r="3805" customFormat="1" x14ac:dyDescent="0.3"/>
    <row r="3806" customFormat="1" x14ac:dyDescent="0.3"/>
    <row r="3807" customFormat="1" x14ac:dyDescent="0.3"/>
    <row r="3808" customFormat="1" x14ac:dyDescent="0.3"/>
    <row r="3809" customFormat="1" x14ac:dyDescent="0.3"/>
    <row r="3810" customFormat="1" x14ac:dyDescent="0.3"/>
    <row r="3811" customFormat="1" x14ac:dyDescent="0.3"/>
    <row r="3812" customFormat="1" x14ac:dyDescent="0.3"/>
    <row r="3813" customFormat="1" x14ac:dyDescent="0.3"/>
    <row r="3814" customFormat="1" x14ac:dyDescent="0.3"/>
    <row r="3815" customFormat="1" x14ac:dyDescent="0.3"/>
    <row r="3816" customFormat="1" x14ac:dyDescent="0.3"/>
    <row r="3817" customFormat="1" x14ac:dyDescent="0.3"/>
    <row r="3818" customFormat="1" x14ac:dyDescent="0.3"/>
    <row r="3819" customFormat="1" x14ac:dyDescent="0.3"/>
    <row r="3820" customFormat="1" x14ac:dyDescent="0.3"/>
    <row r="3821" customFormat="1" x14ac:dyDescent="0.3"/>
    <row r="3822" customFormat="1" x14ac:dyDescent="0.3"/>
    <row r="3823" customFormat="1" x14ac:dyDescent="0.3"/>
    <row r="3824" customFormat="1" x14ac:dyDescent="0.3"/>
    <row r="3825" customFormat="1" x14ac:dyDescent="0.3"/>
    <row r="3826" customFormat="1" x14ac:dyDescent="0.3"/>
    <row r="3827" customFormat="1" x14ac:dyDescent="0.3"/>
    <row r="3828" customFormat="1" x14ac:dyDescent="0.3"/>
    <row r="3829" customFormat="1" x14ac:dyDescent="0.3"/>
    <row r="3830" customFormat="1" x14ac:dyDescent="0.3"/>
    <row r="3831" customFormat="1" x14ac:dyDescent="0.3"/>
    <row r="3832" customFormat="1" x14ac:dyDescent="0.3"/>
    <row r="3833" customFormat="1" x14ac:dyDescent="0.3"/>
    <row r="3834" customFormat="1" x14ac:dyDescent="0.3"/>
    <row r="3835" customFormat="1" x14ac:dyDescent="0.3"/>
    <row r="3836" customFormat="1" x14ac:dyDescent="0.3"/>
    <row r="3837" customFormat="1" x14ac:dyDescent="0.3"/>
    <row r="3838" customFormat="1" x14ac:dyDescent="0.3"/>
    <row r="3839" customFormat="1" x14ac:dyDescent="0.3"/>
    <row r="3840" customFormat="1" x14ac:dyDescent="0.3"/>
    <row r="3841" customFormat="1" x14ac:dyDescent="0.3"/>
    <row r="3842" customFormat="1" x14ac:dyDescent="0.3"/>
    <row r="3843" customFormat="1" x14ac:dyDescent="0.3"/>
    <row r="3844" customFormat="1" x14ac:dyDescent="0.3"/>
    <row r="3845" customFormat="1" x14ac:dyDescent="0.3"/>
    <row r="3846" customFormat="1" x14ac:dyDescent="0.3"/>
    <row r="3847" customFormat="1" x14ac:dyDescent="0.3"/>
    <row r="3848" customFormat="1" x14ac:dyDescent="0.3"/>
    <row r="3849" customFormat="1" x14ac:dyDescent="0.3"/>
    <row r="3850" customFormat="1" x14ac:dyDescent="0.3"/>
    <row r="3851" customFormat="1" x14ac:dyDescent="0.3"/>
    <row r="3852" customFormat="1" x14ac:dyDescent="0.3"/>
    <row r="3853" customFormat="1" x14ac:dyDescent="0.3"/>
    <row r="3854" customFormat="1" x14ac:dyDescent="0.3"/>
    <row r="3855" customFormat="1" x14ac:dyDescent="0.3"/>
    <row r="3856" customFormat="1" x14ac:dyDescent="0.3"/>
    <row r="3857" customFormat="1" x14ac:dyDescent="0.3"/>
    <row r="3858" customFormat="1" x14ac:dyDescent="0.3"/>
    <row r="3859" customFormat="1" x14ac:dyDescent="0.3"/>
    <row r="3860" customFormat="1" x14ac:dyDescent="0.3"/>
    <row r="3861" customFormat="1" x14ac:dyDescent="0.3"/>
    <row r="3862" customFormat="1" x14ac:dyDescent="0.3"/>
    <row r="3863" customFormat="1" x14ac:dyDescent="0.3"/>
    <row r="3864" customFormat="1" x14ac:dyDescent="0.3"/>
    <row r="3865" customFormat="1" x14ac:dyDescent="0.3"/>
    <row r="3866" customFormat="1" x14ac:dyDescent="0.3"/>
    <row r="3867" customFormat="1" x14ac:dyDescent="0.3"/>
    <row r="3868" customFormat="1" x14ac:dyDescent="0.3"/>
    <row r="3869" customFormat="1" x14ac:dyDescent="0.3"/>
    <row r="3870" customFormat="1" x14ac:dyDescent="0.3"/>
    <row r="3871" customFormat="1" x14ac:dyDescent="0.3"/>
    <row r="3872" customFormat="1" x14ac:dyDescent="0.3"/>
    <row r="3873" customFormat="1" x14ac:dyDescent="0.3"/>
    <row r="3874" customFormat="1" x14ac:dyDescent="0.3"/>
    <row r="3875" customFormat="1" x14ac:dyDescent="0.3"/>
    <row r="3876" customFormat="1" x14ac:dyDescent="0.3"/>
    <row r="3877" customFormat="1" x14ac:dyDescent="0.3"/>
    <row r="3878" customFormat="1" x14ac:dyDescent="0.3"/>
    <row r="3879" customFormat="1" x14ac:dyDescent="0.3"/>
    <row r="3880" customFormat="1" x14ac:dyDescent="0.3"/>
    <row r="3881" customFormat="1" x14ac:dyDescent="0.3"/>
    <row r="3882" customFormat="1" x14ac:dyDescent="0.3"/>
    <row r="3883" customFormat="1" x14ac:dyDescent="0.3"/>
    <row r="3884" customFormat="1" x14ac:dyDescent="0.3"/>
    <row r="3885" customFormat="1" x14ac:dyDescent="0.3"/>
    <row r="3886" customFormat="1" x14ac:dyDescent="0.3"/>
    <row r="3887" customFormat="1" x14ac:dyDescent="0.3"/>
    <row r="3888" customFormat="1" x14ac:dyDescent="0.3"/>
    <row r="3889" customFormat="1" x14ac:dyDescent="0.3"/>
    <row r="3890" customFormat="1" x14ac:dyDescent="0.3"/>
    <row r="3891" customFormat="1" x14ac:dyDescent="0.3"/>
    <row r="3892" customFormat="1" x14ac:dyDescent="0.3"/>
    <row r="3893" customFormat="1" x14ac:dyDescent="0.3"/>
    <row r="3894" customFormat="1" x14ac:dyDescent="0.3"/>
    <row r="3895" customFormat="1" x14ac:dyDescent="0.3"/>
    <row r="3896" customFormat="1" x14ac:dyDescent="0.3"/>
    <row r="3897" customFormat="1" x14ac:dyDescent="0.3"/>
    <row r="3898" customFormat="1" x14ac:dyDescent="0.3"/>
    <row r="3899" customFormat="1" x14ac:dyDescent="0.3"/>
    <row r="3900" customFormat="1" x14ac:dyDescent="0.3"/>
    <row r="3901" customFormat="1" x14ac:dyDescent="0.3"/>
    <row r="3902" customFormat="1" x14ac:dyDescent="0.3"/>
    <row r="3903" customFormat="1" x14ac:dyDescent="0.3"/>
    <row r="3904" customFormat="1" x14ac:dyDescent="0.3"/>
    <row r="3905" customFormat="1" x14ac:dyDescent="0.3"/>
    <row r="3906" customFormat="1" x14ac:dyDescent="0.3"/>
    <row r="3907" customFormat="1" x14ac:dyDescent="0.3"/>
    <row r="3908" customFormat="1" x14ac:dyDescent="0.3"/>
    <row r="3909" customFormat="1" x14ac:dyDescent="0.3"/>
    <row r="3910" customFormat="1" x14ac:dyDescent="0.3"/>
    <row r="3911" customFormat="1" x14ac:dyDescent="0.3"/>
    <row r="3912" customFormat="1" x14ac:dyDescent="0.3"/>
    <row r="3913" customFormat="1" x14ac:dyDescent="0.3"/>
    <row r="3914" customFormat="1" x14ac:dyDescent="0.3"/>
    <row r="3915" customFormat="1" x14ac:dyDescent="0.3"/>
    <row r="3916" customFormat="1" x14ac:dyDescent="0.3"/>
    <row r="3917" customFormat="1" x14ac:dyDescent="0.3"/>
    <row r="3918" customFormat="1" x14ac:dyDescent="0.3"/>
    <row r="3919" customFormat="1" x14ac:dyDescent="0.3"/>
    <row r="3920" customFormat="1" x14ac:dyDescent="0.3"/>
    <row r="3921" customFormat="1" x14ac:dyDescent="0.3"/>
    <row r="3922" customFormat="1" x14ac:dyDescent="0.3"/>
    <row r="3923" customFormat="1" x14ac:dyDescent="0.3"/>
    <row r="3924" customFormat="1" x14ac:dyDescent="0.3"/>
    <row r="3925" customFormat="1" x14ac:dyDescent="0.3"/>
    <row r="3926" customFormat="1" x14ac:dyDescent="0.3"/>
    <row r="3927" customFormat="1" x14ac:dyDescent="0.3"/>
    <row r="3928" customFormat="1" x14ac:dyDescent="0.3"/>
    <row r="3929" customFormat="1" x14ac:dyDescent="0.3"/>
    <row r="3930" customFormat="1" x14ac:dyDescent="0.3"/>
    <row r="3931" customFormat="1" x14ac:dyDescent="0.3"/>
    <row r="3932" customFormat="1" x14ac:dyDescent="0.3"/>
    <row r="3933" customFormat="1" x14ac:dyDescent="0.3"/>
    <row r="3934" customFormat="1" x14ac:dyDescent="0.3"/>
    <row r="3935" customFormat="1" x14ac:dyDescent="0.3"/>
    <row r="3936" customFormat="1" x14ac:dyDescent="0.3"/>
    <row r="3937" customFormat="1" x14ac:dyDescent="0.3"/>
    <row r="3938" customFormat="1" x14ac:dyDescent="0.3"/>
    <row r="3939" customFormat="1" x14ac:dyDescent="0.3"/>
    <row r="3940" customFormat="1" x14ac:dyDescent="0.3"/>
    <row r="3941" customFormat="1" x14ac:dyDescent="0.3"/>
    <row r="3942" customFormat="1" x14ac:dyDescent="0.3"/>
    <row r="3943" customFormat="1" x14ac:dyDescent="0.3"/>
    <row r="3944" customFormat="1" x14ac:dyDescent="0.3"/>
    <row r="3945" customFormat="1" x14ac:dyDescent="0.3"/>
    <row r="3946" customFormat="1" x14ac:dyDescent="0.3"/>
    <row r="3947" customFormat="1" x14ac:dyDescent="0.3"/>
    <row r="3948" customFormat="1" x14ac:dyDescent="0.3"/>
    <row r="3949" customFormat="1" x14ac:dyDescent="0.3"/>
    <row r="3950" customFormat="1" x14ac:dyDescent="0.3"/>
    <row r="3951" customFormat="1" x14ac:dyDescent="0.3"/>
    <row r="3952" customFormat="1" x14ac:dyDescent="0.3"/>
    <row r="3953" customFormat="1" x14ac:dyDescent="0.3"/>
    <row r="3954" customFormat="1" x14ac:dyDescent="0.3"/>
    <row r="3955" customFormat="1" x14ac:dyDescent="0.3"/>
    <row r="3956" customFormat="1" x14ac:dyDescent="0.3"/>
    <row r="3957" customFormat="1" x14ac:dyDescent="0.3"/>
    <row r="3958" customFormat="1" x14ac:dyDescent="0.3"/>
    <row r="3959" customFormat="1" x14ac:dyDescent="0.3"/>
    <row r="3960" customFormat="1" x14ac:dyDescent="0.3"/>
    <row r="3961" customFormat="1" x14ac:dyDescent="0.3"/>
    <row r="3962" customFormat="1" x14ac:dyDescent="0.3"/>
    <row r="3963" customFormat="1" x14ac:dyDescent="0.3"/>
    <row r="3964" customFormat="1" x14ac:dyDescent="0.3"/>
    <row r="3965" customFormat="1" x14ac:dyDescent="0.3"/>
    <row r="3966" customFormat="1" x14ac:dyDescent="0.3"/>
    <row r="3967" customFormat="1" x14ac:dyDescent="0.3"/>
    <row r="3968" customFormat="1" x14ac:dyDescent="0.3"/>
    <row r="3969" customFormat="1" x14ac:dyDescent="0.3"/>
    <row r="3970" customFormat="1" x14ac:dyDescent="0.3"/>
    <row r="3971" customFormat="1" x14ac:dyDescent="0.3"/>
    <row r="3972" customFormat="1" x14ac:dyDescent="0.3"/>
    <row r="3973" customFormat="1" x14ac:dyDescent="0.3"/>
    <row r="3974" customFormat="1" x14ac:dyDescent="0.3"/>
    <row r="3975" customFormat="1" x14ac:dyDescent="0.3"/>
    <row r="3976" customFormat="1" x14ac:dyDescent="0.3"/>
    <row r="3977" customFormat="1" x14ac:dyDescent="0.3"/>
    <row r="3978" customFormat="1" x14ac:dyDescent="0.3"/>
    <row r="3979" customFormat="1" x14ac:dyDescent="0.3"/>
    <row r="3980" customFormat="1" x14ac:dyDescent="0.3"/>
    <row r="3981" customFormat="1" x14ac:dyDescent="0.3"/>
    <row r="3982" customFormat="1" x14ac:dyDescent="0.3"/>
    <row r="3983" customFormat="1" x14ac:dyDescent="0.3"/>
    <row r="3984" customFormat="1" x14ac:dyDescent="0.3"/>
    <row r="3985" customFormat="1" x14ac:dyDescent="0.3"/>
    <row r="3986" customFormat="1" x14ac:dyDescent="0.3"/>
    <row r="3987" customFormat="1" x14ac:dyDescent="0.3"/>
    <row r="3988" customFormat="1" x14ac:dyDescent="0.3"/>
    <row r="3989" customFormat="1" x14ac:dyDescent="0.3"/>
    <row r="3990" customFormat="1" x14ac:dyDescent="0.3"/>
    <row r="3991" customFormat="1" x14ac:dyDescent="0.3"/>
    <row r="3992" customFormat="1" x14ac:dyDescent="0.3"/>
    <row r="3993" customFormat="1" x14ac:dyDescent="0.3"/>
    <row r="3994" customFormat="1" x14ac:dyDescent="0.3"/>
    <row r="3995" customFormat="1" x14ac:dyDescent="0.3"/>
    <row r="3996" customFormat="1" x14ac:dyDescent="0.3"/>
    <row r="3997" customFormat="1" x14ac:dyDescent="0.3"/>
    <row r="3998" customFormat="1" x14ac:dyDescent="0.3"/>
    <row r="3999" customFormat="1" x14ac:dyDescent="0.3"/>
    <row r="4000" customFormat="1" x14ac:dyDescent="0.3"/>
    <row r="4001" customFormat="1" x14ac:dyDescent="0.3"/>
    <row r="4002" customFormat="1" x14ac:dyDescent="0.3"/>
    <row r="4003" customFormat="1" x14ac:dyDescent="0.3"/>
    <row r="4004" customFormat="1" x14ac:dyDescent="0.3"/>
    <row r="4005" customFormat="1" x14ac:dyDescent="0.3"/>
    <row r="4006" customFormat="1" x14ac:dyDescent="0.3"/>
    <row r="4007" customFormat="1" x14ac:dyDescent="0.3"/>
    <row r="4008" customFormat="1" x14ac:dyDescent="0.3"/>
    <row r="4009" customFormat="1" x14ac:dyDescent="0.3"/>
    <row r="4010" customFormat="1" x14ac:dyDescent="0.3"/>
    <row r="4011" customFormat="1" x14ac:dyDescent="0.3"/>
    <row r="4012" customFormat="1" x14ac:dyDescent="0.3"/>
    <row r="4013" customFormat="1" x14ac:dyDescent="0.3"/>
    <row r="4014" customFormat="1" x14ac:dyDescent="0.3"/>
    <row r="4015" customFormat="1" x14ac:dyDescent="0.3"/>
    <row r="4016" customFormat="1" x14ac:dyDescent="0.3"/>
    <row r="4017" customFormat="1" x14ac:dyDescent="0.3"/>
    <row r="4018" customFormat="1" x14ac:dyDescent="0.3"/>
    <row r="4019" customFormat="1" x14ac:dyDescent="0.3"/>
    <row r="4020" customFormat="1" x14ac:dyDescent="0.3"/>
    <row r="4021" customFormat="1" x14ac:dyDescent="0.3"/>
    <row r="4022" customFormat="1" x14ac:dyDescent="0.3"/>
    <row r="4023" customFormat="1" x14ac:dyDescent="0.3"/>
    <row r="4024" customFormat="1" x14ac:dyDescent="0.3"/>
    <row r="4025" customFormat="1" x14ac:dyDescent="0.3"/>
    <row r="4026" customFormat="1" x14ac:dyDescent="0.3"/>
    <row r="4027" customFormat="1" x14ac:dyDescent="0.3"/>
    <row r="4028" customFormat="1" x14ac:dyDescent="0.3"/>
    <row r="4029" customFormat="1" x14ac:dyDescent="0.3"/>
    <row r="4030" customFormat="1" x14ac:dyDescent="0.3"/>
    <row r="4031" customFormat="1" x14ac:dyDescent="0.3"/>
    <row r="4032" customFormat="1" x14ac:dyDescent="0.3"/>
    <row r="4033" customFormat="1" x14ac:dyDescent="0.3"/>
    <row r="4034" customFormat="1" x14ac:dyDescent="0.3"/>
    <row r="4035" customFormat="1" x14ac:dyDescent="0.3"/>
    <row r="4036" customFormat="1" x14ac:dyDescent="0.3"/>
    <row r="4037" customFormat="1" x14ac:dyDescent="0.3"/>
    <row r="4038" customFormat="1" x14ac:dyDescent="0.3"/>
    <row r="4039" customFormat="1" x14ac:dyDescent="0.3"/>
    <row r="4040" customFormat="1" x14ac:dyDescent="0.3"/>
    <row r="4041" customFormat="1" x14ac:dyDescent="0.3"/>
    <row r="4042" customFormat="1" x14ac:dyDescent="0.3"/>
    <row r="4043" customFormat="1" x14ac:dyDescent="0.3"/>
    <row r="4044" customFormat="1" x14ac:dyDescent="0.3"/>
    <row r="4045" customFormat="1" x14ac:dyDescent="0.3"/>
    <row r="4046" customFormat="1" x14ac:dyDescent="0.3"/>
    <row r="4047" customFormat="1" x14ac:dyDescent="0.3"/>
    <row r="4048" customFormat="1" x14ac:dyDescent="0.3"/>
    <row r="4049" customFormat="1" x14ac:dyDescent="0.3"/>
    <row r="4050" customFormat="1" x14ac:dyDescent="0.3"/>
    <row r="4051" customFormat="1" x14ac:dyDescent="0.3"/>
    <row r="4052" customFormat="1" x14ac:dyDescent="0.3"/>
    <row r="4053" customFormat="1" x14ac:dyDescent="0.3"/>
    <row r="4054" customFormat="1" x14ac:dyDescent="0.3"/>
    <row r="4055" customFormat="1" x14ac:dyDescent="0.3"/>
    <row r="4056" customFormat="1" x14ac:dyDescent="0.3"/>
    <row r="4057" customFormat="1" x14ac:dyDescent="0.3"/>
    <row r="4058" customFormat="1" x14ac:dyDescent="0.3"/>
    <row r="4059" customFormat="1" x14ac:dyDescent="0.3"/>
    <row r="4060" customFormat="1" x14ac:dyDescent="0.3"/>
    <row r="4061" customFormat="1" x14ac:dyDescent="0.3"/>
    <row r="4062" customFormat="1" x14ac:dyDescent="0.3"/>
    <row r="4063" customFormat="1" x14ac:dyDescent="0.3"/>
    <row r="4064" customFormat="1" x14ac:dyDescent="0.3"/>
    <row r="4065" customFormat="1" x14ac:dyDescent="0.3"/>
    <row r="4066" customFormat="1" x14ac:dyDescent="0.3"/>
    <row r="4067" customFormat="1" x14ac:dyDescent="0.3"/>
    <row r="4068" customFormat="1" x14ac:dyDescent="0.3"/>
    <row r="4069" customFormat="1" x14ac:dyDescent="0.3"/>
    <row r="4070" customFormat="1" x14ac:dyDescent="0.3"/>
    <row r="4071" customFormat="1" x14ac:dyDescent="0.3"/>
    <row r="4072" customFormat="1" x14ac:dyDescent="0.3"/>
    <row r="4073" customFormat="1" x14ac:dyDescent="0.3"/>
    <row r="4074" customFormat="1" x14ac:dyDescent="0.3"/>
    <row r="4075" customFormat="1" x14ac:dyDescent="0.3"/>
    <row r="4076" customFormat="1" x14ac:dyDescent="0.3"/>
    <row r="4077" customFormat="1" x14ac:dyDescent="0.3"/>
    <row r="4078" customFormat="1" x14ac:dyDescent="0.3"/>
    <row r="4079" customFormat="1" x14ac:dyDescent="0.3"/>
    <row r="4080" customFormat="1" x14ac:dyDescent="0.3"/>
    <row r="4081" customFormat="1" x14ac:dyDescent="0.3"/>
    <row r="4082" customFormat="1" x14ac:dyDescent="0.3"/>
    <row r="4083" customFormat="1" x14ac:dyDescent="0.3"/>
    <row r="4084" customFormat="1" x14ac:dyDescent="0.3"/>
    <row r="4085" customFormat="1" x14ac:dyDescent="0.3"/>
    <row r="4086" customFormat="1" x14ac:dyDescent="0.3"/>
    <row r="4087" customFormat="1" x14ac:dyDescent="0.3"/>
    <row r="4088" customFormat="1" x14ac:dyDescent="0.3"/>
    <row r="4089" customFormat="1" x14ac:dyDescent="0.3"/>
    <row r="4090" customFormat="1" x14ac:dyDescent="0.3"/>
    <row r="4091" customFormat="1" x14ac:dyDescent="0.3"/>
    <row r="4092" customFormat="1" x14ac:dyDescent="0.3"/>
    <row r="4093" customFormat="1" x14ac:dyDescent="0.3"/>
    <row r="4094" customFormat="1" x14ac:dyDescent="0.3"/>
    <row r="4095" customFormat="1" x14ac:dyDescent="0.3"/>
    <row r="4096" customFormat="1" x14ac:dyDescent="0.3"/>
    <row r="4097" customFormat="1" x14ac:dyDescent="0.3"/>
    <row r="4098" customFormat="1" x14ac:dyDescent="0.3"/>
    <row r="4099" customFormat="1" x14ac:dyDescent="0.3"/>
    <row r="4100" customFormat="1" x14ac:dyDescent="0.3"/>
    <row r="4101" customFormat="1" x14ac:dyDescent="0.3"/>
    <row r="4102" customFormat="1" x14ac:dyDescent="0.3"/>
    <row r="4103" customFormat="1" x14ac:dyDescent="0.3"/>
    <row r="4104" customFormat="1" x14ac:dyDescent="0.3"/>
    <row r="4105" customFormat="1" x14ac:dyDescent="0.3"/>
    <row r="4106" customFormat="1" x14ac:dyDescent="0.3"/>
    <row r="4107" customFormat="1" x14ac:dyDescent="0.3"/>
    <row r="4108" customFormat="1" x14ac:dyDescent="0.3"/>
    <row r="4109" customFormat="1" x14ac:dyDescent="0.3"/>
    <row r="4110" customFormat="1" x14ac:dyDescent="0.3"/>
    <row r="4111" customFormat="1" x14ac:dyDescent="0.3"/>
    <row r="4112" customFormat="1" x14ac:dyDescent="0.3"/>
    <row r="4113" customFormat="1" x14ac:dyDescent="0.3"/>
    <row r="4114" customFormat="1" x14ac:dyDescent="0.3"/>
    <row r="4115" customFormat="1" x14ac:dyDescent="0.3"/>
    <row r="4116" customFormat="1" x14ac:dyDescent="0.3"/>
    <row r="4117" customFormat="1" x14ac:dyDescent="0.3"/>
    <row r="4118" customFormat="1" x14ac:dyDescent="0.3"/>
    <row r="4119" customFormat="1" x14ac:dyDescent="0.3"/>
    <row r="4120" customFormat="1" x14ac:dyDescent="0.3"/>
    <row r="4121" customFormat="1" x14ac:dyDescent="0.3"/>
    <row r="4122" customFormat="1" x14ac:dyDescent="0.3"/>
    <row r="4123" customFormat="1" x14ac:dyDescent="0.3"/>
    <row r="4124" customFormat="1" x14ac:dyDescent="0.3"/>
    <row r="4125" customFormat="1" x14ac:dyDescent="0.3"/>
    <row r="4126" customFormat="1" x14ac:dyDescent="0.3"/>
    <row r="4127" customFormat="1" x14ac:dyDescent="0.3"/>
    <row r="4128" customFormat="1" x14ac:dyDescent="0.3"/>
    <row r="4129" customFormat="1" x14ac:dyDescent="0.3"/>
    <row r="4130" customFormat="1" x14ac:dyDescent="0.3"/>
    <row r="4131" customFormat="1" x14ac:dyDescent="0.3"/>
    <row r="4132" customFormat="1" x14ac:dyDescent="0.3"/>
    <row r="4133" customFormat="1" x14ac:dyDescent="0.3"/>
    <row r="4134" customFormat="1" x14ac:dyDescent="0.3"/>
    <row r="4135" customFormat="1" x14ac:dyDescent="0.3"/>
    <row r="4136" customFormat="1" x14ac:dyDescent="0.3"/>
    <row r="4137" customFormat="1" x14ac:dyDescent="0.3"/>
    <row r="4138" customFormat="1" x14ac:dyDescent="0.3"/>
    <row r="4139" customFormat="1" x14ac:dyDescent="0.3"/>
    <row r="4140" customFormat="1" x14ac:dyDescent="0.3"/>
    <row r="4141" customFormat="1" x14ac:dyDescent="0.3"/>
    <row r="4142" customFormat="1" x14ac:dyDescent="0.3"/>
    <row r="4143" customFormat="1" x14ac:dyDescent="0.3"/>
    <row r="4144" customFormat="1" x14ac:dyDescent="0.3"/>
    <row r="4145" customFormat="1" x14ac:dyDescent="0.3"/>
    <row r="4146" customFormat="1" x14ac:dyDescent="0.3"/>
    <row r="4147" customFormat="1" x14ac:dyDescent="0.3"/>
    <row r="4148" customFormat="1" x14ac:dyDescent="0.3"/>
    <row r="4149" customFormat="1" x14ac:dyDescent="0.3"/>
    <row r="4150" customFormat="1" x14ac:dyDescent="0.3"/>
    <row r="4151" customFormat="1" x14ac:dyDescent="0.3"/>
    <row r="4152" customFormat="1" x14ac:dyDescent="0.3"/>
    <row r="4153" customFormat="1" x14ac:dyDescent="0.3"/>
    <row r="4154" customFormat="1" x14ac:dyDescent="0.3"/>
    <row r="4155" customFormat="1" x14ac:dyDescent="0.3"/>
    <row r="4156" customFormat="1" x14ac:dyDescent="0.3"/>
    <row r="4157" customFormat="1" x14ac:dyDescent="0.3"/>
    <row r="4158" customFormat="1" x14ac:dyDescent="0.3"/>
    <row r="4159" customFormat="1" x14ac:dyDescent="0.3"/>
    <row r="4160" customFormat="1" x14ac:dyDescent="0.3"/>
    <row r="4161" customFormat="1" x14ac:dyDescent="0.3"/>
    <row r="4162" customFormat="1" x14ac:dyDescent="0.3"/>
    <row r="4163" customFormat="1" x14ac:dyDescent="0.3"/>
    <row r="4164" customFormat="1" x14ac:dyDescent="0.3"/>
    <row r="4165" customFormat="1" x14ac:dyDescent="0.3"/>
    <row r="4166" customFormat="1" x14ac:dyDescent="0.3"/>
    <row r="4167" customFormat="1" x14ac:dyDescent="0.3"/>
    <row r="4168" customFormat="1" x14ac:dyDescent="0.3"/>
    <row r="4169" customFormat="1" x14ac:dyDescent="0.3"/>
    <row r="4170" customFormat="1" x14ac:dyDescent="0.3"/>
    <row r="4171" customFormat="1" x14ac:dyDescent="0.3"/>
    <row r="4172" customFormat="1" x14ac:dyDescent="0.3"/>
    <row r="4173" customFormat="1" x14ac:dyDescent="0.3"/>
    <row r="4174" customFormat="1" x14ac:dyDescent="0.3"/>
    <row r="4175" customFormat="1" x14ac:dyDescent="0.3"/>
    <row r="4176" customFormat="1" x14ac:dyDescent="0.3"/>
    <row r="4177" customFormat="1" x14ac:dyDescent="0.3"/>
    <row r="4178" customFormat="1" x14ac:dyDescent="0.3"/>
    <row r="4179" customFormat="1" x14ac:dyDescent="0.3"/>
    <row r="4180" customFormat="1" x14ac:dyDescent="0.3"/>
    <row r="4181" customFormat="1" x14ac:dyDescent="0.3"/>
    <row r="4182" customFormat="1" x14ac:dyDescent="0.3"/>
    <row r="4183" customFormat="1" x14ac:dyDescent="0.3"/>
    <row r="4184" customFormat="1" x14ac:dyDescent="0.3"/>
    <row r="4185" customFormat="1" x14ac:dyDescent="0.3"/>
    <row r="4186" customFormat="1" x14ac:dyDescent="0.3"/>
    <row r="4187" customFormat="1" x14ac:dyDescent="0.3"/>
    <row r="4188" customFormat="1" x14ac:dyDescent="0.3"/>
    <row r="4189" customFormat="1" x14ac:dyDescent="0.3"/>
    <row r="4190" customFormat="1" x14ac:dyDescent="0.3"/>
    <row r="4191" customFormat="1" x14ac:dyDescent="0.3"/>
    <row r="4192" customFormat="1" x14ac:dyDescent="0.3"/>
    <row r="4193" customFormat="1" x14ac:dyDescent="0.3"/>
    <row r="4194" customFormat="1" x14ac:dyDescent="0.3"/>
    <row r="4195" customFormat="1" x14ac:dyDescent="0.3"/>
    <row r="4196" customFormat="1" x14ac:dyDescent="0.3"/>
    <row r="4197" customFormat="1" x14ac:dyDescent="0.3"/>
    <row r="4198" customFormat="1" x14ac:dyDescent="0.3"/>
    <row r="4199" customFormat="1" x14ac:dyDescent="0.3"/>
    <row r="4200" customFormat="1" x14ac:dyDescent="0.3"/>
    <row r="4201" customFormat="1" x14ac:dyDescent="0.3"/>
    <row r="4202" customFormat="1" x14ac:dyDescent="0.3"/>
    <row r="4203" customFormat="1" x14ac:dyDescent="0.3"/>
    <row r="4204" customFormat="1" x14ac:dyDescent="0.3"/>
    <row r="4205" customFormat="1" x14ac:dyDescent="0.3"/>
    <row r="4206" customFormat="1" x14ac:dyDescent="0.3"/>
    <row r="4207" customFormat="1" x14ac:dyDescent="0.3"/>
    <row r="4208" customFormat="1" x14ac:dyDescent="0.3"/>
    <row r="4209" customFormat="1" x14ac:dyDescent="0.3"/>
    <row r="4210" customFormat="1" x14ac:dyDescent="0.3"/>
    <row r="4211" customFormat="1" x14ac:dyDescent="0.3"/>
    <row r="4212" customFormat="1" x14ac:dyDescent="0.3"/>
    <row r="4213" customFormat="1" x14ac:dyDescent="0.3"/>
    <row r="4214" customFormat="1" x14ac:dyDescent="0.3"/>
    <row r="4215" customFormat="1" x14ac:dyDescent="0.3"/>
    <row r="4216" customFormat="1" x14ac:dyDescent="0.3"/>
    <row r="4217" customFormat="1" x14ac:dyDescent="0.3"/>
    <row r="4218" customFormat="1" x14ac:dyDescent="0.3"/>
    <row r="4219" customFormat="1" x14ac:dyDescent="0.3"/>
    <row r="4220" customFormat="1" x14ac:dyDescent="0.3"/>
    <row r="4221" customFormat="1" x14ac:dyDescent="0.3"/>
    <row r="4222" customFormat="1" x14ac:dyDescent="0.3"/>
    <row r="4223" customFormat="1" x14ac:dyDescent="0.3"/>
    <row r="4224" customFormat="1" x14ac:dyDescent="0.3"/>
    <row r="4225" customFormat="1" x14ac:dyDescent="0.3"/>
    <row r="4226" customFormat="1" x14ac:dyDescent="0.3"/>
    <row r="4227" customFormat="1" x14ac:dyDescent="0.3"/>
    <row r="4228" customFormat="1" x14ac:dyDescent="0.3"/>
    <row r="4229" customFormat="1" x14ac:dyDescent="0.3"/>
    <row r="4230" customFormat="1" x14ac:dyDescent="0.3"/>
    <row r="4231" customFormat="1" x14ac:dyDescent="0.3"/>
    <row r="4232" customFormat="1" x14ac:dyDescent="0.3"/>
    <row r="4233" customFormat="1" x14ac:dyDescent="0.3"/>
    <row r="4234" customFormat="1" x14ac:dyDescent="0.3"/>
    <row r="4235" customFormat="1" x14ac:dyDescent="0.3"/>
    <row r="4236" customFormat="1" x14ac:dyDescent="0.3"/>
    <row r="4237" customFormat="1" x14ac:dyDescent="0.3"/>
    <row r="4238" customFormat="1" x14ac:dyDescent="0.3"/>
    <row r="4239" customFormat="1" x14ac:dyDescent="0.3"/>
    <row r="4240" customFormat="1" x14ac:dyDescent="0.3"/>
    <row r="4241" customFormat="1" x14ac:dyDescent="0.3"/>
    <row r="4242" customFormat="1" x14ac:dyDescent="0.3"/>
    <row r="4243" customFormat="1" x14ac:dyDescent="0.3"/>
    <row r="4244" customFormat="1" x14ac:dyDescent="0.3"/>
    <row r="4245" customFormat="1" x14ac:dyDescent="0.3"/>
    <row r="4246" customFormat="1" x14ac:dyDescent="0.3"/>
    <row r="4247" customFormat="1" x14ac:dyDescent="0.3"/>
    <row r="4248" customFormat="1" x14ac:dyDescent="0.3"/>
    <row r="4249" customFormat="1" x14ac:dyDescent="0.3"/>
    <row r="4250" customFormat="1" x14ac:dyDescent="0.3"/>
    <row r="4251" customFormat="1" x14ac:dyDescent="0.3"/>
    <row r="4252" customFormat="1" x14ac:dyDescent="0.3"/>
    <row r="4253" customFormat="1" x14ac:dyDescent="0.3"/>
    <row r="4254" customFormat="1" x14ac:dyDescent="0.3"/>
    <row r="4255" customFormat="1" x14ac:dyDescent="0.3"/>
    <row r="4256" customFormat="1" x14ac:dyDescent="0.3"/>
    <row r="4257" customFormat="1" x14ac:dyDescent="0.3"/>
    <row r="4258" customFormat="1" x14ac:dyDescent="0.3"/>
    <row r="4259" customFormat="1" x14ac:dyDescent="0.3"/>
    <row r="4260" customFormat="1" x14ac:dyDescent="0.3"/>
    <row r="4261" customFormat="1" x14ac:dyDescent="0.3"/>
    <row r="4262" customFormat="1" x14ac:dyDescent="0.3"/>
    <row r="4263" customFormat="1" x14ac:dyDescent="0.3"/>
    <row r="4264" customFormat="1" x14ac:dyDescent="0.3"/>
    <row r="4265" customFormat="1" x14ac:dyDescent="0.3"/>
    <row r="4266" customFormat="1" x14ac:dyDescent="0.3"/>
    <row r="4267" customFormat="1" x14ac:dyDescent="0.3"/>
    <row r="4268" customFormat="1" x14ac:dyDescent="0.3"/>
    <row r="4269" customFormat="1" x14ac:dyDescent="0.3"/>
    <row r="4270" customFormat="1" x14ac:dyDescent="0.3"/>
    <row r="4271" customFormat="1" x14ac:dyDescent="0.3"/>
    <row r="4272" customFormat="1" x14ac:dyDescent="0.3"/>
    <row r="4273" customFormat="1" x14ac:dyDescent="0.3"/>
    <row r="4274" customFormat="1" x14ac:dyDescent="0.3"/>
    <row r="4275" customFormat="1" x14ac:dyDescent="0.3"/>
    <row r="4276" customFormat="1" x14ac:dyDescent="0.3"/>
    <row r="4277" customFormat="1" x14ac:dyDescent="0.3"/>
    <row r="4278" customFormat="1" x14ac:dyDescent="0.3"/>
    <row r="4279" customFormat="1" x14ac:dyDescent="0.3"/>
    <row r="4280" customFormat="1" x14ac:dyDescent="0.3"/>
    <row r="4281" customFormat="1" x14ac:dyDescent="0.3"/>
    <row r="4282" customFormat="1" x14ac:dyDescent="0.3"/>
    <row r="4283" customFormat="1" x14ac:dyDescent="0.3"/>
    <row r="4284" customFormat="1" x14ac:dyDescent="0.3"/>
    <row r="4285" customFormat="1" x14ac:dyDescent="0.3"/>
    <row r="4286" customFormat="1" x14ac:dyDescent="0.3"/>
    <row r="4287" customFormat="1" x14ac:dyDescent="0.3"/>
    <row r="4288" customFormat="1" x14ac:dyDescent="0.3"/>
    <row r="4289" customFormat="1" x14ac:dyDescent="0.3"/>
    <row r="4290" customFormat="1" x14ac:dyDescent="0.3"/>
    <row r="4291" customFormat="1" x14ac:dyDescent="0.3"/>
    <row r="4292" customFormat="1" x14ac:dyDescent="0.3"/>
    <row r="4293" customFormat="1" x14ac:dyDescent="0.3"/>
    <row r="4294" customFormat="1" x14ac:dyDescent="0.3"/>
    <row r="4295" customFormat="1" x14ac:dyDescent="0.3"/>
    <row r="4296" customFormat="1" x14ac:dyDescent="0.3"/>
    <row r="4297" customFormat="1" x14ac:dyDescent="0.3"/>
    <row r="4298" customFormat="1" x14ac:dyDescent="0.3"/>
    <row r="4299" customFormat="1" x14ac:dyDescent="0.3"/>
    <row r="4300" customFormat="1" x14ac:dyDescent="0.3"/>
    <row r="4301" customFormat="1" x14ac:dyDescent="0.3"/>
    <row r="4302" customFormat="1" x14ac:dyDescent="0.3"/>
    <row r="4303" customFormat="1" x14ac:dyDescent="0.3"/>
    <row r="4304" customFormat="1" x14ac:dyDescent="0.3"/>
    <row r="4305" customFormat="1" x14ac:dyDescent="0.3"/>
    <row r="4306" customFormat="1" x14ac:dyDescent="0.3"/>
    <row r="4307" customFormat="1" x14ac:dyDescent="0.3"/>
    <row r="4308" customFormat="1" x14ac:dyDescent="0.3"/>
    <row r="4309" customFormat="1" x14ac:dyDescent="0.3"/>
    <row r="4310" customFormat="1" x14ac:dyDescent="0.3"/>
    <row r="4311" customFormat="1" x14ac:dyDescent="0.3"/>
    <row r="4312" customFormat="1" x14ac:dyDescent="0.3"/>
    <row r="4313" customFormat="1" x14ac:dyDescent="0.3"/>
    <row r="4314" customFormat="1" x14ac:dyDescent="0.3"/>
    <row r="4315" customFormat="1" x14ac:dyDescent="0.3"/>
    <row r="4316" customFormat="1" x14ac:dyDescent="0.3"/>
    <row r="4317" customFormat="1" x14ac:dyDescent="0.3"/>
    <row r="4318" customFormat="1" x14ac:dyDescent="0.3"/>
    <row r="4319" customFormat="1" x14ac:dyDescent="0.3"/>
    <row r="4320" customFormat="1" x14ac:dyDescent="0.3"/>
    <row r="4321" customFormat="1" x14ac:dyDescent="0.3"/>
    <row r="4322" customFormat="1" x14ac:dyDescent="0.3"/>
    <row r="4323" customFormat="1" x14ac:dyDescent="0.3"/>
    <row r="4324" customFormat="1" x14ac:dyDescent="0.3"/>
    <row r="4325" customFormat="1" x14ac:dyDescent="0.3"/>
    <row r="4326" customFormat="1" x14ac:dyDescent="0.3"/>
    <row r="4327" customFormat="1" x14ac:dyDescent="0.3"/>
    <row r="4328" customFormat="1" x14ac:dyDescent="0.3"/>
    <row r="4329" customFormat="1" x14ac:dyDescent="0.3"/>
    <row r="4330" customFormat="1" x14ac:dyDescent="0.3"/>
    <row r="4331" customFormat="1" x14ac:dyDescent="0.3"/>
    <row r="4332" customFormat="1" x14ac:dyDescent="0.3"/>
    <row r="4333" customFormat="1" x14ac:dyDescent="0.3"/>
    <row r="4334" customFormat="1" x14ac:dyDescent="0.3"/>
    <row r="4335" customFormat="1" x14ac:dyDescent="0.3"/>
    <row r="4336" customFormat="1" x14ac:dyDescent="0.3"/>
    <row r="4337" customFormat="1" x14ac:dyDescent="0.3"/>
    <row r="4338" customFormat="1" x14ac:dyDescent="0.3"/>
    <row r="4339" customFormat="1" x14ac:dyDescent="0.3"/>
    <row r="4340" customFormat="1" x14ac:dyDescent="0.3"/>
    <row r="4341" customFormat="1" x14ac:dyDescent="0.3"/>
    <row r="4342" customFormat="1" x14ac:dyDescent="0.3"/>
    <row r="4343" customFormat="1" x14ac:dyDescent="0.3"/>
    <row r="4344" customFormat="1" x14ac:dyDescent="0.3"/>
    <row r="4345" customFormat="1" x14ac:dyDescent="0.3"/>
    <row r="4346" customFormat="1" x14ac:dyDescent="0.3"/>
    <row r="4347" customFormat="1" x14ac:dyDescent="0.3"/>
    <row r="4348" customFormat="1" x14ac:dyDescent="0.3"/>
    <row r="4349" customFormat="1" x14ac:dyDescent="0.3"/>
    <row r="4350" customFormat="1" x14ac:dyDescent="0.3"/>
    <row r="4351" customFormat="1" x14ac:dyDescent="0.3"/>
    <row r="4352" customFormat="1" x14ac:dyDescent="0.3"/>
    <row r="4353" customFormat="1" x14ac:dyDescent="0.3"/>
    <row r="4354" customFormat="1" x14ac:dyDescent="0.3"/>
    <row r="4355" customFormat="1" x14ac:dyDescent="0.3"/>
    <row r="4356" customFormat="1" x14ac:dyDescent="0.3"/>
    <row r="4357" customFormat="1" x14ac:dyDescent="0.3"/>
    <row r="4358" customFormat="1" x14ac:dyDescent="0.3"/>
    <row r="4359" customFormat="1" x14ac:dyDescent="0.3"/>
    <row r="4360" customFormat="1" x14ac:dyDescent="0.3"/>
    <row r="4361" customFormat="1" x14ac:dyDescent="0.3"/>
    <row r="4362" customFormat="1" x14ac:dyDescent="0.3"/>
    <row r="4363" customFormat="1" x14ac:dyDescent="0.3"/>
    <row r="4364" customFormat="1" x14ac:dyDescent="0.3"/>
    <row r="4365" customFormat="1" x14ac:dyDescent="0.3"/>
    <row r="4366" customFormat="1" x14ac:dyDescent="0.3"/>
    <row r="4367" customFormat="1" x14ac:dyDescent="0.3"/>
    <row r="4368" customFormat="1" x14ac:dyDescent="0.3"/>
    <row r="4369" customFormat="1" x14ac:dyDescent="0.3"/>
    <row r="4370" customFormat="1" x14ac:dyDescent="0.3"/>
    <row r="4371" customFormat="1" x14ac:dyDescent="0.3"/>
    <row r="4372" customFormat="1" x14ac:dyDescent="0.3"/>
    <row r="4373" customFormat="1" x14ac:dyDescent="0.3"/>
    <row r="4374" customFormat="1" x14ac:dyDescent="0.3"/>
    <row r="4375" customFormat="1" x14ac:dyDescent="0.3"/>
    <row r="4376" customFormat="1" x14ac:dyDescent="0.3"/>
    <row r="4377" customFormat="1" x14ac:dyDescent="0.3"/>
    <row r="4378" customFormat="1" x14ac:dyDescent="0.3"/>
    <row r="4379" customFormat="1" x14ac:dyDescent="0.3"/>
    <row r="4380" customFormat="1" x14ac:dyDescent="0.3"/>
    <row r="4381" customFormat="1" x14ac:dyDescent="0.3"/>
    <row r="4382" customFormat="1" x14ac:dyDescent="0.3"/>
    <row r="4383" customFormat="1" x14ac:dyDescent="0.3"/>
    <row r="4384" customFormat="1" x14ac:dyDescent="0.3"/>
    <row r="4385" customFormat="1" x14ac:dyDescent="0.3"/>
    <row r="4386" customFormat="1" x14ac:dyDescent="0.3"/>
    <row r="4387" customFormat="1" x14ac:dyDescent="0.3"/>
    <row r="4388" customFormat="1" x14ac:dyDescent="0.3"/>
    <row r="4389" customFormat="1" x14ac:dyDescent="0.3"/>
    <row r="4390" customFormat="1" x14ac:dyDescent="0.3"/>
    <row r="4391" customFormat="1" x14ac:dyDescent="0.3"/>
    <row r="4392" customFormat="1" x14ac:dyDescent="0.3"/>
    <row r="4393" customFormat="1" x14ac:dyDescent="0.3"/>
    <row r="4394" customFormat="1" x14ac:dyDescent="0.3"/>
    <row r="4395" customFormat="1" x14ac:dyDescent="0.3"/>
    <row r="4396" customFormat="1" x14ac:dyDescent="0.3"/>
    <row r="4397" customFormat="1" x14ac:dyDescent="0.3"/>
    <row r="4398" customFormat="1" x14ac:dyDescent="0.3"/>
    <row r="4399" customFormat="1" x14ac:dyDescent="0.3"/>
    <row r="4400" customFormat="1" x14ac:dyDescent="0.3"/>
    <row r="4401" customFormat="1" x14ac:dyDescent="0.3"/>
    <row r="4402" customFormat="1" x14ac:dyDescent="0.3"/>
    <row r="4403" customFormat="1" x14ac:dyDescent="0.3"/>
    <row r="4404" customFormat="1" x14ac:dyDescent="0.3"/>
    <row r="4405" customFormat="1" x14ac:dyDescent="0.3"/>
    <row r="4406" customFormat="1" x14ac:dyDescent="0.3"/>
    <row r="4407" customFormat="1" x14ac:dyDescent="0.3"/>
    <row r="4408" customFormat="1" x14ac:dyDescent="0.3"/>
    <row r="4409" customFormat="1" x14ac:dyDescent="0.3"/>
    <row r="4410" customFormat="1" x14ac:dyDescent="0.3"/>
    <row r="4411" customFormat="1" x14ac:dyDescent="0.3"/>
    <row r="4412" customFormat="1" x14ac:dyDescent="0.3"/>
    <row r="4413" customFormat="1" x14ac:dyDescent="0.3"/>
    <row r="4414" customFormat="1" x14ac:dyDescent="0.3"/>
    <row r="4415" customFormat="1" x14ac:dyDescent="0.3"/>
    <row r="4416" customFormat="1" x14ac:dyDescent="0.3"/>
    <row r="4417" customFormat="1" x14ac:dyDescent="0.3"/>
    <row r="4418" customFormat="1" x14ac:dyDescent="0.3"/>
    <row r="4419" customFormat="1" x14ac:dyDescent="0.3"/>
    <row r="4420" customFormat="1" x14ac:dyDescent="0.3"/>
    <row r="4421" customFormat="1" x14ac:dyDescent="0.3"/>
    <row r="4422" customFormat="1" x14ac:dyDescent="0.3"/>
    <row r="4423" customFormat="1" x14ac:dyDescent="0.3"/>
    <row r="4424" customFormat="1" x14ac:dyDescent="0.3"/>
    <row r="4425" customFormat="1" x14ac:dyDescent="0.3"/>
    <row r="4426" customFormat="1" x14ac:dyDescent="0.3"/>
    <row r="4427" customFormat="1" x14ac:dyDescent="0.3"/>
    <row r="4428" customFormat="1" x14ac:dyDescent="0.3"/>
    <row r="4429" customFormat="1" x14ac:dyDescent="0.3"/>
    <row r="4430" customFormat="1" x14ac:dyDescent="0.3"/>
    <row r="4431" customFormat="1" x14ac:dyDescent="0.3"/>
    <row r="4432" customFormat="1" x14ac:dyDescent="0.3"/>
    <row r="4433" customFormat="1" x14ac:dyDescent="0.3"/>
    <row r="4434" customFormat="1" x14ac:dyDescent="0.3"/>
    <row r="4435" customFormat="1" x14ac:dyDescent="0.3"/>
    <row r="4436" customFormat="1" x14ac:dyDescent="0.3"/>
    <row r="4437" customFormat="1" x14ac:dyDescent="0.3"/>
    <row r="4438" customFormat="1" x14ac:dyDescent="0.3"/>
    <row r="4439" customFormat="1" x14ac:dyDescent="0.3"/>
    <row r="4440" customFormat="1" x14ac:dyDescent="0.3"/>
    <row r="4441" customFormat="1" x14ac:dyDescent="0.3"/>
    <row r="4442" customFormat="1" x14ac:dyDescent="0.3"/>
    <row r="4443" customFormat="1" x14ac:dyDescent="0.3"/>
    <row r="4444" customFormat="1" x14ac:dyDescent="0.3"/>
    <row r="4445" customFormat="1" x14ac:dyDescent="0.3"/>
    <row r="4446" customFormat="1" x14ac:dyDescent="0.3"/>
    <row r="4447" customFormat="1" x14ac:dyDescent="0.3"/>
    <row r="4448" customFormat="1" x14ac:dyDescent="0.3"/>
    <row r="4449" customFormat="1" x14ac:dyDescent="0.3"/>
    <row r="4450" customFormat="1" x14ac:dyDescent="0.3"/>
    <row r="4451" customFormat="1" x14ac:dyDescent="0.3"/>
    <row r="4452" customFormat="1" x14ac:dyDescent="0.3"/>
    <row r="4453" customFormat="1" x14ac:dyDescent="0.3"/>
    <row r="4454" customFormat="1" x14ac:dyDescent="0.3"/>
    <row r="4455" customFormat="1" x14ac:dyDescent="0.3"/>
    <row r="4456" customFormat="1" x14ac:dyDescent="0.3"/>
    <row r="4457" customFormat="1" x14ac:dyDescent="0.3"/>
    <row r="4458" customFormat="1" x14ac:dyDescent="0.3"/>
    <row r="4459" customFormat="1" x14ac:dyDescent="0.3"/>
    <row r="4460" customFormat="1" x14ac:dyDescent="0.3"/>
    <row r="4461" customFormat="1" x14ac:dyDescent="0.3"/>
    <row r="4462" customFormat="1" x14ac:dyDescent="0.3"/>
    <row r="4463" customFormat="1" x14ac:dyDescent="0.3"/>
    <row r="4464" customFormat="1" x14ac:dyDescent="0.3"/>
    <row r="4465" customFormat="1" x14ac:dyDescent="0.3"/>
    <row r="4466" customFormat="1" x14ac:dyDescent="0.3"/>
    <row r="4467" customFormat="1" x14ac:dyDescent="0.3"/>
    <row r="4468" customFormat="1" x14ac:dyDescent="0.3"/>
    <row r="4469" customFormat="1" x14ac:dyDescent="0.3"/>
    <row r="4470" customFormat="1" x14ac:dyDescent="0.3"/>
    <row r="4471" customFormat="1" x14ac:dyDescent="0.3"/>
    <row r="4472" customFormat="1" x14ac:dyDescent="0.3"/>
    <row r="4473" customFormat="1" x14ac:dyDescent="0.3"/>
    <row r="4474" customFormat="1" x14ac:dyDescent="0.3"/>
    <row r="4475" customFormat="1" x14ac:dyDescent="0.3"/>
    <row r="4476" customFormat="1" x14ac:dyDescent="0.3"/>
    <row r="4477" customFormat="1" x14ac:dyDescent="0.3"/>
    <row r="4478" customFormat="1" x14ac:dyDescent="0.3"/>
    <row r="4479" customFormat="1" x14ac:dyDescent="0.3"/>
    <row r="4480" customFormat="1" x14ac:dyDescent="0.3"/>
    <row r="4481" customFormat="1" x14ac:dyDescent="0.3"/>
    <row r="4482" customFormat="1" x14ac:dyDescent="0.3"/>
    <row r="4483" customFormat="1" x14ac:dyDescent="0.3"/>
    <row r="4484" customFormat="1" x14ac:dyDescent="0.3"/>
    <row r="4485" customFormat="1" x14ac:dyDescent="0.3"/>
    <row r="4486" customFormat="1" x14ac:dyDescent="0.3"/>
    <row r="4487" customFormat="1" x14ac:dyDescent="0.3"/>
    <row r="4488" customFormat="1" x14ac:dyDescent="0.3"/>
    <row r="4489" customFormat="1" x14ac:dyDescent="0.3"/>
    <row r="4490" customFormat="1" x14ac:dyDescent="0.3"/>
    <row r="4491" customFormat="1" x14ac:dyDescent="0.3"/>
    <row r="4492" customFormat="1" x14ac:dyDescent="0.3"/>
    <row r="4493" customFormat="1" x14ac:dyDescent="0.3"/>
    <row r="4494" customFormat="1" x14ac:dyDescent="0.3"/>
    <row r="4495" customFormat="1" x14ac:dyDescent="0.3"/>
    <row r="4496" customFormat="1" x14ac:dyDescent="0.3"/>
    <row r="4497" customFormat="1" x14ac:dyDescent="0.3"/>
    <row r="4498" customFormat="1" x14ac:dyDescent="0.3"/>
    <row r="4499" customFormat="1" x14ac:dyDescent="0.3"/>
    <row r="4500" customFormat="1" x14ac:dyDescent="0.3"/>
    <row r="4501" customFormat="1" x14ac:dyDescent="0.3"/>
    <row r="4502" customFormat="1" x14ac:dyDescent="0.3"/>
    <row r="4503" customFormat="1" x14ac:dyDescent="0.3"/>
    <row r="4504" customFormat="1" x14ac:dyDescent="0.3"/>
    <row r="4505" customFormat="1" x14ac:dyDescent="0.3"/>
    <row r="4506" customFormat="1" x14ac:dyDescent="0.3"/>
    <row r="4507" customFormat="1" x14ac:dyDescent="0.3"/>
    <row r="4508" customFormat="1" x14ac:dyDescent="0.3"/>
    <row r="4509" customFormat="1" x14ac:dyDescent="0.3"/>
    <row r="4510" customFormat="1" x14ac:dyDescent="0.3"/>
    <row r="4511" customFormat="1" x14ac:dyDescent="0.3"/>
    <row r="4512" customFormat="1" x14ac:dyDescent="0.3"/>
    <row r="4513" customFormat="1" x14ac:dyDescent="0.3"/>
    <row r="4514" customFormat="1" x14ac:dyDescent="0.3"/>
    <row r="4515" customFormat="1" x14ac:dyDescent="0.3"/>
    <row r="4516" customFormat="1" x14ac:dyDescent="0.3"/>
    <row r="4517" customFormat="1" x14ac:dyDescent="0.3"/>
    <row r="4518" customFormat="1" x14ac:dyDescent="0.3"/>
    <row r="4519" customFormat="1" x14ac:dyDescent="0.3"/>
    <row r="4520" customFormat="1" x14ac:dyDescent="0.3"/>
    <row r="4521" customFormat="1" x14ac:dyDescent="0.3"/>
    <row r="4522" customFormat="1" x14ac:dyDescent="0.3"/>
    <row r="4523" customFormat="1" x14ac:dyDescent="0.3"/>
    <row r="4524" customFormat="1" x14ac:dyDescent="0.3"/>
    <row r="4525" customFormat="1" x14ac:dyDescent="0.3"/>
    <row r="4526" customFormat="1" x14ac:dyDescent="0.3"/>
    <row r="4527" customFormat="1" x14ac:dyDescent="0.3"/>
    <row r="4528" customFormat="1" x14ac:dyDescent="0.3"/>
    <row r="4529" customFormat="1" x14ac:dyDescent="0.3"/>
    <row r="4530" customFormat="1" x14ac:dyDescent="0.3"/>
    <row r="4531" customFormat="1" x14ac:dyDescent="0.3"/>
    <row r="4532" customFormat="1" x14ac:dyDescent="0.3"/>
    <row r="4533" customFormat="1" x14ac:dyDescent="0.3"/>
    <row r="4534" customFormat="1" x14ac:dyDescent="0.3"/>
    <row r="4535" customFormat="1" x14ac:dyDescent="0.3"/>
    <row r="4536" customFormat="1" x14ac:dyDescent="0.3"/>
    <row r="4537" customFormat="1" x14ac:dyDescent="0.3"/>
    <row r="4538" customFormat="1" x14ac:dyDescent="0.3"/>
    <row r="4539" customFormat="1" x14ac:dyDescent="0.3"/>
    <row r="4540" customFormat="1" x14ac:dyDescent="0.3"/>
    <row r="4541" customFormat="1" x14ac:dyDescent="0.3"/>
    <row r="4542" customFormat="1" x14ac:dyDescent="0.3"/>
    <row r="4543" customFormat="1" x14ac:dyDescent="0.3"/>
    <row r="4544" customFormat="1" x14ac:dyDescent="0.3"/>
    <row r="4545" customFormat="1" x14ac:dyDescent="0.3"/>
    <row r="4546" customFormat="1" x14ac:dyDescent="0.3"/>
    <row r="4547" customFormat="1" x14ac:dyDescent="0.3"/>
    <row r="4548" customFormat="1" x14ac:dyDescent="0.3"/>
    <row r="4549" customFormat="1" x14ac:dyDescent="0.3"/>
    <row r="4550" customFormat="1" x14ac:dyDescent="0.3"/>
    <row r="4551" customFormat="1" x14ac:dyDescent="0.3"/>
    <row r="4552" customFormat="1" x14ac:dyDescent="0.3"/>
    <row r="4553" customFormat="1" x14ac:dyDescent="0.3"/>
    <row r="4554" customFormat="1" x14ac:dyDescent="0.3"/>
    <row r="4555" customFormat="1" x14ac:dyDescent="0.3"/>
    <row r="4556" customFormat="1" x14ac:dyDescent="0.3"/>
    <row r="4557" customFormat="1" x14ac:dyDescent="0.3"/>
    <row r="4558" customFormat="1" x14ac:dyDescent="0.3"/>
    <row r="4559" customFormat="1" x14ac:dyDescent="0.3"/>
    <row r="4560" customFormat="1" x14ac:dyDescent="0.3"/>
    <row r="4561" customFormat="1" x14ac:dyDescent="0.3"/>
    <row r="4562" customFormat="1" x14ac:dyDescent="0.3"/>
    <row r="4563" customFormat="1" x14ac:dyDescent="0.3"/>
    <row r="4564" customFormat="1" x14ac:dyDescent="0.3"/>
    <row r="4565" customFormat="1" x14ac:dyDescent="0.3"/>
    <row r="4566" customFormat="1" x14ac:dyDescent="0.3"/>
    <row r="4567" customFormat="1" x14ac:dyDescent="0.3"/>
    <row r="4568" customFormat="1" x14ac:dyDescent="0.3"/>
    <row r="4569" customFormat="1" x14ac:dyDescent="0.3"/>
    <row r="4570" customFormat="1" x14ac:dyDescent="0.3"/>
    <row r="4571" customFormat="1" x14ac:dyDescent="0.3"/>
    <row r="4572" customFormat="1" x14ac:dyDescent="0.3"/>
    <row r="4573" customFormat="1" x14ac:dyDescent="0.3"/>
    <row r="4574" customFormat="1" x14ac:dyDescent="0.3"/>
    <row r="4575" customFormat="1" x14ac:dyDescent="0.3"/>
    <row r="4576" customFormat="1" x14ac:dyDescent="0.3"/>
    <row r="4577" customFormat="1" x14ac:dyDescent="0.3"/>
    <row r="4578" customFormat="1" x14ac:dyDescent="0.3"/>
    <row r="4579" customFormat="1" x14ac:dyDescent="0.3"/>
    <row r="4580" customFormat="1" x14ac:dyDescent="0.3"/>
    <row r="4581" customFormat="1" x14ac:dyDescent="0.3"/>
    <row r="4582" customFormat="1" x14ac:dyDescent="0.3"/>
    <row r="4583" customFormat="1" x14ac:dyDescent="0.3"/>
    <row r="4584" customFormat="1" x14ac:dyDescent="0.3"/>
    <row r="4585" customFormat="1" x14ac:dyDescent="0.3"/>
    <row r="4586" customFormat="1" x14ac:dyDescent="0.3"/>
    <row r="4587" customFormat="1" x14ac:dyDescent="0.3"/>
    <row r="4588" customFormat="1" x14ac:dyDescent="0.3"/>
    <row r="4589" customFormat="1" x14ac:dyDescent="0.3"/>
    <row r="4590" customFormat="1" x14ac:dyDescent="0.3"/>
    <row r="4591" customFormat="1" x14ac:dyDescent="0.3"/>
    <row r="4592" customFormat="1" x14ac:dyDescent="0.3"/>
    <row r="4593" customFormat="1" x14ac:dyDescent="0.3"/>
    <row r="4594" customFormat="1" x14ac:dyDescent="0.3"/>
    <row r="4595" customFormat="1" x14ac:dyDescent="0.3"/>
    <row r="4596" customFormat="1" x14ac:dyDescent="0.3"/>
    <row r="4597" customFormat="1" x14ac:dyDescent="0.3"/>
    <row r="4598" customFormat="1" x14ac:dyDescent="0.3"/>
    <row r="4599" customFormat="1" x14ac:dyDescent="0.3"/>
    <row r="4600" customFormat="1" x14ac:dyDescent="0.3"/>
    <row r="4601" customFormat="1" x14ac:dyDescent="0.3"/>
    <row r="4602" customFormat="1" x14ac:dyDescent="0.3"/>
    <row r="4603" customFormat="1" x14ac:dyDescent="0.3"/>
    <row r="4604" customFormat="1" x14ac:dyDescent="0.3"/>
    <row r="4605" customFormat="1" x14ac:dyDescent="0.3"/>
    <row r="4606" customFormat="1" x14ac:dyDescent="0.3"/>
    <row r="4607" customFormat="1" x14ac:dyDescent="0.3"/>
    <row r="4608" customFormat="1" x14ac:dyDescent="0.3"/>
    <row r="4609" customFormat="1" x14ac:dyDescent="0.3"/>
    <row r="4610" customFormat="1" x14ac:dyDescent="0.3"/>
    <row r="4611" customFormat="1" x14ac:dyDescent="0.3"/>
    <row r="4612" customFormat="1" x14ac:dyDescent="0.3"/>
    <row r="4613" customFormat="1" x14ac:dyDescent="0.3"/>
    <row r="4614" customFormat="1" x14ac:dyDescent="0.3"/>
    <row r="4615" customFormat="1" x14ac:dyDescent="0.3"/>
    <row r="4616" customFormat="1" x14ac:dyDescent="0.3"/>
    <row r="4617" customFormat="1" x14ac:dyDescent="0.3"/>
    <row r="4618" customFormat="1" x14ac:dyDescent="0.3"/>
    <row r="4619" customFormat="1" x14ac:dyDescent="0.3"/>
    <row r="4620" customFormat="1" x14ac:dyDescent="0.3"/>
    <row r="4621" customFormat="1" x14ac:dyDescent="0.3"/>
    <row r="4622" customFormat="1" x14ac:dyDescent="0.3"/>
    <row r="4623" customFormat="1" x14ac:dyDescent="0.3"/>
    <row r="4624" customFormat="1" x14ac:dyDescent="0.3"/>
    <row r="4625" customFormat="1" x14ac:dyDescent="0.3"/>
    <row r="4626" customFormat="1" x14ac:dyDescent="0.3"/>
    <row r="4627" customFormat="1" x14ac:dyDescent="0.3"/>
    <row r="4628" customFormat="1" x14ac:dyDescent="0.3"/>
    <row r="4629" customFormat="1" x14ac:dyDescent="0.3"/>
    <row r="4630" customFormat="1" x14ac:dyDescent="0.3"/>
    <row r="4631" customFormat="1" x14ac:dyDescent="0.3"/>
    <row r="4632" customFormat="1" x14ac:dyDescent="0.3"/>
    <row r="4633" customFormat="1" x14ac:dyDescent="0.3"/>
    <row r="4634" customFormat="1" x14ac:dyDescent="0.3"/>
    <row r="4635" customFormat="1" x14ac:dyDescent="0.3"/>
    <row r="4636" customFormat="1" x14ac:dyDescent="0.3"/>
    <row r="4637" customFormat="1" x14ac:dyDescent="0.3"/>
    <row r="4638" customFormat="1" x14ac:dyDescent="0.3"/>
    <row r="4639" customFormat="1" x14ac:dyDescent="0.3"/>
    <row r="4640" customFormat="1" x14ac:dyDescent="0.3"/>
    <row r="4641" customFormat="1" x14ac:dyDescent="0.3"/>
    <row r="4642" customFormat="1" x14ac:dyDescent="0.3"/>
    <row r="4643" customFormat="1" x14ac:dyDescent="0.3"/>
    <row r="4644" customFormat="1" x14ac:dyDescent="0.3"/>
    <row r="4645" customFormat="1" x14ac:dyDescent="0.3"/>
    <row r="4646" customFormat="1" x14ac:dyDescent="0.3"/>
    <row r="4647" customFormat="1" x14ac:dyDescent="0.3"/>
    <row r="4648" customFormat="1" x14ac:dyDescent="0.3"/>
    <row r="4649" customFormat="1" x14ac:dyDescent="0.3"/>
    <row r="4650" customFormat="1" x14ac:dyDescent="0.3"/>
    <row r="4651" customFormat="1" x14ac:dyDescent="0.3"/>
    <row r="4652" customFormat="1" x14ac:dyDescent="0.3"/>
    <row r="4653" customFormat="1" x14ac:dyDescent="0.3"/>
    <row r="4654" customFormat="1" x14ac:dyDescent="0.3"/>
    <row r="4655" customFormat="1" x14ac:dyDescent="0.3"/>
    <row r="4656" customFormat="1" x14ac:dyDescent="0.3"/>
    <row r="4657" customFormat="1" x14ac:dyDescent="0.3"/>
    <row r="4658" customFormat="1" x14ac:dyDescent="0.3"/>
    <row r="4659" customFormat="1" x14ac:dyDescent="0.3"/>
    <row r="4660" customFormat="1" x14ac:dyDescent="0.3"/>
    <row r="4661" customFormat="1" x14ac:dyDescent="0.3"/>
    <row r="4662" customFormat="1" x14ac:dyDescent="0.3"/>
    <row r="4663" customFormat="1" x14ac:dyDescent="0.3"/>
    <row r="4664" customFormat="1" x14ac:dyDescent="0.3"/>
    <row r="4665" customFormat="1" x14ac:dyDescent="0.3"/>
    <row r="4666" customFormat="1" x14ac:dyDescent="0.3"/>
    <row r="4667" customFormat="1" x14ac:dyDescent="0.3"/>
    <row r="4668" customFormat="1" x14ac:dyDescent="0.3"/>
    <row r="4669" customFormat="1" x14ac:dyDescent="0.3"/>
    <row r="4670" customFormat="1" x14ac:dyDescent="0.3"/>
    <row r="4671" customFormat="1" x14ac:dyDescent="0.3"/>
    <row r="4672" customFormat="1" x14ac:dyDescent="0.3"/>
    <row r="4673" customFormat="1" x14ac:dyDescent="0.3"/>
    <row r="4674" customFormat="1" x14ac:dyDescent="0.3"/>
    <row r="4675" customFormat="1" x14ac:dyDescent="0.3"/>
    <row r="4676" customFormat="1" x14ac:dyDescent="0.3"/>
    <row r="4677" customFormat="1" x14ac:dyDescent="0.3"/>
    <row r="4678" customFormat="1" x14ac:dyDescent="0.3"/>
    <row r="4679" customFormat="1" x14ac:dyDescent="0.3"/>
    <row r="4680" customFormat="1" x14ac:dyDescent="0.3"/>
    <row r="4681" customFormat="1" x14ac:dyDescent="0.3"/>
    <row r="4682" customFormat="1" x14ac:dyDescent="0.3"/>
    <row r="4683" customFormat="1" x14ac:dyDescent="0.3"/>
    <row r="4684" customFormat="1" x14ac:dyDescent="0.3"/>
    <row r="4685" customFormat="1" x14ac:dyDescent="0.3"/>
    <row r="4686" customFormat="1" x14ac:dyDescent="0.3"/>
    <row r="4687" customFormat="1" x14ac:dyDescent="0.3"/>
    <row r="4688" customFormat="1" x14ac:dyDescent="0.3"/>
    <row r="4689" customFormat="1" x14ac:dyDescent="0.3"/>
    <row r="4690" customFormat="1" x14ac:dyDescent="0.3"/>
    <row r="4691" customFormat="1" x14ac:dyDescent="0.3"/>
    <row r="4692" customFormat="1" x14ac:dyDescent="0.3"/>
    <row r="4693" customFormat="1" x14ac:dyDescent="0.3"/>
    <row r="4694" customFormat="1" x14ac:dyDescent="0.3"/>
    <row r="4695" customFormat="1" x14ac:dyDescent="0.3"/>
    <row r="4696" customFormat="1" x14ac:dyDescent="0.3"/>
    <row r="4697" customFormat="1" x14ac:dyDescent="0.3"/>
    <row r="4698" customFormat="1" x14ac:dyDescent="0.3"/>
    <row r="4699" customFormat="1" x14ac:dyDescent="0.3"/>
    <row r="4700" customFormat="1" x14ac:dyDescent="0.3"/>
    <row r="4701" customFormat="1" x14ac:dyDescent="0.3"/>
    <row r="4702" customFormat="1" x14ac:dyDescent="0.3"/>
    <row r="4703" customFormat="1" x14ac:dyDescent="0.3"/>
    <row r="4704" customFormat="1" x14ac:dyDescent="0.3"/>
    <row r="4705" customFormat="1" x14ac:dyDescent="0.3"/>
    <row r="4706" customFormat="1" x14ac:dyDescent="0.3"/>
    <row r="4707" customFormat="1" x14ac:dyDescent="0.3"/>
    <row r="4708" customFormat="1" x14ac:dyDescent="0.3"/>
    <row r="4709" customFormat="1" x14ac:dyDescent="0.3"/>
    <row r="4710" customFormat="1" x14ac:dyDescent="0.3"/>
    <row r="4711" customFormat="1" x14ac:dyDescent="0.3"/>
    <row r="4712" customFormat="1" x14ac:dyDescent="0.3"/>
    <row r="4713" customFormat="1" x14ac:dyDescent="0.3"/>
    <row r="4714" customFormat="1" x14ac:dyDescent="0.3"/>
    <row r="4715" customFormat="1" x14ac:dyDescent="0.3"/>
    <row r="4716" customFormat="1" x14ac:dyDescent="0.3"/>
    <row r="4717" customFormat="1" x14ac:dyDescent="0.3"/>
    <row r="4718" customFormat="1" x14ac:dyDescent="0.3"/>
    <row r="4719" customFormat="1" x14ac:dyDescent="0.3"/>
    <row r="4720" customFormat="1" x14ac:dyDescent="0.3"/>
    <row r="4721" customFormat="1" x14ac:dyDescent="0.3"/>
    <row r="4722" customFormat="1" x14ac:dyDescent="0.3"/>
    <row r="4723" customFormat="1" x14ac:dyDescent="0.3"/>
    <row r="4724" customFormat="1" x14ac:dyDescent="0.3"/>
    <row r="4725" customFormat="1" x14ac:dyDescent="0.3"/>
    <row r="4726" customFormat="1" x14ac:dyDescent="0.3"/>
    <row r="4727" customFormat="1" x14ac:dyDescent="0.3"/>
    <row r="4728" customFormat="1" x14ac:dyDescent="0.3"/>
    <row r="4729" customFormat="1" x14ac:dyDescent="0.3"/>
    <row r="4730" customFormat="1" x14ac:dyDescent="0.3"/>
    <row r="4731" customFormat="1" x14ac:dyDescent="0.3"/>
    <row r="4732" customFormat="1" x14ac:dyDescent="0.3"/>
    <row r="4733" customFormat="1" x14ac:dyDescent="0.3"/>
    <row r="4734" customFormat="1" x14ac:dyDescent="0.3"/>
    <row r="4735" customFormat="1" x14ac:dyDescent="0.3"/>
    <row r="4736" customFormat="1" x14ac:dyDescent="0.3"/>
    <row r="4737" customFormat="1" x14ac:dyDescent="0.3"/>
    <row r="4738" customFormat="1" x14ac:dyDescent="0.3"/>
    <row r="4739" customFormat="1" x14ac:dyDescent="0.3"/>
    <row r="4740" customFormat="1" x14ac:dyDescent="0.3"/>
    <row r="4741" customFormat="1" x14ac:dyDescent="0.3"/>
    <row r="4742" customFormat="1" x14ac:dyDescent="0.3"/>
    <row r="4743" customFormat="1" x14ac:dyDescent="0.3"/>
    <row r="4744" customFormat="1" x14ac:dyDescent="0.3"/>
    <row r="4745" customFormat="1" x14ac:dyDescent="0.3"/>
    <row r="4746" customFormat="1" x14ac:dyDescent="0.3"/>
    <row r="4747" customFormat="1" x14ac:dyDescent="0.3"/>
    <row r="4748" customFormat="1" x14ac:dyDescent="0.3"/>
    <row r="4749" customFormat="1" x14ac:dyDescent="0.3"/>
    <row r="4750" customFormat="1" x14ac:dyDescent="0.3"/>
    <row r="4751" customFormat="1" x14ac:dyDescent="0.3"/>
    <row r="4752" customFormat="1" x14ac:dyDescent="0.3"/>
    <row r="4753" customFormat="1" x14ac:dyDescent="0.3"/>
    <row r="4754" customFormat="1" x14ac:dyDescent="0.3"/>
    <row r="4755" customFormat="1" x14ac:dyDescent="0.3"/>
    <row r="4756" customFormat="1" x14ac:dyDescent="0.3"/>
    <row r="4757" customFormat="1" x14ac:dyDescent="0.3"/>
    <row r="4758" customFormat="1" x14ac:dyDescent="0.3"/>
    <row r="4759" customFormat="1" x14ac:dyDescent="0.3"/>
    <row r="4760" customFormat="1" x14ac:dyDescent="0.3"/>
    <row r="4761" customFormat="1" x14ac:dyDescent="0.3"/>
    <row r="4762" customFormat="1" x14ac:dyDescent="0.3"/>
    <row r="4763" customFormat="1" x14ac:dyDescent="0.3"/>
    <row r="4764" customFormat="1" x14ac:dyDescent="0.3"/>
    <row r="4765" customFormat="1" x14ac:dyDescent="0.3"/>
    <row r="4766" customFormat="1" x14ac:dyDescent="0.3"/>
    <row r="4767" customFormat="1" x14ac:dyDescent="0.3"/>
    <row r="4768" customFormat="1" x14ac:dyDescent="0.3"/>
    <row r="4769" customFormat="1" x14ac:dyDescent="0.3"/>
    <row r="4770" customFormat="1" x14ac:dyDescent="0.3"/>
    <row r="4771" customFormat="1" x14ac:dyDescent="0.3"/>
    <row r="4772" customFormat="1" x14ac:dyDescent="0.3"/>
    <row r="4773" customFormat="1" x14ac:dyDescent="0.3"/>
    <row r="4774" customFormat="1" x14ac:dyDescent="0.3"/>
    <row r="4775" customFormat="1" x14ac:dyDescent="0.3"/>
    <row r="4776" customFormat="1" x14ac:dyDescent="0.3"/>
    <row r="4777" customFormat="1" x14ac:dyDescent="0.3"/>
    <row r="4778" customFormat="1" x14ac:dyDescent="0.3"/>
    <row r="4779" customFormat="1" x14ac:dyDescent="0.3"/>
    <row r="4780" customFormat="1" x14ac:dyDescent="0.3"/>
    <row r="4781" customFormat="1" x14ac:dyDescent="0.3"/>
    <row r="4782" customFormat="1" x14ac:dyDescent="0.3"/>
    <row r="4783" customFormat="1" x14ac:dyDescent="0.3"/>
    <row r="4784" customFormat="1" x14ac:dyDescent="0.3"/>
    <row r="4785" customFormat="1" x14ac:dyDescent="0.3"/>
    <row r="4786" customFormat="1" x14ac:dyDescent="0.3"/>
    <row r="4787" customFormat="1" x14ac:dyDescent="0.3"/>
    <row r="4788" customFormat="1" x14ac:dyDescent="0.3"/>
    <row r="4789" customFormat="1" x14ac:dyDescent="0.3"/>
    <row r="4790" customFormat="1" x14ac:dyDescent="0.3"/>
    <row r="4791" customFormat="1" x14ac:dyDescent="0.3"/>
    <row r="4792" customFormat="1" x14ac:dyDescent="0.3"/>
    <row r="4793" customFormat="1" x14ac:dyDescent="0.3"/>
    <row r="4794" customFormat="1" x14ac:dyDescent="0.3"/>
    <row r="4795" customFormat="1" x14ac:dyDescent="0.3"/>
    <row r="4796" customFormat="1" x14ac:dyDescent="0.3"/>
    <row r="4797" customFormat="1" x14ac:dyDescent="0.3"/>
    <row r="4798" customFormat="1" x14ac:dyDescent="0.3"/>
    <row r="4799" customFormat="1" x14ac:dyDescent="0.3"/>
    <row r="4800" customFormat="1" x14ac:dyDescent="0.3"/>
    <row r="4801" customFormat="1" x14ac:dyDescent="0.3"/>
    <row r="4802" customFormat="1" x14ac:dyDescent="0.3"/>
    <row r="4803" customFormat="1" x14ac:dyDescent="0.3"/>
    <row r="4804" customFormat="1" x14ac:dyDescent="0.3"/>
    <row r="4805" customFormat="1" x14ac:dyDescent="0.3"/>
    <row r="4806" customFormat="1" x14ac:dyDescent="0.3"/>
    <row r="4807" customFormat="1" x14ac:dyDescent="0.3"/>
    <row r="4808" customFormat="1" x14ac:dyDescent="0.3"/>
    <row r="4809" customFormat="1" x14ac:dyDescent="0.3"/>
    <row r="4810" customFormat="1" x14ac:dyDescent="0.3"/>
    <row r="4811" customFormat="1" x14ac:dyDescent="0.3"/>
    <row r="4812" customFormat="1" x14ac:dyDescent="0.3"/>
    <row r="4813" customFormat="1" x14ac:dyDescent="0.3"/>
    <row r="4814" customFormat="1" x14ac:dyDescent="0.3"/>
    <row r="4815" customFormat="1" x14ac:dyDescent="0.3"/>
    <row r="4816" customFormat="1" x14ac:dyDescent="0.3"/>
    <row r="4817" customFormat="1" x14ac:dyDescent="0.3"/>
    <row r="4818" customFormat="1" x14ac:dyDescent="0.3"/>
    <row r="4819" customFormat="1" x14ac:dyDescent="0.3"/>
    <row r="4820" customFormat="1" x14ac:dyDescent="0.3"/>
    <row r="4821" customFormat="1" x14ac:dyDescent="0.3"/>
    <row r="4822" customFormat="1" x14ac:dyDescent="0.3"/>
    <row r="4823" customFormat="1" x14ac:dyDescent="0.3"/>
    <row r="4824" customFormat="1" x14ac:dyDescent="0.3"/>
    <row r="4825" customFormat="1" x14ac:dyDescent="0.3"/>
    <row r="4826" customFormat="1" x14ac:dyDescent="0.3"/>
    <row r="4827" customFormat="1" x14ac:dyDescent="0.3"/>
    <row r="4828" customFormat="1" x14ac:dyDescent="0.3"/>
    <row r="4829" customFormat="1" x14ac:dyDescent="0.3"/>
    <row r="4830" customFormat="1" x14ac:dyDescent="0.3"/>
    <row r="4831" customFormat="1" x14ac:dyDescent="0.3"/>
    <row r="4832" customFormat="1" x14ac:dyDescent="0.3"/>
    <row r="4833" customFormat="1" x14ac:dyDescent="0.3"/>
    <row r="4834" customFormat="1" x14ac:dyDescent="0.3"/>
    <row r="4835" customFormat="1" x14ac:dyDescent="0.3"/>
    <row r="4836" customFormat="1" x14ac:dyDescent="0.3"/>
    <row r="4837" customFormat="1" x14ac:dyDescent="0.3"/>
    <row r="4838" customFormat="1" x14ac:dyDescent="0.3"/>
    <row r="4839" customFormat="1" x14ac:dyDescent="0.3"/>
    <row r="4840" customFormat="1" x14ac:dyDescent="0.3"/>
    <row r="4841" customFormat="1" x14ac:dyDescent="0.3"/>
    <row r="4842" customFormat="1" x14ac:dyDescent="0.3"/>
    <row r="4843" customFormat="1" x14ac:dyDescent="0.3"/>
    <row r="4844" customFormat="1" x14ac:dyDescent="0.3"/>
    <row r="4845" customFormat="1" x14ac:dyDescent="0.3"/>
    <row r="4846" customFormat="1" x14ac:dyDescent="0.3"/>
    <row r="4847" customFormat="1" x14ac:dyDescent="0.3"/>
    <row r="4848" customFormat="1" x14ac:dyDescent="0.3"/>
    <row r="4849" customFormat="1" x14ac:dyDescent="0.3"/>
    <row r="4850" customFormat="1" x14ac:dyDescent="0.3"/>
    <row r="4851" customFormat="1" x14ac:dyDescent="0.3"/>
    <row r="4852" customFormat="1" x14ac:dyDescent="0.3"/>
    <row r="4853" customFormat="1" x14ac:dyDescent="0.3"/>
    <row r="4854" customFormat="1" x14ac:dyDescent="0.3"/>
    <row r="4855" customFormat="1" x14ac:dyDescent="0.3"/>
    <row r="4856" customFormat="1" x14ac:dyDescent="0.3"/>
    <row r="4857" customFormat="1" x14ac:dyDescent="0.3"/>
    <row r="4858" customFormat="1" x14ac:dyDescent="0.3"/>
    <row r="4859" customFormat="1" x14ac:dyDescent="0.3"/>
    <row r="4860" customFormat="1" x14ac:dyDescent="0.3"/>
    <row r="4861" customFormat="1" x14ac:dyDescent="0.3"/>
    <row r="4862" customFormat="1" x14ac:dyDescent="0.3"/>
    <row r="4863" customFormat="1" x14ac:dyDescent="0.3"/>
    <row r="4864" customFormat="1" x14ac:dyDescent="0.3"/>
    <row r="4865" customFormat="1" x14ac:dyDescent="0.3"/>
    <row r="4866" customFormat="1" x14ac:dyDescent="0.3"/>
    <row r="4867" customFormat="1" x14ac:dyDescent="0.3"/>
    <row r="4868" customFormat="1" x14ac:dyDescent="0.3"/>
    <row r="4869" customFormat="1" x14ac:dyDescent="0.3"/>
    <row r="4870" customFormat="1" x14ac:dyDescent="0.3"/>
    <row r="4871" customFormat="1" x14ac:dyDescent="0.3"/>
    <row r="4872" customFormat="1" x14ac:dyDescent="0.3"/>
    <row r="4873" customFormat="1" x14ac:dyDescent="0.3"/>
    <row r="4874" customFormat="1" x14ac:dyDescent="0.3"/>
    <row r="4875" customFormat="1" x14ac:dyDescent="0.3"/>
    <row r="4876" customFormat="1" x14ac:dyDescent="0.3"/>
    <row r="4877" customFormat="1" x14ac:dyDescent="0.3"/>
    <row r="4878" customFormat="1" x14ac:dyDescent="0.3"/>
    <row r="4879" customFormat="1" x14ac:dyDescent="0.3"/>
    <row r="4880" customFormat="1" x14ac:dyDescent="0.3"/>
    <row r="4881" customFormat="1" x14ac:dyDescent="0.3"/>
    <row r="4882" customFormat="1" x14ac:dyDescent="0.3"/>
    <row r="4883" customFormat="1" x14ac:dyDescent="0.3"/>
    <row r="4884" customFormat="1" x14ac:dyDescent="0.3"/>
    <row r="4885" customFormat="1" x14ac:dyDescent="0.3"/>
    <row r="4886" customFormat="1" x14ac:dyDescent="0.3"/>
    <row r="4887" customFormat="1" x14ac:dyDescent="0.3"/>
    <row r="4888" customFormat="1" x14ac:dyDescent="0.3"/>
    <row r="4889" customFormat="1" x14ac:dyDescent="0.3"/>
    <row r="4890" customFormat="1" x14ac:dyDescent="0.3"/>
    <row r="4891" customFormat="1" x14ac:dyDescent="0.3"/>
    <row r="4892" customFormat="1" x14ac:dyDescent="0.3"/>
    <row r="4893" customFormat="1" x14ac:dyDescent="0.3"/>
    <row r="4894" customFormat="1" x14ac:dyDescent="0.3"/>
    <row r="4895" customFormat="1" x14ac:dyDescent="0.3"/>
    <row r="4896" customFormat="1" x14ac:dyDescent="0.3"/>
    <row r="4897" customFormat="1" x14ac:dyDescent="0.3"/>
    <row r="4898" customFormat="1" x14ac:dyDescent="0.3"/>
    <row r="4899" customFormat="1" x14ac:dyDescent="0.3"/>
    <row r="4900" customFormat="1" x14ac:dyDescent="0.3"/>
    <row r="4901" customFormat="1" x14ac:dyDescent="0.3"/>
    <row r="4902" customFormat="1" x14ac:dyDescent="0.3"/>
    <row r="4903" customFormat="1" x14ac:dyDescent="0.3"/>
    <row r="4904" customFormat="1" x14ac:dyDescent="0.3"/>
    <row r="4905" customFormat="1" x14ac:dyDescent="0.3"/>
    <row r="4906" customFormat="1" x14ac:dyDescent="0.3"/>
    <row r="4907" customFormat="1" x14ac:dyDescent="0.3"/>
    <row r="4908" customFormat="1" x14ac:dyDescent="0.3"/>
    <row r="4909" customFormat="1" x14ac:dyDescent="0.3"/>
    <row r="4910" customFormat="1" x14ac:dyDescent="0.3"/>
    <row r="4911" customFormat="1" x14ac:dyDescent="0.3"/>
    <row r="4912" customFormat="1" x14ac:dyDescent="0.3"/>
    <row r="4913" customFormat="1" x14ac:dyDescent="0.3"/>
    <row r="4914" customFormat="1" x14ac:dyDescent="0.3"/>
    <row r="4915" customFormat="1" x14ac:dyDescent="0.3"/>
    <row r="4916" customFormat="1" x14ac:dyDescent="0.3"/>
    <row r="4917" customFormat="1" x14ac:dyDescent="0.3"/>
    <row r="4918" customFormat="1" x14ac:dyDescent="0.3"/>
    <row r="4919" customFormat="1" x14ac:dyDescent="0.3"/>
    <row r="4920" customFormat="1" x14ac:dyDescent="0.3"/>
    <row r="4921" customFormat="1" x14ac:dyDescent="0.3"/>
    <row r="4922" customFormat="1" x14ac:dyDescent="0.3"/>
    <row r="4923" customFormat="1" x14ac:dyDescent="0.3"/>
    <row r="4924" customFormat="1" x14ac:dyDescent="0.3"/>
    <row r="4925" customFormat="1" x14ac:dyDescent="0.3"/>
    <row r="4926" customFormat="1" x14ac:dyDescent="0.3"/>
    <row r="4927" customFormat="1" x14ac:dyDescent="0.3"/>
    <row r="4928" customFormat="1" x14ac:dyDescent="0.3"/>
    <row r="4929" customFormat="1" x14ac:dyDescent="0.3"/>
    <row r="4930" customFormat="1" x14ac:dyDescent="0.3"/>
    <row r="4931" customFormat="1" x14ac:dyDescent="0.3"/>
    <row r="4932" customFormat="1" x14ac:dyDescent="0.3"/>
    <row r="4933" customFormat="1" x14ac:dyDescent="0.3"/>
    <row r="4934" customFormat="1" x14ac:dyDescent="0.3"/>
    <row r="4935" customFormat="1" x14ac:dyDescent="0.3"/>
    <row r="4936" customFormat="1" x14ac:dyDescent="0.3"/>
    <row r="4937" customFormat="1" x14ac:dyDescent="0.3"/>
    <row r="4938" customFormat="1" x14ac:dyDescent="0.3"/>
    <row r="4939" customFormat="1" x14ac:dyDescent="0.3"/>
    <row r="4940" customFormat="1" x14ac:dyDescent="0.3"/>
    <row r="4941" customFormat="1" x14ac:dyDescent="0.3"/>
    <row r="4942" customFormat="1" x14ac:dyDescent="0.3"/>
    <row r="4943" customFormat="1" x14ac:dyDescent="0.3"/>
    <row r="4944" customFormat="1" x14ac:dyDescent="0.3"/>
    <row r="4945" customFormat="1" x14ac:dyDescent="0.3"/>
    <row r="4946" customFormat="1" x14ac:dyDescent="0.3"/>
    <row r="4947" customFormat="1" x14ac:dyDescent="0.3"/>
    <row r="4948" customFormat="1" x14ac:dyDescent="0.3"/>
    <row r="4949" customFormat="1" x14ac:dyDescent="0.3"/>
    <row r="4950" customFormat="1" x14ac:dyDescent="0.3"/>
    <row r="4951" customFormat="1" x14ac:dyDescent="0.3"/>
    <row r="4952" customFormat="1" x14ac:dyDescent="0.3"/>
    <row r="4953" customFormat="1" x14ac:dyDescent="0.3"/>
    <row r="4954" customFormat="1" x14ac:dyDescent="0.3"/>
    <row r="4955" customFormat="1" x14ac:dyDescent="0.3"/>
    <row r="4956" customFormat="1" x14ac:dyDescent="0.3"/>
    <row r="4957" customFormat="1" x14ac:dyDescent="0.3"/>
    <row r="4958" customFormat="1" x14ac:dyDescent="0.3"/>
    <row r="4959" customFormat="1" x14ac:dyDescent="0.3"/>
    <row r="4960" customFormat="1" x14ac:dyDescent="0.3"/>
    <row r="4961" customFormat="1" x14ac:dyDescent="0.3"/>
    <row r="4962" customFormat="1" x14ac:dyDescent="0.3"/>
    <row r="4963" customFormat="1" x14ac:dyDescent="0.3"/>
    <row r="4964" customFormat="1" x14ac:dyDescent="0.3"/>
    <row r="4965" customFormat="1" x14ac:dyDescent="0.3"/>
    <row r="4966" customFormat="1" x14ac:dyDescent="0.3"/>
    <row r="4967" customFormat="1" x14ac:dyDescent="0.3"/>
    <row r="4968" customFormat="1" x14ac:dyDescent="0.3"/>
    <row r="4969" customFormat="1" x14ac:dyDescent="0.3"/>
    <row r="4970" customFormat="1" x14ac:dyDescent="0.3"/>
    <row r="4971" customFormat="1" x14ac:dyDescent="0.3"/>
    <row r="4972" customFormat="1" x14ac:dyDescent="0.3"/>
    <row r="4973" customFormat="1" x14ac:dyDescent="0.3"/>
    <row r="4974" customFormat="1" x14ac:dyDescent="0.3"/>
    <row r="4975" customFormat="1" x14ac:dyDescent="0.3"/>
    <row r="4976" customFormat="1" x14ac:dyDescent="0.3"/>
    <row r="4977" customFormat="1" x14ac:dyDescent="0.3"/>
    <row r="4978" customFormat="1" x14ac:dyDescent="0.3"/>
    <row r="4979" customFormat="1" x14ac:dyDescent="0.3"/>
    <row r="4980" customFormat="1" x14ac:dyDescent="0.3"/>
    <row r="4981" customFormat="1" x14ac:dyDescent="0.3"/>
    <row r="4982" customFormat="1" x14ac:dyDescent="0.3"/>
    <row r="4983" customFormat="1" x14ac:dyDescent="0.3"/>
    <row r="4984" customFormat="1" x14ac:dyDescent="0.3"/>
    <row r="4985" customFormat="1" x14ac:dyDescent="0.3"/>
    <row r="4986" customFormat="1" x14ac:dyDescent="0.3"/>
    <row r="4987" customFormat="1" x14ac:dyDescent="0.3"/>
    <row r="4988" customFormat="1" x14ac:dyDescent="0.3"/>
    <row r="4989" customFormat="1" x14ac:dyDescent="0.3"/>
    <row r="4990" customFormat="1" x14ac:dyDescent="0.3"/>
    <row r="4991" customFormat="1" x14ac:dyDescent="0.3"/>
    <row r="4992" customFormat="1" x14ac:dyDescent="0.3"/>
    <row r="4993" customFormat="1" x14ac:dyDescent="0.3"/>
    <row r="4994" customFormat="1" x14ac:dyDescent="0.3"/>
    <row r="4995" customFormat="1" x14ac:dyDescent="0.3"/>
    <row r="4996" customFormat="1" x14ac:dyDescent="0.3"/>
    <row r="4997" customFormat="1" x14ac:dyDescent="0.3"/>
    <row r="4998" customFormat="1" x14ac:dyDescent="0.3"/>
    <row r="4999" customFormat="1" x14ac:dyDescent="0.3"/>
    <row r="5000" customFormat="1" x14ac:dyDescent="0.3"/>
    <row r="5001" customFormat="1" x14ac:dyDescent="0.3"/>
    <row r="5002" customFormat="1" x14ac:dyDescent="0.3"/>
    <row r="5003" customFormat="1" x14ac:dyDescent="0.3"/>
    <row r="5004" customFormat="1" x14ac:dyDescent="0.3"/>
    <row r="5005" customFormat="1" x14ac:dyDescent="0.3"/>
    <row r="5006" customFormat="1" x14ac:dyDescent="0.3"/>
    <row r="5007" customFormat="1" x14ac:dyDescent="0.3"/>
    <row r="5008" customFormat="1" x14ac:dyDescent="0.3"/>
    <row r="5009" customFormat="1" x14ac:dyDescent="0.3"/>
    <row r="5010" customFormat="1" x14ac:dyDescent="0.3"/>
    <row r="5011" customFormat="1" x14ac:dyDescent="0.3"/>
    <row r="5012" customFormat="1" x14ac:dyDescent="0.3"/>
    <row r="5013" customFormat="1" x14ac:dyDescent="0.3"/>
    <row r="5014" customFormat="1" x14ac:dyDescent="0.3"/>
    <row r="5015" customFormat="1" x14ac:dyDescent="0.3"/>
    <row r="5016" customFormat="1" x14ac:dyDescent="0.3"/>
    <row r="5017" customFormat="1" x14ac:dyDescent="0.3"/>
    <row r="5018" customFormat="1" x14ac:dyDescent="0.3"/>
    <row r="5019" customFormat="1" x14ac:dyDescent="0.3"/>
    <row r="5020" customFormat="1" x14ac:dyDescent="0.3"/>
    <row r="5021" customFormat="1" x14ac:dyDescent="0.3"/>
    <row r="5022" customFormat="1" x14ac:dyDescent="0.3"/>
    <row r="5023" customFormat="1" x14ac:dyDescent="0.3"/>
    <row r="5024" customFormat="1" x14ac:dyDescent="0.3"/>
    <row r="5025" customFormat="1" x14ac:dyDescent="0.3"/>
    <row r="5026" customFormat="1" x14ac:dyDescent="0.3"/>
    <row r="5027" customFormat="1" x14ac:dyDescent="0.3"/>
    <row r="5028" customFormat="1" x14ac:dyDescent="0.3"/>
    <row r="5029" customFormat="1" x14ac:dyDescent="0.3"/>
    <row r="5030" customFormat="1" x14ac:dyDescent="0.3"/>
    <row r="5031" customFormat="1" x14ac:dyDescent="0.3"/>
    <row r="5032" customFormat="1" x14ac:dyDescent="0.3"/>
    <row r="5033" customFormat="1" x14ac:dyDescent="0.3"/>
    <row r="5034" customFormat="1" x14ac:dyDescent="0.3"/>
    <row r="5035" customFormat="1" x14ac:dyDescent="0.3"/>
    <row r="5036" customFormat="1" x14ac:dyDescent="0.3"/>
    <row r="5037" customFormat="1" x14ac:dyDescent="0.3"/>
    <row r="5038" customFormat="1" x14ac:dyDescent="0.3"/>
    <row r="5039" customFormat="1" x14ac:dyDescent="0.3"/>
    <row r="5040" customFormat="1" x14ac:dyDescent="0.3"/>
    <row r="5041" customFormat="1" x14ac:dyDescent="0.3"/>
    <row r="5042" customFormat="1" x14ac:dyDescent="0.3"/>
    <row r="5043" customFormat="1" x14ac:dyDescent="0.3"/>
    <row r="5044" customFormat="1" x14ac:dyDescent="0.3"/>
    <row r="5045" customFormat="1" x14ac:dyDescent="0.3"/>
    <row r="5046" customFormat="1" x14ac:dyDescent="0.3"/>
    <row r="5047" customFormat="1" x14ac:dyDescent="0.3"/>
    <row r="5048" customFormat="1" x14ac:dyDescent="0.3"/>
    <row r="5049" customFormat="1" x14ac:dyDescent="0.3"/>
    <row r="5050" customFormat="1" x14ac:dyDescent="0.3"/>
    <row r="5051" customFormat="1" x14ac:dyDescent="0.3"/>
    <row r="5052" customFormat="1" x14ac:dyDescent="0.3"/>
    <row r="5053" customFormat="1" x14ac:dyDescent="0.3"/>
    <row r="5054" customFormat="1" x14ac:dyDescent="0.3"/>
    <row r="5055" customFormat="1" x14ac:dyDescent="0.3"/>
    <row r="5056" customFormat="1" x14ac:dyDescent="0.3"/>
    <row r="5057" customFormat="1" x14ac:dyDescent="0.3"/>
    <row r="5058" customFormat="1" x14ac:dyDescent="0.3"/>
    <row r="5059" customFormat="1" x14ac:dyDescent="0.3"/>
    <row r="5060" customFormat="1" x14ac:dyDescent="0.3"/>
    <row r="5061" customFormat="1" x14ac:dyDescent="0.3"/>
    <row r="5062" customFormat="1" x14ac:dyDescent="0.3"/>
    <row r="5063" customFormat="1" x14ac:dyDescent="0.3"/>
    <row r="5064" customFormat="1" x14ac:dyDescent="0.3"/>
    <row r="5065" customFormat="1" x14ac:dyDescent="0.3"/>
    <row r="5066" customFormat="1" x14ac:dyDescent="0.3"/>
    <row r="5067" customFormat="1" x14ac:dyDescent="0.3"/>
    <row r="5068" customFormat="1" x14ac:dyDescent="0.3"/>
    <row r="5069" customFormat="1" x14ac:dyDescent="0.3"/>
    <row r="5070" customFormat="1" x14ac:dyDescent="0.3"/>
    <row r="5071" customFormat="1" x14ac:dyDescent="0.3"/>
    <row r="5072" customFormat="1" x14ac:dyDescent="0.3"/>
    <row r="5073" customFormat="1" x14ac:dyDescent="0.3"/>
    <row r="5074" customFormat="1" x14ac:dyDescent="0.3"/>
    <row r="5075" customFormat="1" x14ac:dyDescent="0.3"/>
    <row r="5076" customFormat="1" x14ac:dyDescent="0.3"/>
    <row r="5077" customFormat="1" x14ac:dyDescent="0.3"/>
    <row r="5078" customFormat="1" x14ac:dyDescent="0.3"/>
    <row r="5079" customFormat="1" x14ac:dyDescent="0.3"/>
    <row r="5080" customFormat="1" x14ac:dyDescent="0.3"/>
    <row r="5081" customFormat="1" x14ac:dyDescent="0.3"/>
    <row r="5082" customFormat="1" x14ac:dyDescent="0.3"/>
    <row r="5083" customFormat="1" x14ac:dyDescent="0.3"/>
    <row r="5084" customFormat="1" x14ac:dyDescent="0.3"/>
    <row r="5085" customFormat="1" x14ac:dyDescent="0.3"/>
    <row r="5086" customFormat="1" x14ac:dyDescent="0.3"/>
    <row r="5087" customFormat="1" x14ac:dyDescent="0.3"/>
    <row r="5088" customFormat="1" x14ac:dyDescent="0.3"/>
    <row r="5089" customFormat="1" x14ac:dyDescent="0.3"/>
    <row r="5090" customFormat="1" x14ac:dyDescent="0.3"/>
    <row r="5091" customFormat="1" x14ac:dyDescent="0.3"/>
    <row r="5092" customFormat="1" x14ac:dyDescent="0.3"/>
    <row r="5093" customFormat="1" x14ac:dyDescent="0.3"/>
    <row r="5094" customFormat="1" x14ac:dyDescent="0.3"/>
    <row r="5095" customFormat="1" x14ac:dyDescent="0.3"/>
    <row r="5096" customFormat="1" x14ac:dyDescent="0.3"/>
    <row r="5097" customFormat="1" x14ac:dyDescent="0.3"/>
    <row r="5098" customFormat="1" x14ac:dyDescent="0.3"/>
    <row r="5099" customFormat="1" x14ac:dyDescent="0.3"/>
    <row r="5100" customFormat="1" x14ac:dyDescent="0.3"/>
    <row r="5101" customFormat="1" x14ac:dyDescent="0.3"/>
    <row r="5102" customFormat="1" x14ac:dyDescent="0.3"/>
    <row r="5103" customFormat="1" x14ac:dyDescent="0.3"/>
    <row r="5104" customFormat="1" x14ac:dyDescent="0.3"/>
    <row r="5105" customFormat="1" x14ac:dyDescent="0.3"/>
    <row r="5106" customFormat="1" x14ac:dyDescent="0.3"/>
    <row r="5107" customFormat="1" x14ac:dyDescent="0.3"/>
    <row r="5108" customFormat="1" x14ac:dyDescent="0.3"/>
    <row r="5109" customFormat="1" x14ac:dyDescent="0.3"/>
    <row r="5110" customFormat="1" x14ac:dyDescent="0.3"/>
    <row r="5111" customFormat="1" x14ac:dyDescent="0.3"/>
    <row r="5112" customFormat="1" x14ac:dyDescent="0.3"/>
    <row r="5113" customFormat="1" x14ac:dyDescent="0.3"/>
    <row r="5114" customFormat="1" x14ac:dyDescent="0.3"/>
    <row r="5115" customFormat="1" x14ac:dyDescent="0.3"/>
    <row r="5116" customFormat="1" x14ac:dyDescent="0.3"/>
    <row r="5117" customFormat="1" x14ac:dyDescent="0.3"/>
    <row r="5118" customFormat="1" x14ac:dyDescent="0.3"/>
    <row r="5119" customFormat="1" x14ac:dyDescent="0.3"/>
    <row r="5120" customFormat="1" x14ac:dyDescent="0.3"/>
    <row r="5121" customFormat="1" x14ac:dyDescent="0.3"/>
    <row r="5122" customFormat="1" x14ac:dyDescent="0.3"/>
    <row r="5123" customFormat="1" x14ac:dyDescent="0.3"/>
    <row r="5124" customFormat="1" x14ac:dyDescent="0.3"/>
    <row r="5125" customFormat="1" x14ac:dyDescent="0.3"/>
    <row r="5126" customFormat="1" x14ac:dyDescent="0.3"/>
    <row r="5127" customFormat="1" x14ac:dyDescent="0.3"/>
    <row r="5128" customFormat="1" x14ac:dyDescent="0.3"/>
    <row r="5129" customFormat="1" x14ac:dyDescent="0.3"/>
    <row r="5130" customFormat="1" x14ac:dyDescent="0.3"/>
    <row r="5131" customFormat="1" x14ac:dyDescent="0.3"/>
    <row r="5132" customFormat="1" x14ac:dyDescent="0.3"/>
    <row r="5133" customFormat="1" x14ac:dyDescent="0.3"/>
    <row r="5134" customFormat="1" x14ac:dyDescent="0.3"/>
    <row r="5135" customFormat="1" x14ac:dyDescent="0.3"/>
    <row r="5136" customFormat="1" x14ac:dyDescent="0.3"/>
    <row r="5137" customFormat="1" x14ac:dyDescent="0.3"/>
    <row r="5138" customFormat="1" x14ac:dyDescent="0.3"/>
    <row r="5139" customFormat="1" x14ac:dyDescent="0.3"/>
    <row r="5140" customFormat="1" x14ac:dyDescent="0.3"/>
    <row r="5141" customFormat="1" x14ac:dyDescent="0.3"/>
    <row r="5142" customFormat="1" x14ac:dyDescent="0.3"/>
    <row r="5143" customFormat="1" x14ac:dyDescent="0.3"/>
    <row r="5144" customFormat="1" x14ac:dyDescent="0.3"/>
    <row r="5145" customFormat="1" x14ac:dyDescent="0.3"/>
    <row r="5146" customFormat="1" x14ac:dyDescent="0.3"/>
    <row r="5147" customFormat="1" x14ac:dyDescent="0.3"/>
    <row r="5148" customFormat="1" x14ac:dyDescent="0.3"/>
    <row r="5149" customFormat="1" x14ac:dyDescent="0.3"/>
    <row r="5150" customFormat="1" x14ac:dyDescent="0.3"/>
    <row r="5151" customFormat="1" x14ac:dyDescent="0.3"/>
    <row r="5152" customFormat="1" x14ac:dyDescent="0.3"/>
    <row r="5153" customFormat="1" x14ac:dyDescent="0.3"/>
    <row r="5154" customFormat="1" x14ac:dyDescent="0.3"/>
    <row r="5155" customFormat="1" x14ac:dyDescent="0.3"/>
    <row r="5156" customFormat="1" x14ac:dyDescent="0.3"/>
    <row r="5157" customFormat="1" x14ac:dyDescent="0.3"/>
    <row r="5158" customFormat="1" x14ac:dyDescent="0.3"/>
    <row r="5159" customFormat="1" x14ac:dyDescent="0.3"/>
    <row r="5160" customFormat="1" x14ac:dyDescent="0.3"/>
    <row r="5161" customFormat="1" x14ac:dyDescent="0.3"/>
    <row r="5162" customFormat="1" x14ac:dyDescent="0.3"/>
    <row r="5163" customFormat="1" x14ac:dyDescent="0.3"/>
    <row r="5164" customFormat="1" x14ac:dyDescent="0.3"/>
    <row r="5165" customFormat="1" x14ac:dyDescent="0.3"/>
    <row r="5166" customFormat="1" x14ac:dyDescent="0.3"/>
    <row r="5167" customFormat="1" x14ac:dyDescent="0.3"/>
    <row r="5168" customFormat="1" x14ac:dyDescent="0.3"/>
    <row r="5169" customFormat="1" x14ac:dyDescent="0.3"/>
    <row r="5170" customFormat="1" x14ac:dyDescent="0.3"/>
    <row r="5171" customFormat="1" x14ac:dyDescent="0.3"/>
    <row r="5172" customFormat="1" x14ac:dyDescent="0.3"/>
    <row r="5173" customFormat="1" x14ac:dyDescent="0.3"/>
    <row r="5174" customFormat="1" x14ac:dyDescent="0.3"/>
    <row r="5175" customFormat="1" x14ac:dyDescent="0.3"/>
    <row r="5176" customFormat="1" x14ac:dyDescent="0.3"/>
    <row r="5177" customFormat="1" x14ac:dyDescent="0.3"/>
    <row r="5178" customFormat="1" x14ac:dyDescent="0.3"/>
    <row r="5179" customFormat="1" x14ac:dyDescent="0.3"/>
    <row r="5180" customFormat="1" x14ac:dyDescent="0.3"/>
    <row r="5181" customFormat="1" x14ac:dyDescent="0.3"/>
    <row r="5182" customFormat="1" x14ac:dyDescent="0.3"/>
    <row r="5183" customFormat="1" x14ac:dyDescent="0.3"/>
    <row r="5184" customFormat="1" x14ac:dyDescent="0.3"/>
    <row r="5185" customFormat="1" x14ac:dyDescent="0.3"/>
    <row r="5186" customFormat="1" x14ac:dyDescent="0.3"/>
    <row r="5187" customFormat="1" x14ac:dyDescent="0.3"/>
    <row r="5188" customFormat="1" x14ac:dyDescent="0.3"/>
    <row r="5189" customFormat="1" x14ac:dyDescent="0.3"/>
    <row r="5190" customFormat="1" x14ac:dyDescent="0.3"/>
    <row r="5191" customFormat="1" x14ac:dyDescent="0.3"/>
    <row r="5192" customFormat="1" x14ac:dyDescent="0.3"/>
    <row r="5193" customFormat="1" x14ac:dyDescent="0.3"/>
    <row r="5194" customFormat="1" x14ac:dyDescent="0.3"/>
    <row r="5195" customFormat="1" x14ac:dyDescent="0.3"/>
    <row r="5196" customFormat="1" x14ac:dyDescent="0.3"/>
    <row r="5197" customFormat="1" x14ac:dyDescent="0.3"/>
    <row r="5198" customFormat="1" x14ac:dyDescent="0.3"/>
    <row r="5199" customFormat="1" x14ac:dyDescent="0.3"/>
    <row r="5200" customFormat="1" x14ac:dyDescent="0.3"/>
    <row r="5201" customFormat="1" x14ac:dyDescent="0.3"/>
    <row r="5202" customFormat="1" x14ac:dyDescent="0.3"/>
    <row r="5203" customFormat="1" x14ac:dyDescent="0.3"/>
    <row r="5204" customFormat="1" x14ac:dyDescent="0.3"/>
    <row r="5205" customFormat="1" x14ac:dyDescent="0.3"/>
    <row r="5206" customFormat="1" x14ac:dyDescent="0.3"/>
    <row r="5207" customFormat="1" x14ac:dyDescent="0.3"/>
    <row r="5208" customFormat="1" x14ac:dyDescent="0.3"/>
    <row r="5209" customFormat="1" x14ac:dyDescent="0.3"/>
    <row r="5210" customFormat="1" x14ac:dyDescent="0.3"/>
    <row r="5211" customFormat="1" x14ac:dyDescent="0.3"/>
    <row r="5212" customFormat="1" x14ac:dyDescent="0.3"/>
    <row r="5213" customFormat="1" x14ac:dyDescent="0.3"/>
    <row r="5214" customFormat="1" x14ac:dyDescent="0.3"/>
    <row r="5215" customFormat="1" x14ac:dyDescent="0.3"/>
    <row r="5216" customFormat="1" x14ac:dyDescent="0.3"/>
    <row r="5217" customFormat="1" x14ac:dyDescent="0.3"/>
    <row r="5218" customFormat="1" x14ac:dyDescent="0.3"/>
    <row r="5219" customFormat="1" x14ac:dyDescent="0.3"/>
    <row r="5220" customFormat="1" x14ac:dyDescent="0.3"/>
    <row r="5221" customFormat="1" x14ac:dyDescent="0.3"/>
    <row r="5222" customFormat="1" x14ac:dyDescent="0.3"/>
    <row r="5223" customFormat="1" x14ac:dyDescent="0.3"/>
    <row r="5224" customFormat="1" x14ac:dyDescent="0.3"/>
    <row r="5225" customFormat="1" x14ac:dyDescent="0.3"/>
    <row r="5226" customFormat="1" x14ac:dyDescent="0.3"/>
    <row r="5227" customFormat="1" x14ac:dyDescent="0.3"/>
    <row r="5228" customFormat="1" x14ac:dyDescent="0.3"/>
    <row r="5229" customFormat="1" x14ac:dyDescent="0.3"/>
    <row r="5230" customFormat="1" x14ac:dyDescent="0.3"/>
    <row r="5231" customFormat="1" x14ac:dyDescent="0.3"/>
    <row r="5232" customFormat="1" x14ac:dyDescent="0.3"/>
    <row r="5233" customFormat="1" x14ac:dyDescent="0.3"/>
    <row r="5234" customFormat="1" x14ac:dyDescent="0.3"/>
    <row r="5235" customFormat="1" x14ac:dyDescent="0.3"/>
    <row r="5236" customFormat="1" x14ac:dyDescent="0.3"/>
    <row r="5237" customFormat="1" x14ac:dyDescent="0.3"/>
    <row r="5238" customFormat="1" x14ac:dyDescent="0.3"/>
    <row r="5239" customFormat="1" x14ac:dyDescent="0.3"/>
    <row r="5240" customFormat="1" x14ac:dyDescent="0.3"/>
    <row r="5241" customFormat="1" x14ac:dyDescent="0.3"/>
    <row r="5242" customFormat="1" x14ac:dyDescent="0.3"/>
    <row r="5243" customFormat="1" x14ac:dyDescent="0.3"/>
    <row r="5244" customFormat="1" x14ac:dyDescent="0.3"/>
    <row r="5245" customFormat="1" x14ac:dyDescent="0.3"/>
    <row r="5246" customFormat="1" x14ac:dyDescent="0.3"/>
    <row r="5247" customFormat="1" x14ac:dyDescent="0.3"/>
    <row r="5248" customFormat="1" x14ac:dyDescent="0.3"/>
    <row r="5249" customFormat="1" x14ac:dyDescent="0.3"/>
    <row r="5250" customFormat="1" x14ac:dyDescent="0.3"/>
    <row r="5251" customFormat="1" x14ac:dyDescent="0.3"/>
    <row r="5252" customFormat="1" x14ac:dyDescent="0.3"/>
    <row r="5253" customFormat="1" x14ac:dyDescent="0.3"/>
    <row r="5254" customFormat="1" x14ac:dyDescent="0.3"/>
    <row r="5255" customFormat="1" x14ac:dyDescent="0.3"/>
    <row r="5256" customFormat="1" x14ac:dyDescent="0.3"/>
    <row r="5257" customFormat="1" x14ac:dyDescent="0.3"/>
    <row r="5258" customFormat="1" x14ac:dyDescent="0.3"/>
    <row r="5259" customFormat="1" x14ac:dyDescent="0.3"/>
    <row r="5260" customFormat="1" x14ac:dyDescent="0.3"/>
    <row r="5261" customFormat="1" x14ac:dyDescent="0.3"/>
    <row r="5262" customFormat="1" x14ac:dyDescent="0.3"/>
    <row r="5263" customFormat="1" x14ac:dyDescent="0.3"/>
    <row r="5264" customFormat="1" x14ac:dyDescent="0.3"/>
    <row r="5265" customFormat="1" x14ac:dyDescent="0.3"/>
    <row r="5266" customFormat="1" x14ac:dyDescent="0.3"/>
    <row r="5267" customFormat="1" x14ac:dyDescent="0.3"/>
    <row r="5268" customFormat="1" x14ac:dyDescent="0.3"/>
    <row r="5269" customFormat="1" x14ac:dyDescent="0.3"/>
    <row r="5270" customFormat="1" x14ac:dyDescent="0.3"/>
    <row r="5271" customFormat="1" x14ac:dyDescent="0.3"/>
    <row r="5272" customFormat="1" x14ac:dyDescent="0.3"/>
    <row r="5273" customFormat="1" x14ac:dyDescent="0.3"/>
    <row r="5274" customFormat="1" x14ac:dyDescent="0.3"/>
    <row r="5275" customFormat="1" x14ac:dyDescent="0.3"/>
    <row r="5276" customFormat="1" x14ac:dyDescent="0.3"/>
    <row r="5277" customFormat="1" x14ac:dyDescent="0.3"/>
    <row r="5278" customFormat="1" x14ac:dyDescent="0.3"/>
    <row r="5279" customFormat="1" x14ac:dyDescent="0.3"/>
    <row r="5280" customFormat="1" x14ac:dyDescent="0.3"/>
    <row r="5281" customFormat="1" x14ac:dyDescent="0.3"/>
    <row r="5282" customFormat="1" x14ac:dyDescent="0.3"/>
    <row r="5283" customFormat="1" x14ac:dyDescent="0.3"/>
    <row r="5284" customFormat="1" x14ac:dyDescent="0.3"/>
    <row r="5285" customFormat="1" x14ac:dyDescent="0.3"/>
    <row r="5286" customFormat="1" x14ac:dyDescent="0.3"/>
    <row r="5287" customFormat="1" x14ac:dyDescent="0.3"/>
    <row r="5288" customFormat="1" x14ac:dyDescent="0.3"/>
    <row r="5289" customFormat="1" x14ac:dyDescent="0.3"/>
    <row r="5290" customFormat="1" x14ac:dyDescent="0.3"/>
    <row r="5291" customFormat="1" x14ac:dyDescent="0.3"/>
    <row r="5292" customFormat="1" x14ac:dyDescent="0.3"/>
    <row r="5293" customFormat="1" x14ac:dyDescent="0.3"/>
    <row r="5294" customFormat="1" x14ac:dyDescent="0.3"/>
    <row r="5295" customFormat="1" x14ac:dyDescent="0.3"/>
    <row r="5296" customFormat="1" x14ac:dyDescent="0.3"/>
    <row r="5297" customFormat="1" x14ac:dyDescent="0.3"/>
    <row r="5298" customFormat="1" x14ac:dyDescent="0.3"/>
    <row r="5299" customFormat="1" x14ac:dyDescent="0.3"/>
    <row r="5300" customFormat="1" x14ac:dyDescent="0.3"/>
    <row r="5301" customFormat="1" x14ac:dyDescent="0.3"/>
    <row r="5302" customFormat="1" x14ac:dyDescent="0.3"/>
    <row r="5303" customFormat="1" x14ac:dyDescent="0.3"/>
    <row r="5304" customFormat="1" x14ac:dyDescent="0.3"/>
    <row r="5305" customFormat="1" x14ac:dyDescent="0.3"/>
    <row r="5306" customFormat="1" x14ac:dyDescent="0.3"/>
    <row r="5307" customFormat="1" x14ac:dyDescent="0.3"/>
    <row r="5308" customFormat="1" x14ac:dyDescent="0.3"/>
    <row r="5309" customFormat="1" x14ac:dyDescent="0.3"/>
    <row r="5310" customFormat="1" x14ac:dyDescent="0.3"/>
    <row r="5311" customFormat="1" x14ac:dyDescent="0.3"/>
    <row r="5312" customFormat="1" x14ac:dyDescent="0.3"/>
    <row r="5313" customFormat="1" x14ac:dyDescent="0.3"/>
    <row r="5314" customFormat="1" x14ac:dyDescent="0.3"/>
    <row r="5315" customFormat="1" x14ac:dyDescent="0.3"/>
    <row r="5316" customFormat="1" x14ac:dyDescent="0.3"/>
    <row r="5317" customFormat="1" x14ac:dyDescent="0.3"/>
    <row r="5318" customFormat="1" x14ac:dyDescent="0.3"/>
    <row r="5319" customFormat="1" x14ac:dyDescent="0.3"/>
    <row r="5320" customFormat="1" x14ac:dyDescent="0.3"/>
    <row r="5321" customFormat="1" x14ac:dyDescent="0.3"/>
    <row r="5322" customFormat="1" x14ac:dyDescent="0.3"/>
    <row r="5323" customFormat="1" x14ac:dyDescent="0.3"/>
    <row r="5324" customFormat="1" x14ac:dyDescent="0.3"/>
    <row r="5325" customFormat="1" x14ac:dyDescent="0.3"/>
    <row r="5326" customFormat="1" x14ac:dyDescent="0.3"/>
    <row r="5327" customFormat="1" x14ac:dyDescent="0.3"/>
    <row r="5328" customFormat="1" x14ac:dyDescent="0.3"/>
    <row r="5329" customFormat="1" x14ac:dyDescent="0.3"/>
    <row r="5330" customFormat="1" x14ac:dyDescent="0.3"/>
    <row r="5331" customFormat="1" x14ac:dyDescent="0.3"/>
    <row r="5332" customFormat="1" x14ac:dyDescent="0.3"/>
    <row r="5333" customFormat="1" x14ac:dyDescent="0.3"/>
    <row r="5334" customFormat="1" x14ac:dyDescent="0.3"/>
    <row r="5335" customFormat="1" x14ac:dyDescent="0.3"/>
    <row r="5336" customFormat="1" x14ac:dyDescent="0.3"/>
    <row r="5337" customFormat="1" x14ac:dyDescent="0.3"/>
    <row r="5338" customFormat="1" x14ac:dyDescent="0.3"/>
    <row r="5339" customFormat="1" x14ac:dyDescent="0.3"/>
    <row r="5340" customFormat="1" x14ac:dyDescent="0.3"/>
    <row r="5341" customFormat="1" x14ac:dyDescent="0.3"/>
    <row r="5342" customFormat="1" x14ac:dyDescent="0.3"/>
    <row r="5343" customFormat="1" x14ac:dyDescent="0.3"/>
    <row r="5344" customFormat="1" x14ac:dyDescent="0.3"/>
    <row r="5345" customFormat="1" x14ac:dyDescent="0.3"/>
    <row r="5346" customFormat="1" x14ac:dyDescent="0.3"/>
    <row r="5347" customFormat="1" x14ac:dyDescent="0.3"/>
    <row r="5348" customFormat="1" x14ac:dyDescent="0.3"/>
    <row r="5349" customFormat="1" x14ac:dyDescent="0.3"/>
    <row r="5350" customFormat="1" x14ac:dyDescent="0.3"/>
    <row r="5351" customFormat="1" x14ac:dyDescent="0.3"/>
    <row r="5352" customFormat="1" x14ac:dyDescent="0.3"/>
    <row r="5353" customFormat="1" x14ac:dyDescent="0.3"/>
    <row r="5354" customFormat="1" x14ac:dyDescent="0.3"/>
    <row r="5355" customFormat="1" x14ac:dyDescent="0.3"/>
    <row r="5356" customFormat="1" x14ac:dyDescent="0.3"/>
    <row r="5357" customFormat="1" x14ac:dyDescent="0.3"/>
    <row r="5358" customFormat="1" x14ac:dyDescent="0.3"/>
    <row r="5359" customFormat="1" x14ac:dyDescent="0.3"/>
    <row r="5360" customFormat="1" x14ac:dyDescent="0.3"/>
    <row r="5361" customFormat="1" x14ac:dyDescent="0.3"/>
    <row r="5362" customFormat="1" x14ac:dyDescent="0.3"/>
    <row r="5363" customFormat="1" x14ac:dyDescent="0.3"/>
    <row r="5364" customFormat="1" x14ac:dyDescent="0.3"/>
    <row r="5365" customFormat="1" x14ac:dyDescent="0.3"/>
    <row r="5366" customFormat="1" x14ac:dyDescent="0.3"/>
    <row r="5367" customFormat="1" x14ac:dyDescent="0.3"/>
    <row r="5368" customFormat="1" x14ac:dyDescent="0.3"/>
    <row r="5369" customFormat="1" x14ac:dyDescent="0.3"/>
    <row r="5370" customFormat="1" x14ac:dyDescent="0.3"/>
    <row r="5371" customFormat="1" x14ac:dyDescent="0.3"/>
    <row r="5372" customFormat="1" x14ac:dyDescent="0.3"/>
    <row r="5373" customFormat="1" x14ac:dyDescent="0.3"/>
    <row r="5374" customFormat="1" x14ac:dyDescent="0.3"/>
    <row r="5375" customFormat="1" x14ac:dyDescent="0.3"/>
    <row r="5376" customFormat="1" x14ac:dyDescent="0.3"/>
    <row r="5377" customFormat="1" x14ac:dyDescent="0.3"/>
    <row r="5378" customFormat="1" x14ac:dyDescent="0.3"/>
    <row r="5379" customFormat="1" x14ac:dyDescent="0.3"/>
    <row r="5380" customFormat="1" x14ac:dyDescent="0.3"/>
    <row r="5381" customFormat="1" x14ac:dyDescent="0.3"/>
    <row r="5382" customFormat="1" x14ac:dyDescent="0.3"/>
    <row r="5383" customFormat="1" x14ac:dyDescent="0.3"/>
    <row r="5384" customFormat="1" x14ac:dyDescent="0.3"/>
    <row r="5385" customFormat="1" x14ac:dyDescent="0.3"/>
    <row r="5386" customFormat="1" x14ac:dyDescent="0.3"/>
    <row r="5387" customFormat="1" x14ac:dyDescent="0.3"/>
    <row r="5388" customFormat="1" x14ac:dyDescent="0.3"/>
    <row r="5389" customFormat="1" x14ac:dyDescent="0.3"/>
    <row r="5390" customFormat="1" x14ac:dyDescent="0.3"/>
    <row r="5391" customFormat="1" x14ac:dyDescent="0.3"/>
    <row r="5392" customFormat="1" x14ac:dyDescent="0.3"/>
    <row r="5393" customFormat="1" x14ac:dyDescent="0.3"/>
    <row r="5394" customFormat="1" x14ac:dyDescent="0.3"/>
    <row r="5395" customFormat="1" x14ac:dyDescent="0.3"/>
    <row r="5396" customFormat="1" x14ac:dyDescent="0.3"/>
    <row r="5397" customFormat="1" x14ac:dyDescent="0.3"/>
    <row r="5398" customFormat="1" x14ac:dyDescent="0.3"/>
    <row r="5399" customFormat="1" x14ac:dyDescent="0.3"/>
    <row r="5400" customFormat="1" x14ac:dyDescent="0.3"/>
    <row r="5401" customFormat="1" x14ac:dyDescent="0.3"/>
    <row r="5402" customFormat="1" x14ac:dyDescent="0.3"/>
    <row r="5403" customFormat="1" x14ac:dyDescent="0.3"/>
    <row r="5404" customFormat="1" x14ac:dyDescent="0.3"/>
    <row r="5405" customFormat="1" x14ac:dyDescent="0.3"/>
    <row r="5406" customFormat="1" x14ac:dyDescent="0.3"/>
    <row r="5407" customFormat="1" x14ac:dyDescent="0.3"/>
    <row r="5408" customFormat="1" x14ac:dyDescent="0.3"/>
    <row r="5409" customFormat="1" x14ac:dyDescent="0.3"/>
    <row r="5410" customFormat="1" x14ac:dyDescent="0.3"/>
    <row r="5411" customFormat="1" x14ac:dyDescent="0.3"/>
    <row r="5412" customFormat="1" x14ac:dyDescent="0.3"/>
    <row r="5413" customFormat="1" x14ac:dyDescent="0.3"/>
    <row r="5414" customFormat="1" x14ac:dyDescent="0.3"/>
    <row r="5415" customFormat="1" x14ac:dyDescent="0.3"/>
    <row r="5416" customFormat="1" x14ac:dyDescent="0.3"/>
    <row r="5417" customFormat="1" x14ac:dyDescent="0.3"/>
    <row r="5418" customFormat="1" x14ac:dyDescent="0.3"/>
    <row r="5419" customFormat="1" x14ac:dyDescent="0.3"/>
    <row r="5420" customFormat="1" x14ac:dyDescent="0.3"/>
    <row r="5421" customFormat="1" x14ac:dyDescent="0.3"/>
    <row r="5422" customFormat="1" x14ac:dyDescent="0.3"/>
    <row r="5423" customFormat="1" x14ac:dyDescent="0.3"/>
    <row r="5424" customFormat="1" x14ac:dyDescent="0.3"/>
    <row r="5425" customFormat="1" x14ac:dyDescent="0.3"/>
    <row r="5426" customFormat="1" x14ac:dyDescent="0.3"/>
    <row r="5427" customFormat="1" x14ac:dyDescent="0.3"/>
    <row r="5428" customFormat="1" x14ac:dyDescent="0.3"/>
    <row r="5429" customFormat="1" x14ac:dyDescent="0.3"/>
    <row r="5430" customFormat="1" x14ac:dyDescent="0.3"/>
    <row r="5431" customFormat="1" x14ac:dyDescent="0.3"/>
    <row r="5432" customFormat="1" x14ac:dyDescent="0.3"/>
    <row r="5433" customFormat="1" x14ac:dyDescent="0.3"/>
    <row r="5434" customFormat="1" x14ac:dyDescent="0.3"/>
    <row r="5435" customFormat="1" x14ac:dyDescent="0.3"/>
    <row r="5436" customFormat="1" x14ac:dyDescent="0.3"/>
    <row r="5437" customFormat="1" x14ac:dyDescent="0.3"/>
    <row r="5438" customFormat="1" x14ac:dyDescent="0.3"/>
    <row r="5439" customFormat="1" x14ac:dyDescent="0.3"/>
    <row r="5440" customFormat="1" x14ac:dyDescent="0.3"/>
    <row r="5441" customFormat="1" x14ac:dyDescent="0.3"/>
    <row r="5442" customFormat="1" x14ac:dyDescent="0.3"/>
    <row r="5443" customFormat="1" x14ac:dyDescent="0.3"/>
    <row r="5444" customFormat="1" x14ac:dyDescent="0.3"/>
    <row r="5445" customFormat="1" x14ac:dyDescent="0.3"/>
    <row r="5446" customFormat="1" x14ac:dyDescent="0.3"/>
    <row r="5447" customFormat="1" x14ac:dyDescent="0.3"/>
    <row r="5448" customFormat="1" x14ac:dyDescent="0.3"/>
    <row r="5449" customFormat="1" x14ac:dyDescent="0.3"/>
    <row r="5450" customFormat="1" x14ac:dyDescent="0.3"/>
    <row r="5451" customFormat="1" x14ac:dyDescent="0.3"/>
    <row r="5452" customFormat="1" x14ac:dyDescent="0.3"/>
    <row r="5453" customFormat="1" x14ac:dyDescent="0.3"/>
    <row r="5454" customFormat="1" x14ac:dyDescent="0.3"/>
    <row r="5455" customFormat="1" x14ac:dyDescent="0.3"/>
    <row r="5456" customFormat="1" x14ac:dyDescent="0.3"/>
    <row r="5457" customFormat="1" x14ac:dyDescent="0.3"/>
    <row r="5458" customFormat="1" x14ac:dyDescent="0.3"/>
    <row r="5459" customFormat="1" x14ac:dyDescent="0.3"/>
    <row r="5460" customFormat="1" x14ac:dyDescent="0.3"/>
    <row r="5461" customFormat="1" x14ac:dyDescent="0.3"/>
    <row r="5462" customFormat="1" x14ac:dyDescent="0.3"/>
    <row r="5463" customFormat="1" x14ac:dyDescent="0.3"/>
    <row r="5464" customFormat="1" x14ac:dyDescent="0.3"/>
    <row r="5465" customFormat="1" x14ac:dyDescent="0.3"/>
    <row r="5466" customFormat="1" x14ac:dyDescent="0.3"/>
    <row r="5467" customFormat="1" x14ac:dyDescent="0.3"/>
    <row r="5468" customFormat="1" x14ac:dyDescent="0.3"/>
    <row r="5469" customFormat="1" x14ac:dyDescent="0.3"/>
    <row r="5470" customFormat="1" x14ac:dyDescent="0.3"/>
    <row r="5471" customFormat="1" x14ac:dyDescent="0.3"/>
    <row r="5472" customFormat="1" x14ac:dyDescent="0.3"/>
    <row r="5473" customFormat="1" x14ac:dyDescent="0.3"/>
    <row r="5474" customFormat="1" x14ac:dyDescent="0.3"/>
    <row r="5475" customFormat="1" x14ac:dyDescent="0.3"/>
    <row r="5476" customFormat="1" x14ac:dyDescent="0.3"/>
    <row r="5477" customFormat="1" x14ac:dyDescent="0.3"/>
    <row r="5478" customFormat="1" x14ac:dyDescent="0.3"/>
    <row r="5479" customFormat="1" x14ac:dyDescent="0.3"/>
    <row r="5480" customFormat="1" x14ac:dyDescent="0.3"/>
    <row r="5481" customFormat="1" x14ac:dyDescent="0.3"/>
    <row r="5482" customFormat="1" x14ac:dyDescent="0.3"/>
    <row r="5483" customFormat="1" x14ac:dyDescent="0.3"/>
    <row r="5484" customFormat="1" x14ac:dyDescent="0.3"/>
    <row r="5485" customFormat="1" x14ac:dyDescent="0.3"/>
    <row r="5486" customFormat="1" x14ac:dyDescent="0.3"/>
    <row r="5487" customFormat="1" x14ac:dyDescent="0.3"/>
    <row r="5488" customFormat="1" x14ac:dyDescent="0.3"/>
    <row r="5489" customFormat="1" x14ac:dyDescent="0.3"/>
    <row r="5490" customFormat="1" x14ac:dyDescent="0.3"/>
    <row r="5491" customFormat="1" x14ac:dyDescent="0.3"/>
    <row r="5492" customFormat="1" x14ac:dyDescent="0.3"/>
    <row r="5493" customFormat="1" x14ac:dyDescent="0.3"/>
    <row r="5494" customFormat="1" x14ac:dyDescent="0.3"/>
    <row r="5495" customFormat="1" x14ac:dyDescent="0.3"/>
    <row r="5496" customFormat="1" x14ac:dyDescent="0.3"/>
    <row r="5497" customFormat="1" x14ac:dyDescent="0.3"/>
    <row r="5498" customFormat="1" x14ac:dyDescent="0.3"/>
    <row r="5499" customFormat="1" x14ac:dyDescent="0.3"/>
    <row r="5500" customFormat="1" x14ac:dyDescent="0.3"/>
    <row r="5501" customFormat="1" x14ac:dyDescent="0.3"/>
    <row r="5502" customFormat="1" x14ac:dyDescent="0.3"/>
    <row r="5503" customFormat="1" x14ac:dyDescent="0.3"/>
    <row r="5504" customFormat="1" x14ac:dyDescent="0.3"/>
    <row r="5505" customFormat="1" x14ac:dyDescent="0.3"/>
    <row r="5506" customFormat="1" x14ac:dyDescent="0.3"/>
    <row r="5507" customFormat="1" x14ac:dyDescent="0.3"/>
    <row r="5508" customFormat="1" x14ac:dyDescent="0.3"/>
    <row r="5509" customFormat="1" x14ac:dyDescent="0.3"/>
    <row r="5510" customFormat="1" x14ac:dyDescent="0.3"/>
    <row r="5511" customFormat="1" x14ac:dyDescent="0.3"/>
    <row r="5512" customFormat="1" x14ac:dyDescent="0.3"/>
    <row r="5513" customFormat="1" x14ac:dyDescent="0.3"/>
    <row r="5514" customFormat="1" x14ac:dyDescent="0.3"/>
    <row r="5515" customFormat="1" x14ac:dyDescent="0.3"/>
    <row r="5516" customFormat="1" x14ac:dyDescent="0.3"/>
    <row r="5517" customFormat="1" x14ac:dyDescent="0.3"/>
    <row r="5518" customFormat="1" x14ac:dyDescent="0.3"/>
    <row r="5519" customFormat="1" x14ac:dyDescent="0.3"/>
    <row r="5520" customFormat="1" x14ac:dyDescent="0.3"/>
    <row r="5521" customFormat="1" x14ac:dyDescent="0.3"/>
    <row r="5522" customFormat="1" x14ac:dyDescent="0.3"/>
    <row r="5523" customFormat="1" x14ac:dyDescent="0.3"/>
    <row r="5524" customFormat="1" x14ac:dyDescent="0.3"/>
    <row r="5525" customFormat="1" x14ac:dyDescent="0.3"/>
    <row r="5526" customFormat="1" x14ac:dyDescent="0.3"/>
    <row r="5527" customFormat="1" x14ac:dyDescent="0.3"/>
    <row r="5528" customFormat="1" x14ac:dyDescent="0.3"/>
    <row r="5529" customFormat="1" x14ac:dyDescent="0.3"/>
    <row r="5530" customFormat="1" x14ac:dyDescent="0.3"/>
    <row r="5531" customFormat="1" x14ac:dyDescent="0.3"/>
    <row r="5532" customFormat="1" x14ac:dyDescent="0.3"/>
    <row r="5533" customFormat="1" x14ac:dyDescent="0.3"/>
    <row r="5534" customFormat="1" x14ac:dyDescent="0.3"/>
    <row r="5535" customFormat="1" x14ac:dyDescent="0.3"/>
    <row r="5536" customFormat="1" x14ac:dyDescent="0.3"/>
    <row r="5537" customFormat="1" x14ac:dyDescent="0.3"/>
    <row r="5538" customFormat="1" x14ac:dyDescent="0.3"/>
    <row r="5539" customFormat="1" x14ac:dyDescent="0.3"/>
    <row r="5540" customFormat="1" x14ac:dyDescent="0.3"/>
    <row r="5541" customFormat="1" x14ac:dyDescent="0.3"/>
    <row r="5542" customFormat="1" x14ac:dyDescent="0.3"/>
    <row r="5543" customFormat="1" x14ac:dyDescent="0.3"/>
    <row r="5544" customFormat="1" x14ac:dyDescent="0.3"/>
    <row r="5545" customFormat="1" x14ac:dyDescent="0.3"/>
    <row r="5546" customFormat="1" x14ac:dyDescent="0.3"/>
    <row r="5547" customFormat="1" x14ac:dyDescent="0.3"/>
    <row r="5548" customFormat="1" x14ac:dyDescent="0.3"/>
    <row r="5549" customFormat="1" x14ac:dyDescent="0.3"/>
    <row r="5550" customFormat="1" x14ac:dyDescent="0.3"/>
    <row r="5551" customFormat="1" x14ac:dyDescent="0.3"/>
    <row r="5552" customFormat="1" x14ac:dyDescent="0.3"/>
    <row r="5553" customFormat="1" x14ac:dyDescent="0.3"/>
    <row r="5554" customFormat="1" x14ac:dyDescent="0.3"/>
    <row r="5555" customFormat="1" x14ac:dyDescent="0.3"/>
    <row r="5556" customFormat="1" x14ac:dyDescent="0.3"/>
    <row r="5557" customFormat="1" x14ac:dyDescent="0.3"/>
    <row r="5558" customFormat="1" x14ac:dyDescent="0.3"/>
    <row r="5559" customFormat="1" x14ac:dyDescent="0.3"/>
    <row r="5560" customFormat="1" x14ac:dyDescent="0.3"/>
    <row r="5561" customFormat="1" x14ac:dyDescent="0.3"/>
    <row r="5562" customFormat="1" x14ac:dyDescent="0.3"/>
    <row r="5563" customFormat="1" x14ac:dyDescent="0.3"/>
    <row r="5564" customFormat="1" x14ac:dyDescent="0.3"/>
    <row r="5565" customFormat="1" x14ac:dyDescent="0.3"/>
    <row r="5566" customFormat="1" x14ac:dyDescent="0.3"/>
    <row r="5567" customFormat="1" x14ac:dyDescent="0.3"/>
    <row r="5568" customFormat="1" x14ac:dyDescent="0.3"/>
    <row r="5569" customFormat="1" x14ac:dyDescent="0.3"/>
    <row r="5570" customFormat="1" x14ac:dyDescent="0.3"/>
    <row r="5571" customFormat="1" x14ac:dyDescent="0.3"/>
    <row r="5572" customFormat="1" x14ac:dyDescent="0.3"/>
    <row r="5573" customFormat="1" x14ac:dyDescent="0.3"/>
    <row r="5574" customFormat="1" x14ac:dyDescent="0.3"/>
    <row r="5575" customFormat="1" x14ac:dyDescent="0.3"/>
    <row r="5576" customFormat="1" x14ac:dyDescent="0.3"/>
    <row r="5577" customFormat="1" x14ac:dyDescent="0.3"/>
    <row r="5578" customFormat="1" x14ac:dyDescent="0.3"/>
    <row r="5579" customFormat="1" x14ac:dyDescent="0.3"/>
    <row r="5580" customFormat="1" x14ac:dyDescent="0.3"/>
    <row r="5581" customFormat="1" x14ac:dyDescent="0.3"/>
    <row r="5582" customFormat="1" x14ac:dyDescent="0.3"/>
    <row r="5583" customFormat="1" x14ac:dyDescent="0.3"/>
    <row r="5584" customFormat="1" x14ac:dyDescent="0.3"/>
    <row r="5585" customFormat="1" x14ac:dyDescent="0.3"/>
    <row r="5586" customFormat="1" x14ac:dyDescent="0.3"/>
    <row r="5587" customFormat="1" x14ac:dyDescent="0.3"/>
    <row r="5588" customFormat="1" x14ac:dyDescent="0.3"/>
    <row r="5589" customFormat="1" x14ac:dyDescent="0.3"/>
    <row r="5590" customFormat="1" x14ac:dyDescent="0.3"/>
    <row r="5591" customFormat="1" x14ac:dyDescent="0.3"/>
    <row r="5592" customFormat="1" x14ac:dyDescent="0.3"/>
    <row r="5593" customFormat="1" x14ac:dyDescent="0.3"/>
    <row r="5594" customFormat="1" x14ac:dyDescent="0.3"/>
    <row r="5595" customFormat="1" x14ac:dyDescent="0.3"/>
    <row r="5596" customFormat="1" x14ac:dyDescent="0.3"/>
    <row r="5597" customFormat="1" x14ac:dyDescent="0.3"/>
    <row r="5598" customFormat="1" x14ac:dyDescent="0.3"/>
    <row r="5599" customFormat="1" x14ac:dyDescent="0.3"/>
    <row r="5600" customFormat="1" x14ac:dyDescent="0.3"/>
    <row r="5601" customFormat="1" x14ac:dyDescent="0.3"/>
    <row r="5602" customFormat="1" x14ac:dyDescent="0.3"/>
    <row r="5603" customFormat="1" x14ac:dyDescent="0.3"/>
    <row r="5604" customFormat="1" x14ac:dyDescent="0.3"/>
    <row r="5605" customFormat="1" x14ac:dyDescent="0.3"/>
    <row r="5606" customFormat="1" x14ac:dyDescent="0.3"/>
    <row r="5607" customFormat="1" x14ac:dyDescent="0.3"/>
    <row r="5608" customFormat="1" x14ac:dyDescent="0.3"/>
    <row r="5609" customFormat="1" x14ac:dyDescent="0.3"/>
    <row r="5610" customFormat="1" x14ac:dyDescent="0.3"/>
    <row r="5611" customFormat="1" x14ac:dyDescent="0.3"/>
    <row r="5612" customFormat="1" x14ac:dyDescent="0.3"/>
    <row r="5613" customFormat="1" x14ac:dyDescent="0.3"/>
    <row r="5614" customFormat="1" x14ac:dyDescent="0.3"/>
    <row r="5615" customFormat="1" x14ac:dyDescent="0.3"/>
    <row r="5616" customFormat="1" x14ac:dyDescent="0.3"/>
    <row r="5617" customFormat="1" x14ac:dyDescent="0.3"/>
    <row r="5618" customFormat="1" x14ac:dyDescent="0.3"/>
    <row r="5619" customFormat="1" x14ac:dyDescent="0.3"/>
    <row r="5620" customFormat="1" x14ac:dyDescent="0.3"/>
    <row r="5621" customFormat="1" x14ac:dyDescent="0.3"/>
    <row r="5622" customFormat="1" x14ac:dyDescent="0.3"/>
    <row r="5623" customFormat="1" x14ac:dyDescent="0.3"/>
    <row r="5624" customFormat="1" x14ac:dyDescent="0.3"/>
    <row r="5625" customFormat="1" x14ac:dyDescent="0.3"/>
    <row r="5626" customFormat="1" x14ac:dyDescent="0.3"/>
    <row r="5627" customFormat="1" x14ac:dyDescent="0.3"/>
    <row r="5628" customFormat="1" x14ac:dyDescent="0.3"/>
    <row r="5629" customFormat="1" x14ac:dyDescent="0.3"/>
    <row r="5630" customFormat="1" x14ac:dyDescent="0.3"/>
    <row r="5631" customFormat="1" x14ac:dyDescent="0.3"/>
    <row r="5632" customFormat="1" x14ac:dyDescent="0.3"/>
    <row r="5633" customFormat="1" x14ac:dyDescent="0.3"/>
    <row r="5634" customFormat="1" x14ac:dyDescent="0.3"/>
    <row r="5635" customFormat="1" x14ac:dyDescent="0.3"/>
    <row r="5636" customFormat="1" x14ac:dyDescent="0.3"/>
    <row r="5637" customFormat="1" x14ac:dyDescent="0.3"/>
    <row r="5638" customFormat="1" x14ac:dyDescent="0.3"/>
    <row r="5639" customFormat="1" x14ac:dyDescent="0.3"/>
    <row r="5640" customFormat="1" x14ac:dyDescent="0.3"/>
    <row r="5641" customFormat="1" x14ac:dyDescent="0.3"/>
    <row r="5642" customFormat="1" x14ac:dyDescent="0.3"/>
    <row r="5643" customFormat="1" x14ac:dyDescent="0.3"/>
    <row r="5644" customFormat="1" x14ac:dyDescent="0.3"/>
    <row r="5645" customFormat="1" x14ac:dyDescent="0.3"/>
    <row r="5646" customFormat="1" x14ac:dyDescent="0.3"/>
    <row r="5647" customFormat="1" x14ac:dyDescent="0.3"/>
    <row r="5648" customFormat="1" x14ac:dyDescent="0.3"/>
    <row r="5649" customFormat="1" x14ac:dyDescent="0.3"/>
    <row r="5650" customFormat="1" x14ac:dyDescent="0.3"/>
    <row r="5651" customFormat="1" x14ac:dyDescent="0.3"/>
    <row r="5652" customFormat="1" x14ac:dyDescent="0.3"/>
    <row r="5653" customFormat="1" x14ac:dyDescent="0.3"/>
    <row r="5654" customFormat="1" x14ac:dyDescent="0.3"/>
    <row r="5655" customFormat="1" x14ac:dyDescent="0.3"/>
    <row r="5656" customFormat="1" x14ac:dyDescent="0.3"/>
    <row r="5657" customFormat="1" x14ac:dyDescent="0.3"/>
    <row r="5658" customFormat="1" x14ac:dyDescent="0.3"/>
    <row r="5659" customFormat="1" x14ac:dyDescent="0.3"/>
    <row r="5660" customFormat="1" x14ac:dyDescent="0.3"/>
    <row r="5661" customFormat="1" x14ac:dyDescent="0.3"/>
    <row r="5662" customFormat="1" x14ac:dyDescent="0.3"/>
    <row r="5663" customFormat="1" x14ac:dyDescent="0.3"/>
    <row r="5664" customFormat="1" x14ac:dyDescent="0.3"/>
    <row r="5665" customFormat="1" x14ac:dyDescent="0.3"/>
    <row r="5666" customFormat="1" x14ac:dyDescent="0.3"/>
    <row r="5667" customFormat="1" x14ac:dyDescent="0.3"/>
    <row r="5668" customFormat="1" x14ac:dyDescent="0.3"/>
    <row r="5669" customFormat="1" x14ac:dyDescent="0.3"/>
    <row r="5670" customFormat="1" x14ac:dyDescent="0.3"/>
    <row r="5671" customFormat="1" x14ac:dyDescent="0.3"/>
    <row r="5672" customFormat="1" x14ac:dyDescent="0.3"/>
    <row r="5673" customFormat="1" x14ac:dyDescent="0.3"/>
    <row r="5674" customFormat="1" x14ac:dyDescent="0.3"/>
    <row r="5675" customFormat="1" x14ac:dyDescent="0.3"/>
    <row r="5676" customFormat="1" x14ac:dyDescent="0.3"/>
    <row r="5677" customFormat="1" x14ac:dyDescent="0.3"/>
    <row r="5678" customFormat="1" x14ac:dyDescent="0.3"/>
    <row r="5679" customFormat="1" x14ac:dyDescent="0.3"/>
    <row r="5680" customFormat="1" x14ac:dyDescent="0.3"/>
    <row r="5681" customFormat="1" x14ac:dyDescent="0.3"/>
    <row r="5682" customFormat="1" x14ac:dyDescent="0.3"/>
    <row r="5683" customFormat="1" x14ac:dyDescent="0.3"/>
    <row r="5684" customFormat="1" x14ac:dyDescent="0.3"/>
    <row r="5685" customFormat="1" x14ac:dyDescent="0.3"/>
    <row r="5686" customFormat="1" x14ac:dyDescent="0.3"/>
    <row r="5687" customFormat="1" x14ac:dyDescent="0.3"/>
    <row r="5688" customFormat="1" x14ac:dyDescent="0.3"/>
    <row r="5689" customFormat="1" x14ac:dyDescent="0.3"/>
    <row r="5690" customFormat="1" x14ac:dyDescent="0.3"/>
    <row r="5691" customFormat="1" x14ac:dyDescent="0.3"/>
    <row r="5692" customFormat="1" x14ac:dyDescent="0.3"/>
    <row r="5693" customFormat="1" x14ac:dyDescent="0.3"/>
    <row r="5694" customFormat="1" x14ac:dyDescent="0.3"/>
    <row r="5695" customFormat="1" x14ac:dyDescent="0.3"/>
    <row r="5696" customFormat="1" x14ac:dyDescent="0.3"/>
    <row r="5697" customFormat="1" x14ac:dyDescent="0.3"/>
    <row r="5698" customFormat="1" x14ac:dyDescent="0.3"/>
    <row r="5699" customFormat="1" x14ac:dyDescent="0.3"/>
    <row r="5700" customFormat="1" x14ac:dyDescent="0.3"/>
    <row r="5701" customFormat="1" x14ac:dyDescent="0.3"/>
    <row r="5702" customFormat="1" x14ac:dyDescent="0.3"/>
    <row r="5703" customFormat="1" x14ac:dyDescent="0.3"/>
    <row r="5704" customFormat="1" x14ac:dyDescent="0.3"/>
    <row r="5705" customFormat="1" x14ac:dyDescent="0.3"/>
    <row r="5706" customFormat="1" x14ac:dyDescent="0.3"/>
    <row r="5707" customFormat="1" x14ac:dyDescent="0.3"/>
    <row r="5708" customFormat="1" x14ac:dyDescent="0.3"/>
    <row r="5709" customFormat="1" x14ac:dyDescent="0.3"/>
    <row r="5710" customFormat="1" x14ac:dyDescent="0.3"/>
    <row r="5711" customFormat="1" x14ac:dyDescent="0.3"/>
    <row r="5712" customFormat="1" x14ac:dyDescent="0.3"/>
    <row r="5713" customFormat="1" x14ac:dyDescent="0.3"/>
    <row r="5714" customFormat="1" x14ac:dyDescent="0.3"/>
    <row r="5715" customFormat="1" x14ac:dyDescent="0.3"/>
    <row r="5716" customFormat="1" x14ac:dyDescent="0.3"/>
    <row r="5717" customFormat="1" x14ac:dyDescent="0.3"/>
    <row r="5718" customFormat="1" x14ac:dyDescent="0.3"/>
    <row r="5719" customFormat="1" x14ac:dyDescent="0.3"/>
    <row r="5720" customFormat="1" x14ac:dyDescent="0.3"/>
    <row r="5721" customFormat="1" x14ac:dyDescent="0.3"/>
    <row r="5722" customFormat="1" x14ac:dyDescent="0.3"/>
    <row r="5723" customFormat="1" x14ac:dyDescent="0.3"/>
    <row r="5724" customFormat="1" x14ac:dyDescent="0.3"/>
    <row r="5725" customFormat="1" x14ac:dyDescent="0.3"/>
    <row r="5726" customFormat="1" x14ac:dyDescent="0.3"/>
    <row r="5727" customFormat="1" x14ac:dyDescent="0.3"/>
    <row r="5728" customFormat="1" x14ac:dyDescent="0.3"/>
    <row r="5729" customFormat="1" x14ac:dyDescent="0.3"/>
    <row r="5730" customFormat="1" x14ac:dyDescent="0.3"/>
    <row r="5731" customFormat="1" x14ac:dyDescent="0.3"/>
    <row r="5732" customFormat="1" x14ac:dyDescent="0.3"/>
    <row r="5733" customFormat="1" x14ac:dyDescent="0.3"/>
    <row r="5734" customFormat="1" x14ac:dyDescent="0.3"/>
    <row r="5735" customFormat="1" x14ac:dyDescent="0.3"/>
    <row r="5736" customFormat="1" x14ac:dyDescent="0.3"/>
    <row r="5737" customFormat="1" x14ac:dyDescent="0.3"/>
    <row r="5738" customFormat="1" x14ac:dyDescent="0.3"/>
    <row r="5739" customFormat="1" x14ac:dyDescent="0.3"/>
    <row r="5740" customFormat="1" x14ac:dyDescent="0.3"/>
    <row r="5741" customFormat="1" x14ac:dyDescent="0.3"/>
    <row r="5742" customFormat="1" x14ac:dyDescent="0.3"/>
    <row r="5743" customFormat="1" x14ac:dyDescent="0.3"/>
    <row r="5744" customFormat="1" x14ac:dyDescent="0.3"/>
    <row r="5745" customFormat="1" x14ac:dyDescent="0.3"/>
    <row r="5746" customFormat="1" x14ac:dyDescent="0.3"/>
    <row r="5747" customFormat="1" x14ac:dyDescent="0.3"/>
    <row r="5748" customFormat="1" x14ac:dyDescent="0.3"/>
    <row r="5749" customFormat="1" x14ac:dyDescent="0.3"/>
    <row r="5750" customFormat="1" x14ac:dyDescent="0.3"/>
    <row r="5751" customFormat="1" x14ac:dyDescent="0.3"/>
    <row r="5752" customFormat="1" x14ac:dyDescent="0.3"/>
    <row r="5753" customFormat="1" x14ac:dyDescent="0.3"/>
    <row r="5754" customFormat="1" x14ac:dyDescent="0.3"/>
    <row r="5755" customFormat="1" x14ac:dyDescent="0.3"/>
    <row r="5756" customFormat="1" x14ac:dyDescent="0.3"/>
    <row r="5757" customFormat="1" x14ac:dyDescent="0.3"/>
    <row r="5758" customFormat="1" x14ac:dyDescent="0.3"/>
    <row r="5759" customFormat="1" x14ac:dyDescent="0.3"/>
    <row r="5760" customFormat="1" x14ac:dyDescent="0.3"/>
    <row r="5761" customFormat="1" x14ac:dyDescent="0.3"/>
    <row r="5762" customFormat="1" x14ac:dyDescent="0.3"/>
    <row r="5763" customFormat="1" x14ac:dyDescent="0.3"/>
    <row r="5764" customFormat="1" x14ac:dyDescent="0.3"/>
    <row r="5765" customFormat="1" x14ac:dyDescent="0.3"/>
    <row r="5766" customFormat="1" x14ac:dyDescent="0.3"/>
    <row r="5767" customFormat="1" x14ac:dyDescent="0.3"/>
    <row r="5768" customFormat="1" x14ac:dyDescent="0.3"/>
    <row r="5769" customFormat="1" x14ac:dyDescent="0.3"/>
    <row r="5770" customFormat="1" x14ac:dyDescent="0.3"/>
    <row r="5771" customFormat="1" x14ac:dyDescent="0.3"/>
    <row r="5772" customFormat="1" x14ac:dyDescent="0.3"/>
    <row r="5773" customFormat="1" x14ac:dyDescent="0.3"/>
    <row r="5774" customFormat="1" x14ac:dyDescent="0.3"/>
    <row r="5775" customFormat="1" x14ac:dyDescent="0.3"/>
    <row r="5776" customFormat="1" x14ac:dyDescent="0.3"/>
    <row r="5777" customFormat="1" x14ac:dyDescent="0.3"/>
    <row r="5778" customFormat="1" x14ac:dyDescent="0.3"/>
    <row r="5779" customFormat="1" x14ac:dyDescent="0.3"/>
    <row r="5780" customFormat="1" x14ac:dyDescent="0.3"/>
    <row r="5781" customFormat="1" x14ac:dyDescent="0.3"/>
    <row r="5782" customFormat="1" x14ac:dyDescent="0.3"/>
    <row r="5783" customFormat="1" x14ac:dyDescent="0.3"/>
    <row r="5784" customFormat="1" x14ac:dyDescent="0.3"/>
    <row r="5785" customFormat="1" x14ac:dyDescent="0.3"/>
    <row r="5786" customFormat="1" x14ac:dyDescent="0.3"/>
    <row r="5787" customFormat="1" x14ac:dyDescent="0.3"/>
    <row r="5788" customFormat="1" x14ac:dyDescent="0.3"/>
    <row r="5789" customFormat="1" x14ac:dyDescent="0.3"/>
    <row r="5790" customFormat="1" x14ac:dyDescent="0.3"/>
    <row r="5791" customFormat="1" x14ac:dyDescent="0.3"/>
    <row r="5792" customFormat="1" x14ac:dyDescent="0.3"/>
    <row r="5793" customFormat="1" x14ac:dyDescent="0.3"/>
    <row r="5794" customFormat="1" x14ac:dyDescent="0.3"/>
    <row r="5795" customFormat="1" x14ac:dyDescent="0.3"/>
    <row r="5796" customFormat="1" x14ac:dyDescent="0.3"/>
    <row r="5797" customFormat="1" x14ac:dyDescent="0.3"/>
    <row r="5798" customFormat="1" x14ac:dyDescent="0.3"/>
    <row r="5799" customFormat="1" x14ac:dyDescent="0.3"/>
    <row r="5800" customFormat="1" x14ac:dyDescent="0.3"/>
    <row r="5801" customFormat="1" x14ac:dyDescent="0.3"/>
    <row r="5802" customFormat="1" x14ac:dyDescent="0.3"/>
    <row r="5803" customFormat="1" x14ac:dyDescent="0.3"/>
    <row r="5804" customFormat="1" x14ac:dyDescent="0.3"/>
    <row r="5805" customFormat="1" x14ac:dyDescent="0.3"/>
    <row r="5806" customFormat="1" x14ac:dyDescent="0.3"/>
    <row r="5807" customFormat="1" x14ac:dyDescent="0.3"/>
    <row r="5808" customFormat="1" x14ac:dyDescent="0.3"/>
    <row r="5809" customFormat="1" x14ac:dyDescent="0.3"/>
    <row r="5810" customFormat="1" x14ac:dyDescent="0.3"/>
    <row r="5811" customFormat="1" x14ac:dyDescent="0.3"/>
    <row r="5812" customFormat="1" x14ac:dyDescent="0.3"/>
    <row r="5813" customFormat="1" x14ac:dyDescent="0.3"/>
    <row r="5814" customFormat="1" x14ac:dyDescent="0.3"/>
    <row r="5815" customFormat="1" x14ac:dyDescent="0.3"/>
    <row r="5816" customFormat="1" x14ac:dyDescent="0.3"/>
    <row r="5817" customFormat="1" x14ac:dyDescent="0.3"/>
    <row r="5818" customFormat="1" x14ac:dyDescent="0.3"/>
    <row r="5819" customFormat="1" x14ac:dyDescent="0.3"/>
    <row r="5820" customFormat="1" x14ac:dyDescent="0.3"/>
    <row r="5821" customFormat="1" x14ac:dyDescent="0.3"/>
    <row r="5822" customFormat="1" x14ac:dyDescent="0.3"/>
    <row r="5823" customFormat="1" x14ac:dyDescent="0.3"/>
    <row r="5824" customFormat="1" x14ac:dyDescent="0.3"/>
    <row r="5825" customFormat="1" x14ac:dyDescent="0.3"/>
    <row r="5826" customFormat="1" x14ac:dyDescent="0.3"/>
    <row r="5827" customFormat="1" x14ac:dyDescent="0.3"/>
    <row r="5828" customFormat="1" x14ac:dyDescent="0.3"/>
    <row r="5829" customFormat="1" x14ac:dyDescent="0.3"/>
    <row r="5830" customFormat="1" x14ac:dyDescent="0.3"/>
    <row r="5831" customFormat="1" x14ac:dyDescent="0.3"/>
    <row r="5832" customFormat="1" x14ac:dyDescent="0.3"/>
    <row r="5833" customFormat="1" x14ac:dyDescent="0.3"/>
    <row r="5834" customFormat="1" x14ac:dyDescent="0.3"/>
    <row r="5835" customFormat="1" x14ac:dyDescent="0.3"/>
    <row r="5836" customFormat="1" x14ac:dyDescent="0.3"/>
    <row r="5837" customFormat="1" x14ac:dyDescent="0.3"/>
    <row r="5838" customFormat="1" x14ac:dyDescent="0.3"/>
    <row r="5839" customFormat="1" x14ac:dyDescent="0.3"/>
    <row r="5840" customFormat="1" x14ac:dyDescent="0.3"/>
    <row r="5841" customFormat="1" x14ac:dyDescent="0.3"/>
    <row r="5842" customFormat="1" x14ac:dyDescent="0.3"/>
    <row r="5843" customFormat="1" x14ac:dyDescent="0.3"/>
    <row r="5844" customFormat="1" x14ac:dyDescent="0.3"/>
    <row r="5845" customFormat="1" x14ac:dyDescent="0.3"/>
    <row r="5846" customFormat="1" x14ac:dyDescent="0.3"/>
    <row r="5847" customFormat="1" x14ac:dyDescent="0.3"/>
    <row r="5848" customFormat="1" x14ac:dyDescent="0.3"/>
    <row r="5849" customFormat="1" x14ac:dyDescent="0.3"/>
    <row r="5850" customFormat="1" x14ac:dyDescent="0.3"/>
    <row r="5851" customFormat="1" x14ac:dyDescent="0.3"/>
    <row r="5852" customFormat="1" x14ac:dyDescent="0.3"/>
    <row r="5853" customFormat="1" x14ac:dyDescent="0.3"/>
    <row r="5854" customFormat="1" x14ac:dyDescent="0.3"/>
    <row r="5855" customFormat="1" x14ac:dyDescent="0.3"/>
    <row r="5856" customFormat="1" x14ac:dyDescent="0.3"/>
    <row r="5857" customFormat="1" x14ac:dyDescent="0.3"/>
    <row r="5858" customFormat="1" x14ac:dyDescent="0.3"/>
    <row r="5859" customFormat="1" x14ac:dyDescent="0.3"/>
    <row r="5860" customFormat="1" x14ac:dyDescent="0.3"/>
    <row r="5861" customFormat="1" x14ac:dyDescent="0.3"/>
    <row r="5862" customFormat="1" x14ac:dyDescent="0.3"/>
    <row r="5863" customFormat="1" x14ac:dyDescent="0.3"/>
    <row r="5864" customFormat="1" x14ac:dyDescent="0.3"/>
    <row r="5865" customFormat="1" x14ac:dyDescent="0.3"/>
    <row r="5866" customFormat="1" x14ac:dyDescent="0.3"/>
    <row r="5867" customFormat="1" x14ac:dyDescent="0.3"/>
    <row r="5868" customFormat="1" x14ac:dyDescent="0.3"/>
    <row r="5869" customFormat="1" x14ac:dyDescent="0.3"/>
    <row r="5870" customFormat="1" x14ac:dyDescent="0.3"/>
    <row r="5871" customFormat="1" x14ac:dyDescent="0.3"/>
    <row r="5872" customFormat="1" x14ac:dyDescent="0.3"/>
    <row r="5873" customFormat="1" x14ac:dyDescent="0.3"/>
    <row r="5874" customFormat="1" x14ac:dyDescent="0.3"/>
    <row r="5875" customFormat="1" x14ac:dyDescent="0.3"/>
    <row r="5876" customFormat="1" x14ac:dyDescent="0.3"/>
    <row r="5877" customFormat="1" x14ac:dyDescent="0.3"/>
    <row r="5878" customFormat="1" x14ac:dyDescent="0.3"/>
    <row r="5879" customFormat="1" x14ac:dyDescent="0.3"/>
    <row r="5880" customFormat="1" x14ac:dyDescent="0.3"/>
    <row r="5881" customFormat="1" x14ac:dyDescent="0.3"/>
    <row r="5882" customFormat="1" x14ac:dyDescent="0.3"/>
    <row r="5883" customFormat="1" x14ac:dyDescent="0.3"/>
    <row r="5884" customFormat="1" x14ac:dyDescent="0.3"/>
    <row r="5885" customFormat="1" x14ac:dyDescent="0.3"/>
    <row r="5886" customFormat="1" x14ac:dyDescent="0.3"/>
    <row r="5887" customFormat="1" x14ac:dyDescent="0.3"/>
    <row r="5888" customFormat="1" x14ac:dyDescent="0.3"/>
    <row r="5889" customFormat="1" x14ac:dyDescent="0.3"/>
    <row r="5890" customFormat="1" x14ac:dyDescent="0.3"/>
    <row r="5891" customFormat="1" x14ac:dyDescent="0.3"/>
    <row r="5892" customFormat="1" x14ac:dyDescent="0.3"/>
    <row r="5893" customFormat="1" x14ac:dyDescent="0.3"/>
    <row r="5894" customFormat="1" x14ac:dyDescent="0.3"/>
    <row r="5895" customFormat="1" x14ac:dyDescent="0.3"/>
    <row r="5896" customFormat="1" x14ac:dyDescent="0.3"/>
    <row r="5897" customFormat="1" x14ac:dyDescent="0.3"/>
    <row r="5898" customFormat="1" x14ac:dyDescent="0.3"/>
    <row r="5899" customFormat="1" x14ac:dyDescent="0.3"/>
    <row r="5900" customFormat="1" x14ac:dyDescent="0.3"/>
    <row r="5901" customFormat="1" x14ac:dyDescent="0.3"/>
    <row r="5902" customFormat="1" x14ac:dyDescent="0.3"/>
    <row r="5903" customFormat="1" x14ac:dyDescent="0.3"/>
    <row r="5904" customFormat="1" x14ac:dyDescent="0.3"/>
    <row r="5905" customFormat="1" x14ac:dyDescent="0.3"/>
    <row r="5906" customFormat="1" x14ac:dyDescent="0.3"/>
    <row r="5907" customFormat="1" x14ac:dyDescent="0.3"/>
    <row r="5908" customFormat="1" x14ac:dyDescent="0.3"/>
    <row r="5909" customFormat="1" x14ac:dyDescent="0.3"/>
    <row r="5910" customFormat="1" x14ac:dyDescent="0.3"/>
    <row r="5911" customFormat="1" x14ac:dyDescent="0.3"/>
    <row r="5912" customFormat="1" x14ac:dyDescent="0.3"/>
    <row r="5913" customFormat="1" x14ac:dyDescent="0.3"/>
    <row r="5914" customFormat="1" x14ac:dyDescent="0.3"/>
    <row r="5915" customFormat="1" x14ac:dyDescent="0.3"/>
    <row r="5916" customFormat="1" x14ac:dyDescent="0.3"/>
    <row r="5917" customFormat="1" x14ac:dyDescent="0.3"/>
    <row r="5918" customFormat="1" x14ac:dyDescent="0.3"/>
    <row r="5919" customFormat="1" x14ac:dyDescent="0.3"/>
    <row r="5920" customFormat="1" x14ac:dyDescent="0.3"/>
    <row r="5921" customFormat="1" x14ac:dyDescent="0.3"/>
    <row r="5922" customFormat="1" x14ac:dyDescent="0.3"/>
    <row r="5923" customFormat="1" x14ac:dyDescent="0.3"/>
    <row r="5924" customFormat="1" x14ac:dyDescent="0.3"/>
    <row r="5925" customFormat="1" x14ac:dyDescent="0.3"/>
    <row r="5926" customFormat="1" x14ac:dyDescent="0.3"/>
    <row r="5927" customFormat="1" x14ac:dyDescent="0.3"/>
    <row r="5928" customFormat="1" x14ac:dyDescent="0.3"/>
    <row r="5929" customFormat="1" x14ac:dyDescent="0.3"/>
    <row r="5930" customFormat="1" x14ac:dyDescent="0.3"/>
    <row r="5931" customFormat="1" x14ac:dyDescent="0.3"/>
    <row r="5932" customFormat="1" x14ac:dyDescent="0.3"/>
    <row r="5933" customFormat="1" x14ac:dyDescent="0.3"/>
    <row r="5934" customFormat="1" x14ac:dyDescent="0.3"/>
    <row r="5935" customFormat="1" x14ac:dyDescent="0.3"/>
    <row r="5936" customFormat="1" x14ac:dyDescent="0.3"/>
    <row r="5937" customFormat="1" x14ac:dyDescent="0.3"/>
    <row r="5938" customFormat="1" x14ac:dyDescent="0.3"/>
    <row r="5939" customFormat="1" x14ac:dyDescent="0.3"/>
    <row r="5940" customFormat="1" x14ac:dyDescent="0.3"/>
    <row r="5941" customFormat="1" x14ac:dyDescent="0.3"/>
    <row r="5942" customFormat="1" x14ac:dyDescent="0.3"/>
    <row r="5943" customFormat="1" x14ac:dyDescent="0.3"/>
    <row r="5944" customFormat="1" x14ac:dyDescent="0.3"/>
    <row r="5945" customFormat="1" x14ac:dyDescent="0.3"/>
    <row r="5946" customFormat="1" x14ac:dyDescent="0.3"/>
    <row r="5947" customFormat="1" x14ac:dyDescent="0.3"/>
    <row r="5948" customFormat="1" x14ac:dyDescent="0.3"/>
    <row r="5949" customFormat="1" x14ac:dyDescent="0.3"/>
    <row r="5950" customFormat="1" x14ac:dyDescent="0.3"/>
    <row r="5951" customFormat="1" x14ac:dyDescent="0.3"/>
    <row r="5952" customFormat="1" x14ac:dyDescent="0.3"/>
    <row r="5953" customFormat="1" x14ac:dyDescent="0.3"/>
    <row r="5954" customFormat="1" x14ac:dyDescent="0.3"/>
    <row r="5955" customFormat="1" x14ac:dyDescent="0.3"/>
    <row r="5956" customFormat="1" x14ac:dyDescent="0.3"/>
    <row r="5957" customFormat="1" x14ac:dyDescent="0.3"/>
    <row r="5958" customFormat="1" x14ac:dyDescent="0.3"/>
    <row r="5959" customFormat="1" x14ac:dyDescent="0.3"/>
    <row r="5960" customFormat="1" x14ac:dyDescent="0.3"/>
    <row r="5961" customFormat="1" x14ac:dyDescent="0.3"/>
    <row r="5962" customFormat="1" x14ac:dyDescent="0.3"/>
    <row r="5963" customFormat="1" x14ac:dyDescent="0.3"/>
    <row r="5964" customFormat="1" x14ac:dyDescent="0.3"/>
    <row r="5965" customFormat="1" x14ac:dyDescent="0.3"/>
    <row r="5966" customFormat="1" x14ac:dyDescent="0.3"/>
    <row r="5967" customFormat="1" x14ac:dyDescent="0.3"/>
    <row r="5968" customFormat="1" x14ac:dyDescent="0.3"/>
    <row r="5969" customFormat="1" x14ac:dyDescent="0.3"/>
    <row r="5970" customFormat="1" x14ac:dyDescent="0.3"/>
    <row r="5971" customFormat="1" x14ac:dyDescent="0.3"/>
    <row r="5972" customFormat="1" x14ac:dyDescent="0.3"/>
    <row r="5973" customFormat="1" x14ac:dyDescent="0.3"/>
    <row r="5974" customFormat="1" x14ac:dyDescent="0.3"/>
    <row r="5975" customFormat="1" x14ac:dyDescent="0.3"/>
    <row r="5976" customFormat="1" x14ac:dyDescent="0.3"/>
    <row r="5977" customFormat="1" x14ac:dyDescent="0.3"/>
    <row r="5978" customFormat="1" x14ac:dyDescent="0.3"/>
    <row r="5979" customFormat="1" x14ac:dyDescent="0.3"/>
    <row r="5980" customFormat="1" x14ac:dyDescent="0.3"/>
    <row r="5981" customFormat="1" x14ac:dyDescent="0.3"/>
    <row r="5982" customFormat="1" x14ac:dyDescent="0.3"/>
    <row r="5983" customFormat="1" x14ac:dyDescent="0.3"/>
    <row r="5984" customFormat="1" x14ac:dyDescent="0.3"/>
    <row r="5985" customFormat="1" x14ac:dyDescent="0.3"/>
    <row r="5986" customFormat="1" x14ac:dyDescent="0.3"/>
    <row r="5987" customFormat="1" x14ac:dyDescent="0.3"/>
    <row r="5988" customFormat="1" x14ac:dyDescent="0.3"/>
    <row r="5989" customFormat="1" x14ac:dyDescent="0.3"/>
    <row r="5990" customFormat="1" x14ac:dyDescent="0.3"/>
    <row r="5991" customFormat="1" x14ac:dyDescent="0.3"/>
    <row r="5992" customFormat="1" x14ac:dyDescent="0.3"/>
    <row r="5993" customFormat="1" x14ac:dyDescent="0.3"/>
    <row r="5994" customFormat="1" x14ac:dyDescent="0.3"/>
    <row r="5995" customFormat="1" x14ac:dyDescent="0.3"/>
    <row r="5996" customFormat="1" x14ac:dyDescent="0.3"/>
    <row r="5997" customFormat="1" x14ac:dyDescent="0.3"/>
    <row r="5998" customFormat="1" x14ac:dyDescent="0.3"/>
    <row r="5999" customFormat="1" x14ac:dyDescent="0.3"/>
    <row r="6000" customFormat="1" x14ac:dyDescent="0.3"/>
    <row r="6001" customFormat="1" x14ac:dyDescent="0.3"/>
    <row r="6002" customFormat="1" x14ac:dyDescent="0.3"/>
    <row r="6003" customFormat="1" x14ac:dyDescent="0.3"/>
    <row r="6004" customFormat="1" x14ac:dyDescent="0.3"/>
    <row r="6005" customFormat="1" x14ac:dyDescent="0.3"/>
    <row r="6006" customFormat="1" x14ac:dyDescent="0.3"/>
    <row r="6007" customFormat="1" x14ac:dyDescent="0.3"/>
    <row r="6008" customFormat="1" x14ac:dyDescent="0.3"/>
    <row r="6009" customFormat="1" x14ac:dyDescent="0.3"/>
    <row r="6010" customFormat="1" x14ac:dyDescent="0.3"/>
    <row r="6011" customFormat="1" x14ac:dyDescent="0.3"/>
    <row r="6012" customFormat="1" x14ac:dyDescent="0.3"/>
    <row r="6013" customFormat="1" x14ac:dyDescent="0.3"/>
    <row r="6014" customFormat="1" x14ac:dyDescent="0.3"/>
    <row r="6015" customFormat="1" x14ac:dyDescent="0.3"/>
    <row r="6016" customFormat="1" x14ac:dyDescent="0.3"/>
    <row r="6017" customFormat="1" x14ac:dyDescent="0.3"/>
    <row r="6018" customFormat="1" x14ac:dyDescent="0.3"/>
    <row r="6019" customFormat="1" x14ac:dyDescent="0.3"/>
    <row r="6020" customFormat="1" x14ac:dyDescent="0.3"/>
    <row r="6021" customFormat="1" x14ac:dyDescent="0.3"/>
    <row r="6022" customFormat="1" x14ac:dyDescent="0.3"/>
    <row r="6023" customFormat="1" x14ac:dyDescent="0.3"/>
    <row r="6024" customFormat="1" x14ac:dyDescent="0.3"/>
    <row r="6025" customFormat="1" x14ac:dyDescent="0.3"/>
    <row r="6026" customFormat="1" x14ac:dyDescent="0.3"/>
    <row r="6027" customFormat="1" x14ac:dyDescent="0.3"/>
    <row r="6028" customFormat="1" x14ac:dyDescent="0.3"/>
    <row r="6029" customFormat="1" x14ac:dyDescent="0.3"/>
    <row r="6030" customFormat="1" x14ac:dyDescent="0.3"/>
    <row r="6031" customFormat="1" x14ac:dyDescent="0.3"/>
    <row r="6032" customFormat="1" x14ac:dyDescent="0.3"/>
    <row r="6033" customFormat="1" x14ac:dyDescent="0.3"/>
    <row r="6034" customFormat="1" x14ac:dyDescent="0.3"/>
    <row r="6035" customFormat="1" x14ac:dyDescent="0.3"/>
    <row r="6036" customFormat="1" x14ac:dyDescent="0.3"/>
    <row r="6037" customFormat="1" x14ac:dyDescent="0.3"/>
    <row r="6038" customFormat="1" x14ac:dyDescent="0.3"/>
    <row r="6039" customFormat="1" x14ac:dyDescent="0.3"/>
    <row r="6040" customFormat="1" x14ac:dyDescent="0.3"/>
    <row r="6041" customFormat="1" x14ac:dyDescent="0.3"/>
    <row r="6042" customFormat="1" x14ac:dyDescent="0.3"/>
    <row r="6043" customFormat="1" x14ac:dyDescent="0.3"/>
    <row r="6044" customFormat="1" x14ac:dyDescent="0.3"/>
    <row r="6045" customFormat="1" x14ac:dyDescent="0.3"/>
    <row r="6046" customFormat="1" x14ac:dyDescent="0.3"/>
    <row r="6047" customFormat="1" x14ac:dyDescent="0.3"/>
    <row r="6048" customFormat="1" x14ac:dyDescent="0.3"/>
    <row r="6049" customFormat="1" x14ac:dyDescent="0.3"/>
    <row r="6050" customFormat="1" x14ac:dyDescent="0.3"/>
    <row r="6051" customFormat="1" x14ac:dyDescent="0.3"/>
    <row r="6052" customFormat="1" x14ac:dyDescent="0.3"/>
    <row r="6053" customFormat="1" x14ac:dyDescent="0.3"/>
    <row r="6054" customFormat="1" x14ac:dyDescent="0.3"/>
    <row r="6055" customFormat="1" x14ac:dyDescent="0.3"/>
    <row r="6056" customFormat="1" x14ac:dyDescent="0.3"/>
    <row r="6057" customFormat="1" x14ac:dyDescent="0.3"/>
    <row r="6058" customFormat="1" x14ac:dyDescent="0.3"/>
    <row r="6059" customFormat="1" x14ac:dyDescent="0.3"/>
    <row r="6060" customFormat="1" x14ac:dyDescent="0.3"/>
    <row r="6061" customFormat="1" x14ac:dyDescent="0.3"/>
    <row r="6062" customFormat="1" x14ac:dyDescent="0.3"/>
    <row r="6063" customFormat="1" x14ac:dyDescent="0.3"/>
    <row r="6064" customFormat="1" x14ac:dyDescent="0.3"/>
    <row r="6065" customFormat="1" x14ac:dyDescent="0.3"/>
    <row r="6066" customFormat="1" x14ac:dyDescent="0.3"/>
    <row r="6067" customFormat="1" x14ac:dyDescent="0.3"/>
    <row r="6068" customFormat="1" x14ac:dyDescent="0.3"/>
    <row r="6069" customFormat="1" x14ac:dyDescent="0.3"/>
    <row r="6070" customFormat="1" x14ac:dyDescent="0.3"/>
    <row r="6071" customFormat="1" x14ac:dyDescent="0.3"/>
    <row r="6072" customFormat="1" x14ac:dyDescent="0.3"/>
    <row r="6073" customFormat="1" x14ac:dyDescent="0.3"/>
    <row r="6074" customFormat="1" x14ac:dyDescent="0.3"/>
    <row r="6075" customFormat="1" x14ac:dyDescent="0.3"/>
    <row r="6076" customFormat="1" x14ac:dyDescent="0.3"/>
    <row r="6077" customFormat="1" x14ac:dyDescent="0.3"/>
    <row r="6078" customFormat="1" x14ac:dyDescent="0.3"/>
    <row r="6079" customFormat="1" x14ac:dyDescent="0.3"/>
    <row r="6080" customFormat="1" x14ac:dyDescent="0.3"/>
    <row r="6081" customFormat="1" x14ac:dyDescent="0.3"/>
    <row r="6082" customFormat="1" x14ac:dyDescent="0.3"/>
    <row r="6083" customFormat="1" x14ac:dyDescent="0.3"/>
    <row r="6084" customFormat="1" x14ac:dyDescent="0.3"/>
    <row r="6085" customFormat="1" x14ac:dyDescent="0.3"/>
    <row r="6086" customFormat="1" x14ac:dyDescent="0.3"/>
    <row r="6087" customFormat="1" x14ac:dyDescent="0.3"/>
    <row r="6088" customFormat="1" x14ac:dyDescent="0.3"/>
    <row r="6089" customFormat="1" x14ac:dyDescent="0.3"/>
    <row r="6090" customFormat="1" x14ac:dyDescent="0.3"/>
    <row r="6091" customFormat="1" x14ac:dyDescent="0.3"/>
    <row r="6092" customFormat="1" x14ac:dyDescent="0.3"/>
    <row r="6093" customFormat="1" x14ac:dyDescent="0.3"/>
    <row r="6094" customFormat="1" x14ac:dyDescent="0.3"/>
    <row r="6095" customFormat="1" x14ac:dyDescent="0.3"/>
    <row r="6096" customFormat="1" x14ac:dyDescent="0.3"/>
    <row r="6097" customFormat="1" x14ac:dyDescent="0.3"/>
    <row r="6098" customFormat="1" x14ac:dyDescent="0.3"/>
    <row r="6099" customFormat="1" x14ac:dyDescent="0.3"/>
    <row r="6100" customFormat="1" x14ac:dyDescent="0.3"/>
    <row r="6101" customFormat="1" x14ac:dyDescent="0.3"/>
    <row r="6102" customFormat="1" x14ac:dyDescent="0.3"/>
    <row r="6103" customFormat="1" x14ac:dyDescent="0.3"/>
    <row r="6104" customFormat="1" x14ac:dyDescent="0.3"/>
    <row r="6105" customFormat="1" x14ac:dyDescent="0.3"/>
    <row r="6106" customFormat="1" x14ac:dyDescent="0.3"/>
    <row r="6107" customFormat="1" x14ac:dyDescent="0.3"/>
    <row r="6108" customFormat="1" x14ac:dyDescent="0.3"/>
    <row r="6109" customFormat="1" x14ac:dyDescent="0.3"/>
    <row r="6110" customFormat="1" x14ac:dyDescent="0.3"/>
    <row r="6111" customFormat="1" x14ac:dyDescent="0.3"/>
    <row r="6112" customFormat="1" x14ac:dyDescent="0.3"/>
    <row r="6113" customFormat="1" x14ac:dyDescent="0.3"/>
    <row r="6114" customFormat="1" x14ac:dyDescent="0.3"/>
    <row r="6115" customFormat="1" x14ac:dyDescent="0.3"/>
    <row r="6116" customFormat="1" x14ac:dyDescent="0.3"/>
    <row r="6117" customFormat="1" x14ac:dyDescent="0.3"/>
    <row r="6118" customFormat="1" x14ac:dyDescent="0.3"/>
    <row r="6119" customFormat="1" x14ac:dyDescent="0.3"/>
    <row r="6120" customFormat="1" x14ac:dyDescent="0.3"/>
    <row r="6121" customFormat="1" x14ac:dyDescent="0.3"/>
    <row r="6122" customFormat="1" x14ac:dyDescent="0.3"/>
    <row r="6123" customFormat="1" x14ac:dyDescent="0.3"/>
    <row r="6124" customFormat="1" x14ac:dyDescent="0.3"/>
    <row r="6125" customFormat="1" x14ac:dyDescent="0.3"/>
    <row r="6126" customFormat="1" x14ac:dyDescent="0.3"/>
    <row r="6127" customFormat="1" x14ac:dyDescent="0.3"/>
    <row r="6128" customFormat="1" x14ac:dyDescent="0.3"/>
    <row r="6129" customFormat="1" x14ac:dyDescent="0.3"/>
    <row r="6130" customFormat="1" x14ac:dyDescent="0.3"/>
    <row r="6131" customFormat="1" x14ac:dyDescent="0.3"/>
    <row r="6132" customFormat="1" x14ac:dyDescent="0.3"/>
    <row r="6133" customFormat="1" x14ac:dyDescent="0.3"/>
    <row r="6134" customFormat="1" x14ac:dyDescent="0.3"/>
    <row r="6135" customFormat="1" x14ac:dyDescent="0.3"/>
    <row r="6136" customFormat="1" x14ac:dyDescent="0.3"/>
    <row r="6137" customFormat="1" x14ac:dyDescent="0.3"/>
    <row r="6138" customFormat="1" x14ac:dyDescent="0.3"/>
    <row r="6139" customFormat="1" x14ac:dyDescent="0.3"/>
    <row r="6140" customFormat="1" x14ac:dyDescent="0.3"/>
    <row r="6141" customFormat="1" x14ac:dyDescent="0.3"/>
    <row r="6142" customFormat="1" x14ac:dyDescent="0.3"/>
    <row r="6143" customFormat="1" x14ac:dyDescent="0.3"/>
    <row r="6144" customFormat="1" x14ac:dyDescent="0.3"/>
    <row r="6145" customFormat="1" x14ac:dyDescent="0.3"/>
    <row r="6146" customFormat="1" x14ac:dyDescent="0.3"/>
    <row r="6147" customFormat="1" x14ac:dyDescent="0.3"/>
    <row r="6148" customFormat="1" x14ac:dyDescent="0.3"/>
    <row r="6149" customFormat="1" x14ac:dyDescent="0.3"/>
    <row r="6150" customFormat="1" x14ac:dyDescent="0.3"/>
    <row r="6151" customFormat="1" x14ac:dyDescent="0.3"/>
    <row r="6152" customFormat="1" x14ac:dyDescent="0.3"/>
    <row r="6153" customFormat="1" x14ac:dyDescent="0.3"/>
    <row r="6154" customFormat="1" x14ac:dyDescent="0.3"/>
    <row r="6155" customFormat="1" x14ac:dyDescent="0.3"/>
    <row r="6156" customFormat="1" x14ac:dyDescent="0.3"/>
    <row r="6157" customFormat="1" x14ac:dyDescent="0.3"/>
    <row r="6158" customFormat="1" x14ac:dyDescent="0.3"/>
    <row r="6159" customFormat="1" x14ac:dyDescent="0.3"/>
    <row r="6160" customFormat="1" x14ac:dyDescent="0.3"/>
    <row r="6161" customFormat="1" x14ac:dyDescent="0.3"/>
    <row r="6162" customFormat="1" x14ac:dyDescent="0.3"/>
    <row r="6163" customFormat="1" x14ac:dyDescent="0.3"/>
    <row r="6164" customFormat="1" x14ac:dyDescent="0.3"/>
    <row r="6165" customFormat="1" x14ac:dyDescent="0.3"/>
    <row r="6166" customFormat="1" x14ac:dyDescent="0.3"/>
    <row r="6167" customFormat="1" x14ac:dyDescent="0.3"/>
    <row r="6168" customFormat="1" x14ac:dyDescent="0.3"/>
    <row r="6169" customFormat="1" x14ac:dyDescent="0.3"/>
    <row r="6170" customFormat="1" x14ac:dyDescent="0.3"/>
    <row r="6171" customFormat="1" x14ac:dyDescent="0.3"/>
    <row r="6172" customFormat="1" x14ac:dyDescent="0.3"/>
    <row r="6173" customFormat="1" x14ac:dyDescent="0.3"/>
    <row r="6174" customFormat="1" x14ac:dyDescent="0.3"/>
    <row r="6175" customFormat="1" x14ac:dyDescent="0.3"/>
    <row r="6176" customFormat="1" x14ac:dyDescent="0.3"/>
    <row r="6177" customFormat="1" x14ac:dyDescent="0.3"/>
    <row r="6178" customFormat="1" x14ac:dyDescent="0.3"/>
    <row r="6179" customFormat="1" x14ac:dyDescent="0.3"/>
    <row r="6180" customFormat="1" x14ac:dyDescent="0.3"/>
    <row r="6181" customFormat="1" x14ac:dyDescent="0.3"/>
    <row r="6182" customFormat="1" x14ac:dyDescent="0.3"/>
    <row r="6183" customFormat="1" x14ac:dyDescent="0.3"/>
    <row r="6184" customFormat="1" x14ac:dyDescent="0.3"/>
    <row r="6185" customFormat="1" x14ac:dyDescent="0.3"/>
    <row r="6186" customFormat="1" x14ac:dyDescent="0.3"/>
    <row r="6187" customFormat="1" x14ac:dyDescent="0.3"/>
    <row r="6188" customFormat="1" x14ac:dyDescent="0.3"/>
    <row r="6189" customFormat="1" x14ac:dyDescent="0.3"/>
    <row r="6190" customFormat="1" x14ac:dyDescent="0.3"/>
    <row r="6191" customFormat="1" x14ac:dyDescent="0.3"/>
    <row r="6192" customFormat="1" x14ac:dyDescent="0.3"/>
    <row r="6193" customFormat="1" x14ac:dyDescent="0.3"/>
    <row r="6194" customFormat="1" x14ac:dyDescent="0.3"/>
    <row r="6195" customFormat="1" x14ac:dyDescent="0.3"/>
    <row r="6196" customFormat="1" x14ac:dyDescent="0.3"/>
    <row r="6197" customFormat="1" x14ac:dyDescent="0.3"/>
    <row r="6198" customFormat="1" x14ac:dyDescent="0.3"/>
    <row r="6199" customFormat="1" x14ac:dyDescent="0.3"/>
    <row r="6200" customFormat="1" x14ac:dyDescent="0.3"/>
    <row r="6201" customFormat="1" x14ac:dyDescent="0.3"/>
    <row r="6202" customFormat="1" x14ac:dyDescent="0.3"/>
    <row r="6203" customFormat="1" x14ac:dyDescent="0.3"/>
    <row r="6204" customFormat="1" x14ac:dyDescent="0.3"/>
    <row r="6205" customFormat="1" x14ac:dyDescent="0.3"/>
    <row r="6206" customFormat="1" x14ac:dyDescent="0.3"/>
    <row r="6207" customFormat="1" x14ac:dyDescent="0.3"/>
    <row r="6208" customFormat="1" x14ac:dyDescent="0.3"/>
    <row r="6209" customFormat="1" x14ac:dyDescent="0.3"/>
    <row r="6210" customFormat="1" x14ac:dyDescent="0.3"/>
    <row r="6211" customFormat="1" x14ac:dyDescent="0.3"/>
    <row r="6212" customFormat="1" x14ac:dyDescent="0.3"/>
    <row r="6213" customFormat="1" x14ac:dyDescent="0.3"/>
    <row r="6214" customFormat="1" x14ac:dyDescent="0.3"/>
    <row r="6215" customFormat="1" x14ac:dyDescent="0.3"/>
    <row r="6216" customFormat="1" x14ac:dyDescent="0.3"/>
    <row r="6217" customFormat="1" x14ac:dyDescent="0.3"/>
    <row r="6218" customFormat="1" x14ac:dyDescent="0.3"/>
    <row r="6219" customFormat="1" x14ac:dyDescent="0.3"/>
    <row r="6220" customFormat="1" x14ac:dyDescent="0.3"/>
    <row r="6221" customFormat="1" x14ac:dyDescent="0.3"/>
    <row r="6222" customFormat="1" x14ac:dyDescent="0.3"/>
    <row r="6223" customFormat="1" x14ac:dyDescent="0.3"/>
    <row r="6224" customFormat="1" x14ac:dyDescent="0.3"/>
    <row r="6225" customFormat="1" x14ac:dyDescent="0.3"/>
    <row r="6226" customFormat="1" x14ac:dyDescent="0.3"/>
    <row r="6227" customFormat="1" x14ac:dyDescent="0.3"/>
    <row r="6228" customFormat="1" x14ac:dyDescent="0.3"/>
    <row r="6229" customFormat="1" x14ac:dyDescent="0.3"/>
    <row r="6230" customFormat="1" x14ac:dyDescent="0.3"/>
    <row r="6231" customFormat="1" x14ac:dyDescent="0.3"/>
    <row r="6232" customFormat="1" x14ac:dyDescent="0.3"/>
    <row r="6233" customFormat="1" x14ac:dyDescent="0.3"/>
    <row r="6234" customFormat="1" x14ac:dyDescent="0.3"/>
    <row r="6235" customFormat="1" x14ac:dyDescent="0.3"/>
    <row r="6236" customFormat="1" x14ac:dyDescent="0.3"/>
    <row r="6237" customFormat="1" x14ac:dyDescent="0.3"/>
    <row r="6238" customFormat="1" x14ac:dyDescent="0.3"/>
    <row r="6239" customFormat="1" x14ac:dyDescent="0.3"/>
    <row r="6240" customFormat="1" x14ac:dyDescent="0.3"/>
    <row r="6241" customFormat="1" x14ac:dyDescent="0.3"/>
    <row r="6242" customFormat="1" x14ac:dyDescent="0.3"/>
    <row r="6243" customFormat="1" x14ac:dyDescent="0.3"/>
    <row r="6244" customFormat="1" x14ac:dyDescent="0.3"/>
    <row r="6245" customFormat="1" x14ac:dyDescent="0.3"/>
    <row r="6246" customFormat="1" x14ac:dyDescent="0.3"/>
    <row r="6247" customFormat="1" x14ac:dyDescent="0.3"/>
    <row r="6248" customFormat="1" x14ac:dyDescent="0.3"/>
    <row r="6249" customFormat="1" x14ac:dyDescent="0.3"/>
    <row r="6250" customFormat="1" x14ac:dyDescent="0.3"/>
    <row r="6251" customFormat="1" x14ac:dyDescent="0.3"/>
    <row r="6252" customFormat="1" x14ac:dyDescent="0.3"/>
    <row r="6253" customFormat="1" x14ac:dyDescent="0.3"/>
    <row r="6254" customFormat="1" x14ac:dyDescent="0.3"/>
    <row r="6255" customFormat="1" x14ac:dyDescent="0.3"/>
    <row r="6256" customFormat="1" x14ac:dyDescent="0.3"/>
    <row r="6257" customFormat="1" x14ac:dyDescent="0.3"/>
    <row r="6258" customFormat="1" x14ac:dyDescent="0.3"/>
    <row r="6259" customFormat="1" x14ac:dyDescent="0.3"/>
    <row r="6260" customFormat="1" x14ac:dyDescent="0.3"/>
    <row r="6261" customFormat="1" x14ac:dyDescent="0.3"/>
    <row r="6262" customFormat="1" x14ac:dyDescent="0.3"/>
    <row r="6263" customFormat="1" x14ac:dyDescent="0.3"/>
    <row r="6264" customFormat="1" x14ac:dyDescent="0.3"/>
    <row r="6265" customFormat="1" x14ac:dyDescent="0.3"/>
    <row r="6266" customFormat="1" x14ac:dyDescent="0.3"/>
    <row r="6267" customFormat="1" x14ac:dyDescent="0.3"/>
    <row r="6268" customFormat="1" x14ac:dyDescent="0.3"/>
    <row r="6269" customFormat="1" x14ac:dyDescent="0.3"/>
    <row r="6270" customFormat="1" x14ac:dyDescent="0.3"/>
    <row r="6271" customFormat="1" x14ac:dyDescent="0.3"/>
    <row r="6272" customFormat="1" x14ac:dyDescent="0.3"/>
    <row r="6273" customFormat="1" x14ac:dyDescent="0.3"/>
    <row r="6274" customFormat="1" x14ac:dyDescent="0.3"/>
    <row r="6275" customFormat="1" x14ac:dyDescent="0.3"/>
    <row r="6276" customFormat="1" x14ac:dyDescent="0.3"/>
    <row r="6277" customFormat="1" x14ac:dyDescent="0.3"/>
    <row r="6278" customFormat="1" x14ac:dyDescent="0.3"/>
    <row r="6279" customFormat="1" x14ac:dyDescent="0.3"/>
    <row r="6280" customFormat="1" x14ac:dyDescent="0.3"/>
    <row r="6281" customFormat="1" x14ac:dyDescent="0.3"/>
    <row r="6282" customFormat="1" x14ac:dyDescent="0.3"/>
    <row r="6283" customFormat="1" x14ac:dyDescent="0.3"/>
    <row r="6284" customFormat="1" x14ac:dyDescent="0.3"/>
    <row r="6285" customFormat="1" x14ac:dyDescent="0.3"/>
    <row r="6286" customFormat="1" x14ac:dyDescent="0.3"/>
    <row r="6287" customFormat="1" x14ac:dyDescent="0.3"/>
    <row r="6288" customFormat="1" x14ac:dyDescent="0.3"/>
    <row r="6289" customFormat="1" x14ac:dyDescent="0.3"/>
    <row r="6290" customFormat="1" x14ac:dyDescent="0.3"/>
    <row r="6291" customFormat="1" x14ac:dyDescent="0.3"/>
    <row r="6292" customFormat="1" x14ac:dyDescent="0.3"/>
    <row r="6293" customFormat="1" x14ac:dyDescent="0.3"/>
    <row r="6294" customFormat="1" x14ac:dyDescent="0.3"/>
    <row r="6295" customFormat="1" x14ac:dyDescent="0.3"/>
    <row r="6296" customFormat="1" x14ac:dyDescent="0.3"/>
    <row r="6297" customFormat="1" x14ac:dyDescent="0.3"/>
    <row r="6298" customFormat="1" x14ac:dyDescent="0.3"/>
    <row r="6299" customFormat="1" x14ac:dyDescent="0.3"/>
    <row r="6300" customFormat="1" x14ac:dyDescent="0.3"/>
    <row r="6301" customFormat="1" x14ac:dyDescent="0.3"/>
    <row r="6302" customFormat="1" x14ac:dyDescent="0.3"/>
    <row r="6303" customFormat="1" x14ac:dyDescent="0.3"/>
    <row r="6304" customFormat="1" x14ac:dyDescent="0.3"/>
    <row r="6305" customFormat="1" x14ac:dyDescent="0.3"/>
    <row r="6306" customFormat="1" x14ac:dyDescent="0.3"/>
    <row r="6307" customFormat="1" x14ac:dyDescent="0.3"/>
    <row r="6308" customFormat="1" x14ac:dyDescent="0.3"/>
    <row r="6309" customFormat="1" x14ac:dyDescent="0.3"/>
    <row r="6310" customFormat="1" x14ac:dyDescent="0.3"/>
    <row r="6311" customFormat="1" x14ac:dyDescent="0.3"/>
    <row r="6312" customFormat="1" x14ac:dyDescent="0.3"/>
    <row r="6313" customFormat="1" x14ac:dyDescent="0.3"/>
    <row r="6314" customFormat="1" x14ac:dyDescent="0.3"/>
    <row r="6315" customFormat="1" x14ac:dyDescent="0.3"/>
    <row r="6316" customFormat="1" x14ac:dyDescent="0.3"/>
    <row r="6317" customFormat="1" x14ac:dyDescent="0.3"/>
    <row r="6318" customFormat="1" x14ac:dyDescent="0.3"/>
    <row r="6319" customFormat="1" x14ac:dyDescent="0.3"/>
    <row r="6320" customFormat="1" x14ac:dyDescent="0.3"/>
    <row r="6321" customFormat="1" x14ac:dyDescent="0.3"/>
    <row r="6322" customFormat="1" x14ac:dyDescent="0.3"/>
    <row r="6323" customFormat="1" x14ac:dyDescent="0.3"/>
    <row r="6324" customFormat="1" x14ac:dyDescent="0.3"/>
    <row r="6325" customFormat="1" x14ac:dyDescent="0.3"/>
    <row r="6326" customFormat="1" x14ac:dyDescent="0.3"/>
    <row r="6327" customFormat="1" x14ac:dyDescent="0.3"/>
    <row r="6328" customFormat="1" x14ac:dyDescent="0.3"/>
    <row r="6329" customFormat="1" x14ac:dyDescent="0.3"/>
    <row r="6330" customFormat="1" x14ac:dyDescent="0.3"/>
    <row r="6331" customFormat="1" x14ac:dyDescent="0.3"/>
    <row r="6332" customFormat="1" x14ac:dyDescent="0.3"/>
    <row r="6333" customFormat="1" x14ac:dyDescent="0.3"/>
    <row r="6334" customFormat="1" x14ac:dyDescent="0.3"/>
    <row r="6335" customFormat="1" x14ac:dyDescent="0.3"/>
    <row r="6336" customFormat="1" x14ac:dyDescent="0.3"/>
    <row r="6337" customFormat="1" x14ac:dyDescent="0.3"/>
    <row r="6338" customFormat="1" x14ac:dyDescent="0.3"/>
    <row r="6339" customFormat="1" x14ac:dyDescent="0.3"/>
    <row r="6340" customFormat="1" x14ac:dyDescent="0.3"/>
    <row r="6341" customFormat="1" x14ac:dyDescent="0.3"/>
    <row r="6342" customFormat="1" x14ac:dyDescent="0.3"/>
    <row r="6343" customFormat="1" x14ac:dyDescent="0.3"/>
    <row r="6344" customFormat="1" x14ac:dyDescent="0.3"/>
    <row r="6345" customFormat="1" x14ac:dyDescent="0.3"/>
    <row r="6346" customFormat="1" x14ac:dyDescent="0.3"/>
    <row r="6347" customFormat="1" x14ac:dyDescent="0.3"/>
    <row r="6348" customFormat="1" x14ac:dyDescent="0.3"/>
    <row r="6349" customFormat="1" x14ac:dyDescent="0.3"/>
    <row r="6350" customFormat="1" x14ac:dyDescent="0.3"/>
    <row r="6351" customFormat="1" x14ac:dyDescent="0.3"/>
    <row r="6352" customFormat="1" x14ac:dyDescent="0.3"/>
    <row r="6353" customFormat="1" x14ac:dyDescent="0.3"/>
    <row r="6354" customFormat="1" x14ac:dyDescent="0.3"/>
    <row r="6355" customFormat="1" x14ac:dyDescent="0.3"/>
    <row r="6356" customFormat="1" x14ac:dyDescent="0.3"/>
    <row r="6357" customFormat="1" x14ac:dyDescent="0.3"/>
    <row r="6358" customFormat="1" x14ac:dyDescent="0.3"/>
    <row r="6359" customFormat="1" x14ac:dyDescent="0.3"/>
    <row r="6360" customFormat="1" x14ac:dyDescent="0.3"/>
    <row r="6361" customFormat="1" x14ac:dyDescent="0.3"/>
    <row r="6362" customFormat="1" x14ac:dyDescent="0.3"/>
    <row r="6363" customFormat="1" x14ac:dyDescent="0.3"/>
    <row r="6364" customFormat="1" x14ac:dyDescent="0.3"/>
    <row r="6365" customFormat="1" x14ac:dyDescent="0.3"/>
    <row r="6366" customFormat="1" x14ac:dyDescent="0.3"/>
    <row r="6367" customFormat="1" x14ac:dyDescent="0.3"/>
    <row r="6368" customFormat="1" x14ac:dyDescent="0.3"/>
    <row r="6369" customFormat="1" x14ac:dyDescent="0.3"/>
    <row r="6370" customFormat="1" x14ac:dyDescent="0.3"/>
    <row r="6371" customFormat="1" x14ac:dyDescent="0.3"/>
    <row r="6372" customFormat="1" x14ac:dyDescent="0.3"/>
    <row r="6373" customFormat="1" x14ac:dyDescent="0.3"/>
    <row r="6374" customFormat="1" x14ac:dyDescent="0.3"/>
    <row r="6375" customFormat="1" x14ac:dyDescent="0.3"/>
    <row r="6376" customFormat="1" x14ac:dyDescent="0.3"/>
    <row r="6377" customFormat="1" x14ac:dyDescent="0.3"/>
    <row r="6378" customFormat="1" x14ac:dyDescent="0.3"/>
    <row r="6379" customFormat="1" x14ac:dyDescent="0.3"/>
    <row r="6380" customFormat="1" x14ac:dyDescent="0.3"/>
    <row r="6381" customFormat="1" x14ac:dyDescent="0.3"/>
    <row r="6382" customFormat="1" x14ac:dyDescent="0.3"/>
    <row r="6383" customFormat="1" x14ac:dyDescent="0.3"/>
    <row r="6384" customFormat="1" x14ac:dyDescent="0.3"/>
    <row r="6385" customFormat="1" x14ac:dyDescent="0.3"/>
    <row r="6386" customFormat="1" x14ac:dyDescent="0.3"/>
    <row r="6387" customFormat="1" x14ac:dyDescent="0.3"/>
    <row r="6388" customFormat="1" x14ac:dyDescent="0.3"/>
    <row r="6389" customFormat="1" x14ac:dyDescent="0.3"/>
    <row r="6390" customFormat="1" x14ac:dyDescent="0.3"/>
    <row r="6391" customFormat="1" x14ac:dyDescent="0.3"/>
    <row r="6392" customFormat="1" x14ac:dyDescent="0.3"/>
    <row r="6393" customFormat="1" x14ac:dyDescent="0.3"/>
    <row r="6394" customFormat="1" x14ac:dyDescent="0.3"/>
    <row r="6395" customFormat="1" x14ac:dyDescent="0.3"/>
    <row r="6396" customFormat="1" x14ac:dyDescent="0.3"/>
    <row r="6397" customFormat="1" x14ac:dyDescent="0.3"/>
    <row r="6398" customFormat="1" x14ac:dyDescent="0.3"/>
    <row r="6399" customFormat="1" x14ac:dyDescent="0.3"/>
    <row r="6400" customFormat="1" x14ac:dyDescent="0.3"/>
    <row r="6401" customFormat="1" x14ac:dyDescent="0.3"/>
    <row r="6402" customFormat="1" x14ac:dyDescent="0.3"/>
    <row r="6403" customFormat="1" x14ac:dyDescent="0.3"/>
    <row r="6404" customFormat="1" x14ac:dyDescent="0.3"/>
    <row r="6405" customFormat="1" x14ac:dyDescent="0.3"/>
    <row r="6406" customFormat="1" x14ac:dyDescent="0.3"/>
    <row r="6407" customFormat="1" x14ac:dyDescent="0.3"/>
    <row r="6408" customFormat="1" x14ac:dyDescent="0.3"/>
    <row r="6409" customFormat="1" x14ac:dyDescent="0.3"/>
    <row r="6410" customFormat="1" x14ac:dyDescent="0.3"/>
    <row r="6411" customFormat="1" x14ac:dyDescent="0.3"/>
    <row r="6412" customFormat="1" x14ac:dyDescent="0.3"/>
    <row r="6413" customFormat="1" x14ac:dyDescent="0.3"/>
    <row r="6414" customFormat="1" x14ac:dyDescent="0.3"/>
    <row r="6415" customFormat="1" x14ac:dyDescent="0.3"/>
    <row r="6416" customFormat="1" x14ac:dyDescent="0.3"/>
    <row r="6417" customFormat="1" x14ac:dyDescent="0.3"/>
    <row r="6418" customFormat="1" x14ac:dyDescent="0.3"/>
    <row r="6419" customFormat="1" x14ac:dyDescent="0.3"/>
    <row r="6420" customFormat="1" x14ac:dyDescent="0.3"/>
    <row r="6421" customFormat="1" x14ac:dyDescent="0.3"/>
    <row r="6422" customFormat="1" x14ac:dyDescent="0.3"/>
    <row r="6423" customFormat="1" x14ac:dyDescent="0.3"/>
    <row r="6424" customFormat="1" x14ac:dyDescent="0.3"/>
    <row r="6425" customFormat="1" x14ac:dyDescent="0.3"/>
    <row r="6426" customFormat="1" x14ac:dyDescent="0.3"/>
    <row r="6427" customFormat="1" x14ac:dyDescent="0.3"/>
    <row r="6428" customFormat="1" x14ac:dyDescent="0.3"/>
    <row r="6429" customFormat="1" x14ac:dyDescent="0.3"/>
    <row r="6430" customFormat="1" x14ac:dyDescent="0.3"/>
    <row r="6431" customFormat="1" x14ac:dyDescent="0.3"/>
    <row r="6432" customFormat="1" x14ac:dyDescent="0.3"/>
    <row r="6433" customFormat="1" x14ac:dyDescent="0.3"/>
    <row r="6434" customFormat="1" x14ac:dyDescent="0.3"/>
    <row r="6435" customFormat="1" x14ac:dyDescent="0.3"/>
    <row r="6436" customFormat="1" x14ac:dyDescent="0.3"/>
    <row r="6437" customFormat="1" x14ac:dyDescent="0.3"/>
    <row r="6438" customFormat="1" x14ac:dyDescent="0.3"/>
    <row r="6439" customFormat="1" x14ac:dyDescent="0.3"/>
    <row r="6440" customFormat="1" x14ac:dyDescent="0.3"/>
    <row r="6441" customFormat="1" x14ac:dyDescent="0.3"/>
    <row r="6442" customFormat="1" x14ac:dyDescent="0.3"/>
    <row r="6443" customFormat="1" x14ac:dyDescent="0.3"/>
    <row r="6444" customFormat="1" x14ac:dyDescent="0.3"/>
    <row r="6445" customFormat="1" x14ac:dyDescent="0.3"/>
    <row r="6446" customFormat="1" x14ac:dyDescent="0.3"/>
    <row r="6447" customFormat="1" x14ac:dyDescent="0.3"/>
    <row r="6448" customFormat="1" x14ac:dyDescent="0.3"/>
    <row r="6449" customFormat="1" x14ac:dyDescent="0.3"/>
    <row r="6450" customFormat="1" x14ac:dyDescent="0.3"/>
    <row r="6451" customFormat="1" x14ac:dyDescent="0.3"/>
    <row r="6452" customFormat="1" x14ac:dyDescent="0.3"/>
    <row r="6453" customFormat="1" x14ac:dyDescent="0.3"/>
    <row r="6454" customFormat="1" x14ac:dyDescent="0.3"/>
    <row r="6455" customFormat="1" x14ac:dyDescent="0.3"/>
    <row r="6456" customFormat="1" x14ac:dyDescent="0.3"/>
    <row r="6457" customFormat="1" x14ac:dyDescent="0.3"/>
    <row r="6458" customFormat="1" x14ac:dyDescent="0.3"/>
    <row r="6459" customFormat="1" x14ac:dyDescent="0.3"/>
    <row r="6460" customFormat="1" x14ac:dyDescent="0.3"/>
    <row r="6461" customFormat="1" x14ac:dyDescent="0.3"/>
    <row r="6462" customFormat="1" x14ac:dyDescent="0.3"/>
    <row r="6463" customFormat="1" x14ac:dyDescent="0.3"/>
    <row r="6464" customFormat="1" x14ac:dyDescent="0.3"/>
    <row r="6465" customFormat="1" x14ac:dyDescent="0.3"/>
    <row r="6466" customFormat="1" x14ac:dyDescent="0.3"/>
    <row r="6467" customFormat="1" x14ac:dyDescent="0.3"/>
    <row r="6468" customFormat="1" x14ac:dyDescent="0.3"/>
    <row r="6469" customFormat="1" x14ac:dyDescent="0.3"/>
    <row r="6470" customFormat="1" x14ac:dyDescent="0.3"/>
    <row r="6471" customFormat="1" x14ac:dyDescent="0.3"/>
    <row r="6472" customFormat="1" x14ac:dyDescent="0.3"/>
    <row r="6473" customFormat="1" x14ac:dyDescent="0.3"/>
    <row r="6474" customFormat="1" x14ac:dyDescent="0.3"/>
    <row r="6475" customFormat="1" x14ac:dyDescent="0.3"/>
    <row r="6476" customFormat="1" x14ac:dyDescent="0.3"/>
    <row r="6477" customFormat="1" x14ac:dyDescent="0.3"/>
    <row r="6478" customFormat="1" x14ac:dyDescent="0.3"/>
    <row r="6479" customFormat="1" x14ac:dyDescent="0.3"/>
    <row r="6480" customFormat="1" x14ac:dyDescent="0.3"/>
    <row r="6481" customFormat="1" x14ac:dyDescent="0.3"/>
    <row r="6482" customFormat="1" x14ac:dyDescent="0.3"/>
    <row r="6483" customFormat="1" x14ac:dyDescent="0.3"/>
    <row r="6484" customFormat="1" x14ac:dyDescent="0.3"/>
    <row r="6485" customFormat="1" x14ac:dyDescent="0.3"/>
    <row r="6486" customFormat="1" x14ac:dyDescent="0.3"/>
    <row r="6487" customFormat="1" x14ac:dyDescent="0.3"/>
    <row r="6488" customFormat="1" x14ac:dyDescent="0.3"/>
    <row r="6489" customFormat="1" x14ac:dyDescent="0.3"/>
    <row r="6490" customFormat="1" x14ac:dyDescent="0.3"/>
    <row r="6491" customFormat="1" x14ac:dyDescent="0.3"/>
    <row r="6492" customFormat="1" x14ac:dyDescent="0.3"/>
    <row r="6493" customFormat="1" x14ac:dyDescent="0.3"/>
    <row r="6494" customFormat="1" x14ac:dyDescent="0.3"/>
    <row r="6495" customFormat="1" x14ac:dyDescent="0.3"/>
    <row r="6496" customFormat="1" x14ac:dyDescent="0.3"/>
    <row r="6497" customFormat="1" x14ac:dyDescent="0.3"/>
    <row r="6498" customFormat="1" x14ac:dyDescent="0.3"/>
    <row r="6499" customFormat="1" x14ac:dyDescent="0.3"/>
    <row r="6500" customFormat="1" x14ac:dyDescent="0.3"/>
    <row r="6501" customFormat="1" x14ac:dyDescent="0.3"/>
    <row r="6502" customFormat="1" x14ac:dyDescent="0.3"/>
    <row r="6503" customFormat="1" x14ac:dyDescent="0.3"/>
    <row r="6504" customFormat="1" x14ac:dyDescent="0.3"/>
    <row r="6505" customFormat="1" x14ac:dyDescent="0.3"/>
    <row r="6506" customFormat="1" x14ac:dyDescent="0.3"/>
    <row r="6507" customFormat="1" x14ac:dyDescent="0.3"/>
    <row r="6508" customFormat="1" x14ac:dyDescent="0.3"/>
    <row r="6509" customFormat="1" x14ac:dyDescent="0.3"/>
    <row r="6510" customFormat="1" x14ac:dyDescent="0.3"/>
    <row r="6511" customFormat="1" x14ac:dyDescent="0.3"/>
    <row r="6512" customFormat="1" x14ac:dyDescent="0.3"/>
    <row r="6513" customFormat="1" x14ac:dyDescent="0.3"/>
    <row r="6514" customFormat="1" x14ac:dyDescent="0.3"/>
    <row r="6515" customFormat="1" x14ac:dyDescent="0.3"/>
    <row r="6516" customFormat="1" x14ac:dyDescent="0.3"/>
    <row r="6517" customFormat="1" x14ac:dyDescent="0.3"/>
    <row r="6518" customFormat="1" x14ac:dyDescent="0.3"/>
    <row r="6519" customFormat="1" x14ac:dyDescent="0.3"/>
    <row r="6520" customFormat="1" x14ac:dyDescent="0.3"/>
    <row r="6521" customFormat="1" x14ac:dyDescent="0.3"/>
    <row r="6522" customFormat="1" x14ac:dyDescent="0.3"/>
    <row r="6523" customFormat="1" x14ac:dyDescent="0.3"/>
    <row r="6524" customFormat="1" x14ac:dyDescent="0.3"/>
    <row r="6525" customFormat="1" x14ac:dyDescent="0.3"/>
    <row r="6526" customFormat="1" x14ac:dyDescent="0.3"/>
    <row r="6527" customFormat="1" x14ac:dyDescent="0.3"/>
    <row r="6528" customFormat="1" x14ac:dyDescent="0.3"/>
    <row r="6529" customFormat="1" x14ac:dyDescent="0.3"/>
    <row r="6530" customFormat="1" x14ac:dyDescent="0.3"/>
    <row r="6531" customFormat="1" x14ac:dyDescent="0.3"/>
    <row r="6532" customFormat="1" x14ac:dyDescent="0.3"/>
    <row r="6533" customFormat="1" x14ac:dyDescent="0.3"/>
    <row r="6534" customFormat="1" x14ac:dyDescent="0.3"/>
    <row r="6535" customFormat="1" x14ac:dyDescent="0.3"/>
    <row r="6536" customFormat="1" x14ac:dyDescent="0.3"/>
    <row r="6537" customFormat="1" x14ac:dyDescent="0.3"/>
    <row r="6538" customFormat="1" x14ac:dyDescent="0.3"/>
    <row r="6539" customFormat="1" x14ac:dyDescent="0.3"/>
    <row r="6540" customFormat="1" x14ac:dyDescent="0.3"/>
    <row r="6541" customFormat="1" x14ac:dyDescent="0.3"/>
    <row r="6542" customFormat="1" x14ac:dyDescent="0.3"/>
    <row r="6543" customFormat="1" x14ac:dyDescent="0.3"/>
    <row r="6544" customFormat="1" x14ac:dyDescent="0.3"/>
    <row r="6545" customFormat="1" x14ac:dyDescent="0.3"/>
    <row r="6546" customFormat="1" x14ac:dyDescent="0.3"/>
    <row r="6547" customFormat="1" x14ac:dyDescent="0.3"/>
    <row r="6548" customFormat="1" x14ac:dyDescent="0.3"/>
    <row r="6549" customFormat="1" x14ac:dyDescent="0.3"/>
    <row r="6550" customFormat="1" x14ac:dyDescent="0.3"/>
    <row r="6551" customFormat="1" x14ac:dyDescent="0.3"/>
    <row r="6552" customFormat="1" x14ac:dyDescent="0.3"/>
    <row r="6553" customFormat="1" x14ac:dyDescent="0.3"/>
    <row r="6554" customFormat="1" x14ac:dyDescent="0.3"/>
    <row r="6555" customFormat="1" x14ac:dyDescent="0.3"/>
    <row r="6556" customFormat="1" x14ac:dyDescent="0.3"/>
    <row r="6557" customFormat="1" x14ac:dyDescent="0.3"/>
    <row r="6558" customFormat="1" x14ac:dyDescent="0.3"/>
    <row r="6559" customFormat="1" x14ac:dyDescent="0.3"/>
    <row r="6560" customFormat="1" x14ac:dyDescent="0.3"/>
    <row r="6561" customFormat="1" x14ac:dyDescent="0.3"/>
    <row r="6562" customFormat="1" x14ac:dyDescent="0.3"/>
    <row r="6563" customFormat="1" x14ac:dyDescent="0.3"/>
    <row r="6564" customFormat="1" x14ac:dyDescent="0.3"/>
    <row r="6565" customFormat="1" x14ac:dyDescent="0.3"/>
    <row r="6566" customFormat="1" x14ac:dyDescent="0.3"/>
    <row r="6567" customFormat="1" x14ac:dyDescent="0.3"/>
    <row r="6568" customFormat="1" x14ac:dyDescent="0.3"/>
    <row r="6569" customFormat="1" x14ac:dyDescent="0.3"/>
    <row r="6570" customFormat="1" x14ac:dyDescent="0.3"/>
    <row r="6571" customFormat="1" x14ac:dyDescent="0.3"/>
    <row r="6572" customFormat="1" x14ac:dyDescent="0.3"/>
    <row r="6573" customFormat="1" x14ac:dyDescent="0.3"/>
    <row r="6574" customFormat="1" x14ac:dyDescent="0.3"/>
    <row r="6575" customFormat="1" x14ac:dyDescent="0.3"/>
    <row r="6576" customFormat="1" x14ac:dyDescent="0.3"/>
    <row r="6577" customFormat="1" x14ac:dyDescent="0.3"/>
    <row r="6578" customFormat="1" x14ac:dyDescent="0.3"/>
    <row r="6579" customFormat="1" x14ac:dyDescent="0.3"/>
    <row r="6580" customFormat="1" x14ac:dyDescent="0.3"/>
    <row r="6581" customFormat="1" x14ac:dyDescent="0.3"/>
    <row r="6582" customFormat="1" x14ac:dyDescent="0.3"/>
    <row r="6583" customFormat="1" x14ac:dyDescent="0.3"/>
    <row r="6584" customFormat="1" x14ac:dyDescent="0.3"/>
    <row r="6585" customFormat="1" x14ac:dyDescent="0.3"/>
    <row r="6586" customFormat="1" x14ac:dyDescent="0.3"/>
    <row r="6587" customFormat="1" x14ac:dyDescent="0.3"/>
    <row r="6588" customFormat="1" x14ac:dyDescent="0.3"/>
    <row r="6589" customFormat="1" x14ac:dyDescent="0.3"/>
    <row r="6590" customFormat="1" x14ac:dyDescent="0.3"/>
    <row r="6591" customFormat="1" x14ac:dyDescent="0.3"/>
    <row r="6592" customFormat="1" x14ac:dyDescent="0.3"/>
    <row r="6593" customFormat="1" x14ac:dyDescent="0.3"/>
    <row r="6594" customFormat="1" x14ac:dyDescent="0.3"/>
    <row r="6595" customFormat="1" x14ac:dyDescent="0.3"/>
    <row r="6596" customFormat="1" x14ac:dyDescent="0.3"/>
    <row r="6597" customFormat="1" x14ac:dyDescent="0.3"/>
    <row r="6598" customFormat="1" x14ac:dyDescent="0.3"/>
    <row r="6599" customFormat="1" x14ac:dyDescent="0.3"/>
    <row r="6600" customFormat="1" x14ac:dyDescent="0.3"/>
    <row r="6601" customFormat="1" x14ac:dyDescent="0.3"/>
    <row r="6602" customFormat="1" x14ac:dyDescent="0.3"/>
    <row r="6603" customFormat="1" x14ac:dyDescent="0.3"/>
    <row r="6604" customFormat="1" x14ac:dyDescent="0.3"/>
    <row r="6605" customFormat="1" x14ac:dyDescent="0.3"/>
    <row r="6606" customFormat="1" x14ac:dyDescent="0.3"/>
    <row r="6607" customFormat="1" x14ac:dyDescent="0.3"/>
    <row r="6608" customFormat="1" x14ac:dyDescent="0.3"/>
    <row r="6609" customFormat="1" x14ac:dyDescent="0.3"/>
    <row r="6610" customFormat="1" x14ac:dyDescent="0.3"/>
    <row r="6611" customFormat="1" x14ac:dyDescent="0.3"/>
    <row r="6612" customFormat="1" x14ac:dyDescent="0.3"/>
    <row r="6613" customFormat="1" x14ac:dyDescent="0.3"/>
    <row r="6614" customFormat="1" x14ac:dyDescent="0.3"/>
    <row r="6615" customFormat="1" x14ac:dyDescent="0.3"/>
    <row r="6616" customFormat="1" x14ac:dyDescent="0.3"/>
    <row r="6617" customFormat="1" x14ac:dyDescent="0.3"/>
    <row r="6618" customFormat="1" x14ac:dyDescent="0.3"/>
    <row r="6619" customFormat="1" x14ac:dyDescent="0.3"/>
    <row r="6620" customFormat="1" x14ac:dyDescent="0.3"/>
    <row r="6621" customFormat="1" x14ac:dyDescent="0.3"/>
    <row r="6622" customFormat="1" x14ac:dyDescent="0.3"/>
    <row r="6623" customFormat="1" x14ac:dyDescent="0.3"/>
    <row r="6624" customFormat="1" x14ac:dyDescent="0.3"/>
    <row r="6625" customFormat="1" x14ac:dyDescent="0.3"/>
    <row r="6626" customFormat="1" x14ac:dyDescent="0.3"/>
    <row r="6627" customFormat="1" x14ac:dyDescent="0.3"/>
    <row r="6628" customFormat="1" x14ac:dyDescent="0.3"/>
    <row r="6629" customFormat="1" x14ac:dyDescent="0.3"/>
    <row r="6630" customFormat="1" x14ac:dyDescent="0.3"/>
    <row r="6631" customFormat="1" x14ac:dyDescent="0.3"/>
    <row r="6632" customFormat="1" x14ac:dyDescent="0.3"/>
    <row r="6633" customFormat="1" x14ac:dyDescent="0.3"/>
    <row r="6634" customFormat="1" x14ac:dyDescent="0.3"/>
    <row r="6635" customFormat="1" x14ac:dyDescent="0.3"/>
    <row r="6636" customFormat="1" x14ac:dyDescent="0.3"/>
    <row r="6637" customFormat="1" x14ac:dyDescent="0.3"/>
    <row r="6638" customFormat="1" x14ac:dyDescent="0.3"/>
    <row r="6639" customFormat="1" x14ac:dyDescent="0.3"/>
    <row r="6640" customFormat="1" x14ac:dyDescent="0.3"/>
    <row r="6641" customFormat="1" x14ac:dyDescent="0.3"/>
    <row r="6642" customFormat="1" x14ac:dyDescent="0.3"/>
    <row r="6643" customFormat="1" x14ac:dyDescent="0.3"/>
    <row r="6644" customFormat="1" x14ac:dyDescent="0.3"/>
    <row r="6645" customFormat="1" x14ac:dyDescent="0.3"/>
    <row r="6646" customFormat="1" x14ac:dyDescent="0.3"/>
    <row r="6647" customFormat="1" x14ac:dyDescent="0.3"/>
    <row r="6648" customFormat="1" x14ac:dyDescent="0.3"/>
    <row r="6649" customFormat="1" x14ac:dyDescent="0.3"/>
    <row r="6650" customFormat="1" x14ac:dyDescent="0.3"/>
    <row r="6651" customFormat="1" x14ac:dyDescent="0.3"/>
    <row r="6652" customFormat="1" x14ac:dyDescent="0.3"/>
    <row r="6653" customFormat="1" x14ac:dyDescent="0.3"/>
    <row r="6654" customFormat="1" x14ac:dyDescent="0.3"/>
    <row r="6655" customFormat="1" x14ac:dyDescent="0.3"/>
    <row r="6656" customFormat="1" x14ac:dyDescent="0.3"/>
    <row r="6657" customFormat="1" x14ac:dyDescent="0.3"/>
    <row r="6658" customFormat="1" x14ac:dyDescent="0.3"/>
    <row r="6659" customFormat="1" x14ac:dyDescent="0.3"/>
    <row r="6660" customFormat="1" x14ac:dyDescent="0.3"/>
    <row r="6661" customFormat="1" x14ac:dyDescent="0.3"/>
    <row r="6662" customFormat="1" x14ac:dyDescent="0.3"/>
    <row r="6663" customFormat="1" x14ac:dyDescent="0.3"/>
    <row r="6664" customFormat="1" x14ac:dyDescent="0.3"/>
    <row r="6665" customFormat="1" x14ac:dyDescent="0.3"/>
    <row r="6666" customFormat="1" x14ac:dyDescent="0.3"/>
    <row r="6667" customFormat="1" x14ac:dyDescent="0.3"/>
    <row r="6668" customFormat="1" x14ac:dyDescent="0.3"/>
    <row r="6669" customFormat="1" x14ac:dyDescent="0.3"/>
    <row r="6670" customFormat="1" x14ac:dyDescent="0.3"/>
    <row r="6671" customFormat="1" x14ac:dyDescent="0.3"/>
    <row r="6672" customFormat="1" x14ac:dyDescent="0.3"/>
    <row r="6673" customFormat="1" x14ac:dyDescent="0.3"/>
    <row r="6674" customFormat="1" x14ac:dyDescent="0.3"/>
    <row r="6675" customFormat="1" x14ac:dyDescent="0.3"/>
    <row r="6676" customFormat="1" x14ac:dyDescent="0.3"/>
    <row r="6677" customFormat="1" x14ac:dyDescent="0.3"/>
    <row r="6678" customFormat="1" x14ac:dyDescent="0.3"/>
    <row r="6679" customFormat="1" x14ac:dyDescent="0.3"/>
    <row r="6680" customFormat="1" x14ac:dyDescent="0.3"/>
    <row r="6681" customFormat="1" x14ac:dyDescent="0.3"/>
    <row r="6682" customFormat="1" x14ac:dyDescent="0.3"/>
    <row r="6683" customFormat="1" x14ac:dyDescent="0.3"/>
    <row r="6684" customFormat="1" x14ac:dyDescent="0.3"/>
    <row r="6685" customFormat="1" x14ac:dyDescent="0.3"/>
    <row r="6686" customFormat="1" x14ac:dyDescent="0.3"/>
    <row r="6687" customFormat="1" x14ac:dyDescent="0.3"/>
    <row r="6688" customFormat="1" x14ac:dyDescent="0.3"/>
    <row r="6689" customFormat="1" x14ac:dyDescent="0.3"/>
    <row r="6690" customFormat="1" x14ac:dyDescent="0.3"/>
    <row r="6691" customFormat="1" x14ac:dyDescent="0.3"/>
    <row r="6692" customFormat="1" x14ac:dyDescent="0.3"/>
    <row r="6693" customFormat="1" x14ac:dyDescent="0.3"/>
    <row r="6694" customFormat="1" x14ac:dyDescent="0.3"/>
    <row r="6695" customFormat="1" x14ac:dyDescent="0.3"/>
    <row r="6696" customFormat="1" x14ac:dyDescent="0.3"/>
    <row r="6697" customFormat="1" x14ac:dyDescent="0.3"/>
    <row r="6698" customFormat="1" x14ac:dyDescent="0.3"/>
    <row r="6699" customFormat="1" x14ac:dyDescent="0.3"/>
    <row r="6700" customFormat="1" x14ac:dyDescent="0.3"/>
    <row r="6701" customFormat="1" x14ac:dyDescent="0.3"/>
    <row r="6702" customFormat="1" x14ac:dyDescent="0.3"/>
    <row r="6703" customFormat="1" x14ac:dyDescent="0.3"/>
    <row r="6704" customFormat="1" x14ac:dyDescent="0.3"/>
    <row r="6705" customFormat="1" x14ac:dyDescent="0.3"/>
    <row r="6706" customFormat="1" x14ac:dyDescent="0.3"/>
    <row r="6707" customFormat="1" x14ac:dyDescent="0.3"/>
    <row r="6708" customFormat="1" x14ac:dyDescent="0.3"/>
    <row r="6709" customFormat="1" x14ac:dyDescent="0.3"/>
    <row r="6710" customFormat="1" x14ac:dyDescent="0.3"/>
    <row r="6711" customFormat="1" x14ac:dyDescent="0.3"/>
    <row r="6712" customFormat="1" x14ac:dyDescent="0.3"/>
    <row r="6713" customFormat="1" x14ac:dyDescent="0.3"/>
    <row r="6714" customFormat="1" x14ac:dyDescent="0.3"/>
    <row r="6715" customFormat="1" x14ac:dyDescent="0.3"/>
    <row r="6716" customFormat="1" x14ac:dyDescent="0.3"/>
    <row r="6717" customFormat="1" x14ac:dyDescent="0.3"/>
    <row r="6718" customFormat="1" x14ac:dyDescent="0.3"/>
    <row r="6719" customFormat="1" x14ac:dyDescent="0.3"/>
    <row r="6720" customFormat="1" x14ac:dyDescent="0.3"/>
    <row r="6721" customFormat="1" x14ac:dyDescent="0.3"/>
    <row r="6722" customFormat="1" x14ac:dyDescent="0.3"/>
    <row r="6723" customFormat="1" x14ac:dyDescent="0.3"/>
    <row r="6724" customFormat="1" x14ac:dyDescent="0.3"/>
    <row r="6725" customFormat="1" x14ac:dyDescent="0.3"/>
    <row r="6726" customFormat="1" x14ac:dyDescent="0.3"/>
    <row r="6727" customFormat="1" x14ac:dyDescent="0.3"/>
    <row r="6728" customFormat="1" x14ac:dyDescent="0.3"/>
    <row r="6729" customFormat="1" x14ac:dyDescent="0.3"/>
    <row r="6730" customFormat="1" x14ac:dyDescent="0.3"/>
    <row r="6731" customFormat="1" x14ac:dyDescent="0.3"/>
    <row r="6732" customFormat="1" x14ac:dyDescent="0.3"/>
    <row r="6733" customFormat="1" x14ac:dyDescent="0.3"/>
    <row r="6734" customFormat="1" x14ac:dyDescent="0.3"/>
    <row r="6735" customFormat="1" x14ac:dyDescent="0.3"/>
    <row r="6736" customFormat="1" x14ac:dyDescent="0.3"/>
    <row r="6737" customFormat="1" x14ac:dyDescent="0.3"/>
    <row r="6738" customFormat="1" x14ac:dyDescent="0.3"/>
    <row r="6739" customFormat="1" x14ac:dyDescent="0.3"/>
    <row r="6740" customFormat="1" x14ac:dyDescent="0.3"/>
    <row r="6741" customFormat="1" x14ac:dyDescent="0.3"/>
    <row r="6742" customFormat="1" x14ac:dyDescent="0.3"/>
    <row r="6743" customFormat="1" x14ac:dyDescent="0.3"/>
    <row r="6744" customFormat="1" x14ac:dyDescent="0.3"/>
    <row r="6745" customFormat="1" x14ac:dyDescent="0.3"/>
    <row r="6746" customFormat="1" x14ac:dyDescent="0.3"/>
    <row r="6747" customFormat="1" x14ac:dyDescent="0.3"/>
    <row r="6748" customFormat="1" x14ac:dyDescent="0.3"/>
    <row r="6749" customFormat="1" x14ac:dyDescent="0.3"/>
    <row r="6750" customFormat="1" x14ac:dyDescent="0.3"/>
    <row r="6751" customFormat="1" x14ac:dyDescent="0.3"/>
    <row r="6752" customFormat="1" x14ac:dyDescent="0.3"/>
    <row r="6753" customFormat="1" x14ac:dyDescent="0.3"/>
    <row r="6754" customFormat="1" x14ac:dyDescent="0.3"/>
    <row r="6755" customFormat="1" x14ac:dyDescent="0.3"/>
    <row r="6756" customFormat="1" x14ac:dyDescent="0.3"/>
    <row r="6757" customFormat="1" x14ac:dyDescent="0.3"/>
    <row r="6758" customFormat="1" x14ac:dyDescent="0.3"/>
    <row r="6759" customFormat="1" x14ac:dyDescent="0.3"/>
    <row r="6760" customFormat="1" x14ac:dyDescent="0.3"/>
    <row r="6761" customFormat="1" x14ac:dyDescent="0.3"/>
    <row r="6762" customFormat="1" x14ac:dyDescent="0.3"/>
    <row r="6763" customFormat="1" x14ac:dyDescent="0.3"/>
    <row r="6764" customFormat="1" x14ac:dyDescent="0.3"/>
    <row r="6765" customFormat="1" x14ac:dyDescent="0.3"/>
    <row r="6766" customFormat="1" x14ac:dyDescent="0.3"/>
    <row r="6767" customFormat="1" x14ac:dyDescent="0.3"/>
    <row r="6768" customFormat="1" x14ac:dyDescent="0.3"/>
    <row r="6769" customFormat="1" x14ac:dyDescent="0.3"/>
    <row r="6770" customFormat="1" x14ac:dyDescent="0.3"/>
    <row r="6771" customFormat="1" x14ac:dyDescent="0.3"/>
    <row r="6772" customFormat="1" x14ac:dyDescent="0.3"/>
    <row r="6773" customFormat="1" x14ac:dyDescent="0.3"/>
    <row r="6774" customFormat="1" x14ac:dyDescent="0.3"/>
    <row r="6775" customFormat="1" x14ac:dyDescent="0.3"/>
    <row r="6776" customFormat="1" x14ac:dyDescent="0.3"/>
    <row r="6777" customFormat="1" x14ac:dyDescent="0.3"/>
    <row r="6778" customFormat="1" x14ac:dyDescent="0.3"/>
    <row r="6779" customFormat="1" x14ac:dyDescent="0.3"/>
    <row r="6780" customFormat="1" x14ac:dyDescent="0.3"/>
    <row r="6781" customFormat="1" x14ac:dyDescent="0.3"/>
    <row r="6782" customFormat="1" x14ac:dyDescent="0.3"/>
    <row r="6783" customFormat="1" x14ac:dyDescent="0.3"/>
    <row r="6784" customFormat="1" x14ac:dyDescent="0.3"/>
    <row r="6785" customFormat="1" x14ac:dyDescent="0.3"/>
    <row r="6786" customFormat="1" x14ac:dyDescent="0.3"/>
    <row r="6787" customFormat="1" x14ac:dyDescent="0.3"/>
    <row r="6788" customFormat="1" x14ac:dyDescent="0.3"/>
    <row r="6789" customFormat="1" x14ac:dyDescent="0.3"/>
    <row r="6790" customFormat="1" x14ac:dyDescent="0.3"/>
    <row r="6791" customFormat="1" x14ac:dyDescent="0.3"/>
    <row r="6792" customFormat="1" x14ac:dyDescent="0.3"/>
    <row r="6793" customFormat="1" x14ac:dyDescent="0.3"/>
    <row r="6794" customFormat="1" x14ac:dyDescent="0.3"/>
    <row r="6795" customFormat="1" x14ac:dyDescent="0.3"/>
    <row r="6796" customFormat="1" x14ac:dyDescent="0.3"/>
    <row r="6797" customFormat="1" x14ac:dyDescent="0.3"/>
    <row r="6798" customFormat="1" x14ac:dyDescent="0.3"/>
    <row r="6799" customFormat="1" x14ac:dyDescent="0.3"/>
    <row r="6800" customFormat="1" x14ac:dyDescent="0.3"/>
    <row r="6801" customFormat="1" x14ac:dyDescent="0.3"/>
    <row r="6802" customFormat="1" x14ac:dyDescent="0.3"/>
    <row r="6803" customFormat="1" x14ac:dyDescent="0.3"/>
    <row r="6804" customFormat="1" x14ac:dyDescent="0.3"/>
    <row r="6805" customFormat="1" x14ac:dyDescent="0.3"/>
    <row r="6806" customFormat="1" x14ac:dyDescent="0.3"/>
    <row r="6807" customFormat="1" x14ac:dyDescent="0.3"/>
    <row r="6808" customFormat="1" x14ac:dyDescent="0.3"/>
    <row r="6809" customFormat="1" x14ac:dyDescent="0.3"/>
    <row r="6810" customFormat="1" x14ac:dyDescent="0.3"/>
    <row r="6811" customFormat="1" x14ac:dyDescent="0.3"/>
    <row r="6812" customFormat="1" x14ac:dyDescent="0.3"/>
    <row r="6813" customFormat="1" x14ac:dyDescent="0.3"/>
    <row r="6814" customFormat="1" x14ac:dyDescent="0.3"/>
    <row r="6815" customFormat="1" x14ac:dyDescent="0.3"/>
    <row r="6816" customFormat="1" x14ac:dyDescent="0.3"/>
    <row r="6817" customFormat="1" x14ac:dyDescent="0.3"/>
    <row r="6818" customFormat="1" x14ac:dyDescent="0.3"/>
    <row r="6819" customFormat="1" x14ac:dyDescent="0.3"/>
    <row r="6820" customFormat="1" x14ac:dyDescent="0.3"/>
    <row r="6821" customFormat="1" x14ac:dyDescent="0.3"/>
    <row r="6822" customFormat="1" x14ac:dyDescent="0.3"/>
    <row r="6823" customFormat="1" x14ac:dyDescent="0.3"/>
    <row r="6824" customFormat="1" x14ac:dyDescent="0.3"/>
    <row r="6825" customFormat="1" x14ac:dyDescent="0.3"/>
    <row r="6826" customFormat="1" x14ac:dyDescent="0.3"/>
    <row r="6827" customFormat="1" x14ac:dyDescent="0.3"/>
    <row r="6828" customFormat="1" x14ac:dyDescent="0.3"/>
    <row r="6829" customFormat="1" x14ac:dyDescent="0.3"/>
    <row r="6830" customFormat="1" x14ac:dyDescent="0.3"/>
    <row r="6831" customFormat="1" x14ac:dyDescent="0.3"/>
    <row r="6832" customFormat="1" x14ac:dyDescent="0.3"/>
    <row r="6833" customFormat="1" x14ac:dyDescent="0.3"/>
    <row r="6834" customFormat="1" x14ac:dyDescent="0.3"/>
    <row r="6835" customFormat="1" x14ac:dyDescent="0.3"/>
    <row r="6836" customFormat="1" x14ac:dyDescent="0.3"/>
    <row r="6837" customFormat="1" x14ac:dyDescent="0.3"/>
    <row r="6838" customFormat="1" x14ac:dyDescent="0.3"/>
    <row r="6839" customFormat="1" x14ac:dyDescent="0.3"/>
    <row r="6840" customFormat="1" x14ac:dyDescent="0.3"/>
    <row r="6841" customFormat="1" x14ac:dyDescent="0.3"/>
    <row r="6842" customFormat="1" x14ac:dyDescent="0.3"/>
    <row r="6843" customFormat="1" x14ac:dyDescent="0.3"/>
    <row r="6844" customFormat="1" x14ac:dyDescent="0.3"/>
    <row r="6845" customFormat="1" x14ac:dyDescent="0.3"/>
    <row r="6846" customFormat="1" x14ac:dyDescent="0.3"/>
    <row r="6847" customFormat="1" x14ac:dyDescent="0.3"/>
    <row r="6848" customFormat="1" x14ac:dyDescent="0.3"/>
    <row r="6849" customFormat="1" x14ac:dyDescent="0.3"/>
    <row r="6850" customFormat="1" x14ac:dyDescent="0.3"/>
    <row r="6851" customFormat="1" x14ac:dyDescent="0.3"/>
    <row r="6852" customFormat="1" x14ac:dyDescent="0.3"/>
    <row r="6853" customFormat="1" x14ac:dyDescent="0.3"/>
    <row r="6854" customFormat="1" x14ac:dyDescent="0.3"/>
    <row r="6855" customFormat="1" x14ac:dyDescent="0.3"/>
    <row r="6856" customFormat="1" x14ac:dyDescent="0.3"/>
    <row r="6857" customFormat="1" x14ac:dyDescent="0.3"/>
    <row r="6858" customFormat="1" x14ac:dyDescent="0.3"/>
    <row r="6859" customFormat="1" x14ac:dyDescent="0.3"/>
    <row r="6860" customFormat="1" x14ac:dyDescent="0.3"/>
    <row r="6861" customFormat="1" x14ac:dyDescent="0.3"/>
    <row r="6862" customFormat="1" x14ac:dyDescent="0.3"/>
    <row r="6863" customFormat="1" x14ac:dyDescent="0.3"/>
    <row r="6864" customFormat="1" x14ac:dyDescent="0.3"/>
    <row r="6865" customFormat="1" x14ac:dyDescent="0.3"/>
    <row r="6866" customFormat="1" x14ac:dyDescent="0.3"/>
    <row r="6867" customFormat="1" x14ac:dyDescent="0.3"/>
    <row r="6868" customFormat="1" x14ac:dyDescent="0.3"/>
    <row r="6869" customFormat="1" x14ac:dyDescent="0.3"/>
    <row r="6870" customFormat="1" x14ac:dyDescent="0.3"/>
    <row r="6871" customFormat="1" x14ac:dyDescent="0.3"/>
    <row r="6872" customFormat="1" x14ac:dyDescent="0.3"/>
    <row r="6873" customFormat="1" x14ac:dyDescent="0.3"/>
    <row r="6874" customFormat="1" x14ac:dyDescent="0.3"/>
    <row r="6875" customFormat="1" x14ac:dyDescent="0.3"/>
    <row r="6876" customFormat="1" x14ac:dyDescent="0.3"/>
    <row r="6877" customFormat="1" x14ac:dyDescent="0.3"/>
    <row r="6878" customFormat="1" x14ac:dyDescent="0.3"/>
    <row r="6879" customFormat="1" x14ac:dyDescent="0.3"/>
    <row r="6880" customFormat="1" x14ac:dyDescent="0.3"/>
    <row r="6881" customFormat="1" x14ac:dyDescent="0.3"/>
    <row r="6882" customFormat="1" x14ac:dyDescent="0.3"/>
    <row r="6883" customFormat="1" x14ac:dyDescent="0.3"/>
    <row r="6884" customFormat="1" x14ac:dyDescent="0.3"/>
    <row r="6885" customFormat="1" x14ac:dyDescent="0.3"/>
    <row r="6886" customFormat="1" x14ac:dyDescent="0.3"/>
    <row r="6887" customFormat="1" x14ac:dyDescent="0.3"/>
    <row r="6888" customFormat="1" x14ac:dyDescent="0.3"/>
    <row r="6889" customFormat="1" x14ac:dyDescent="0.3"/>
    <row r="6890" customFormat="1" x14ac:dyDescent="0.3"/>
    <row r="6891" customFormat="1" x14ac:dyDescent="0.3"/>
    <row r="6892" customFormat="1" x14ac:dyDescent="0.3"/>
    <row r="6893" customFormat="1" x14ac:dyDescent="0.3"/>
    <row r="6894" customFormat="1" x14ac:dyDescent="0.3"/>
    <row r="6895" customFormat="1" x14ac:dyDescent="0.3"/>
    <row r="6896" customFormat="1" x14ac:dyDescent="0.3"/>
    <row r="6897" customFormat="1" x14ac:dyDescent="0.3"/>
    <row r="6898" customFormat="1" x14ac:dyDescent="0.3"/>
    <row r="6899" customFormat="1" x14ac:dyDescent="0.3"/>
    <row r="6900" customFormat="1" x14ac:dyDescent="0.3"/>
    <row r="6901" customFormat="1" x14ac:dyDescent="0.3"/>
    <row r="6902" customFormat="1" x14ac:dyDescent="0.3"/>
    <row r="6903" customFormat="1" x14ac:dyDescent="0.3"/>
    <row r="6904" customFormat="1" x14ac:dyDescent="0.3"/>
    <row r="6905" customFormat="1" x14ac:dyDescent="0.3"/>
    <row r="6906" customFormat="1" x14ac:dyDescent="0.3"/>
    <row r="6907" customFormat="1" x14ac:dyDescent="0.3"/>
    <row r="6908" customFormat="1" x14ac:dyDescent="0.3"/>
    <row r="6909" customFormat="1" x14ac:dyDescent="0.3"/>
    <row r="6910" customFormat="1" x14ac:dyDescent="0.3"/>
    <row r="6911" customFormat="1" x14ac:dyDescent="0.3"/>
    <row r="6912" customFormat="1" x14ac:dyDescent="0.3"/>
    <row r="6913" customFormat="1" x14ac:dyDescent="0.3"/>
    <row r="6914" customFormat="1" x14ac:dyDescent="0.3"/>
    <row r="6915" customFormat="1" x14ac:dyDescent="0.3"/>
    <row r="6916" customFormat="1" x14ac:dyDescent="0.3"/>
    <row r="6917" customFormat="1" x14ac:dyDescent="0.3"/>
    <row r="6918" customFormat="1" x14ac:dyDescent="0.3"/>
    <row r="6919" customFormat="1" x14ac:dyDescent="0.3"/>
    <row r="6920" customFormat="1" x14ac:dyDescent="0.3"/>
    <row r="6921" customFormat="1" x14ac:dyDescent="0.3"/>
    <row r="6922" customFormat="1" x14ac:dyDescent="0.3"/>
    <row r="6923" customFormat="1" x14ac:dyDescent="0.3"/>
    <row r="6924" customFormat="1" x14ac:dyDescent="0.3"/>
    <row r="6925" customFormat="1" x14ac:dyDescent="0.3"/>
    <row r="6926" customFormat="1" x14ac:dyDescent="0.3"/>
    <row r="6927" customFormat="1" x14ac:dyDescent="0.3"/>
    <row r="6928" customFormat="1" x14ac:dyDescent="0.3"/>
    <row r="6929" customFormat="1" x14ac:dyDescent="0.3"/>
    <row r="6930" customFormat="1" x14ac:dyDescent="0.3"/>
    <row r="6931" customFormat="1" x14ac:dyDescent="0.3"/>
    <row r="6932" customFormat="1" x14ac:dyDescent="0.3"/>
    <row r="6933" customFormat="1" x14ac:dyDescent="0.3"/>
    <row r="6934" customFormat="1" x14ac:dyDescent="0.3"/>
    <row r="6935" customFormat="1" x14ac:dyDescent="0.3"/>
    <row r="6936" customFormat="1" x14ac:dyDescent="0.3"/>
    <row r="6937" customFormat="1" x14ac:dyDescent="0.3"/>
    <row r="6938" customFormat="1" x14ac:dyDescent="0.3"/>
    <row r="6939" customFormat="1" x14ac:dyDescent="0.3"/>
    <row r="6940" customFormat="1" x14ac:dyDescent="0.3"/>
    <row r="6941" customFormat="1" x14ac:dyDescent="0.3"/>
    <row r="6942" customFormat="1" x14ac:dyDescent="0.3"/>
    <row r="6943" customFormat="1" x14ac:dyDescent="0.3"/>
    <row r="6944" customFormat="1" x14ac:dyDescent="0.3"/>
    <row r="6945" customFormat="1" x14ac:dyDescent="0.3"/>
    <row r="6946" customFormat="1" x14ac:dyDescent="0.3"/>
    <row r="6947" customFormat="1" x14ac:dyDescent="0.3"/>
    <row r="6948" customFormat="1" x14ac:dyDescent="0.3"/>
    <row r="6949" customFormat="1" x14ac:dyDescent="0.3"/>
    <row r="6950" customFormat="1" x14ac:dyDescent="0.3"/>
    <row r="6951" customFormat="1" x14ac:dyDescent="0.3"/>
    <row r="6952" customFormat="1" x14ac:dyDescent="0.3"/>
    <row r="6953" customFormat="1" x14ac:dyDescent="0.3"/>
    <row r="6954" customFormat="1" x14ac:dyDescent="0.3"/>
    <row r="6955" customFormat="1" x14ac:dyDescent="0.3"/>
    <row r="6956" customFormat="1" x14ac:dyDescent="0.3"/>
    <row r="6957" customFormat="1" x14ac:dyDescent="0.3"/>
    <row r="6958" customFormat="1" x14ac:dyDescent="0.3"/>
    <row r="6959" customFormat="1" x14ac:dyDescent="0.3"/>
    <row r="6960" customFormat="1" x14ac:dyDescent="0.3"/>
    <row r="6961" customFormat="1" x14ac:dyDescent="0.3"/>
    <row r="6962" customFormat="1" x14ac:dyDescent="0.3"/>
    <row r="6963" customFormat="1" x14ac:dyDescent="0.3"/>
    <row r="6964" customFormat="1" x14ac:dyDescent="0.3"/>
    <row r="6965" customFormat="1" x14ac:dyDescent="0.3"/>
    <row r="6966" customFormat="1" x14ac:dyDescent="0.3"/>
    <row r="6967" customFormat="1" x14ac:dyDescent="0.3"/>
    <row r="6968" customFormat="1" x14ac:dyDescent="0.3"/>
    <row r="6969" customFormat="1" x14ac:dyDescent="0.3"/>
    <row r="6970" customFormat="1" x14ac:dyDescent="0.3"/>
    <row r="6971" customFormat="1" x14ac:dyDescent="0.3"/>
    <row r="6972" customFormat="1" x14ac:dyDescent="0.3"/>
    <row r="6973" customFormat="1" x14ac:dyDescent="0.3"/>
    <row r="6974" customFormat="1" x14ac:dyDescent="0.3"/>
    <row r="6975" customFormat="1" x14ac:dyDescent="0.3"/>
    <row r="6976" customFormat="1" x14ac:dyDescent="0.3"/>
    <row r="6977" customFormat="1" x14ac:dyDescent="0.3"/>
    <row r="6978" customFormat="1" x14ac:dyDescent="0.3"/>
    <row r="6979" customFormat="1" x14ac:dyDescent="0.3"/>
    <row r="6980" customFormat="1" x14ac:dyDescent="0.3"/>
    <row r="6981" customFormat="1" x14ac:dyDescent="0.3"/>
    <row r="6982" customFormat="1" x14ac:dyDescent="0.3"/>
    <row r="6983" customFormat="1" x14ac:dyDescent="0.3"/>
    <row r="6984" customFormat="1" x14ac:dyDescent="0.3"/>
    <row r="6985" customFormat="1" x14ac:dyDescent="0.3"/>
    <row r="6986" customFormat="1" x14ac:dyDescent="0.3"/>
    <row r="6987" customFormat="1" x14ac:dyDescent="0.3"/>
    <row r="6988" customFormat="1" x14ac:dyDescent="0.3"/>
    <row r="6989" customFormat="1" x14ac:dyDescent="0.3"/>
    <row r="6990" customFormat="1" x14ac:dyDescent="0.3"/>
    <row r="6991" customFormat="1" x14ac:dyDescent="0.3"/>
    <row r="6992" customFormat="1" x14ac:dyDescent="0.3"/>
    <row r="6993" customFormat="1" x14ac:dyDescent="0.3"/>
    <row r="6994" customFormat="1" x14ac:dyDescent="0.3"/>
    <row r="6995" customFormat="1" x14ac:dyDescent="0.3"/>
    <row r="6996" customFormat="1" x14ac:dyDescent="0.3"/>
    <row r="6997" customFormat="1" x14ac:dyDescent="0.3"/>
    <row r="6998" customFormat="1" x14ac:dyDescent="0.3"/>
    <row r="6999" customFormat="1" x14ac:dyDescent="0.3"/>
    <row r="7000" customFormat="1" x14ac:dyDescent="0.3"/>
    <row r="7001" customFormat="1" x14ac:dyDescent="0.3"/>
    <row r="7002" customFormat="1" x14ac:dyDescent="0.3"/>
    <row r="7003" customFormat="1" x14ac:dyDescent="0.3"/>
    <row r="7004" customFormat="1" x14ac:dyDescent="0.3"/>
    <row r="7005" customFormat="1" x14ac:dyDescent="0.3"/>
    <row r="7006" customFormat="1" x14ac:dyDescent="0.3"/>
    <row r="7007" customFormat="1" x14ac:dyDescent="0.3"/>
    <row r="7008" customFormat="1" x14ac:dyDescent="0.3"/>
    <row r="7009" customFormat="1" x14ac:dyDescent="0.3"/>
    <row r="7010" customFormat="1" x14ac:dyDescent="0.3"/>
    <row r="7011" customFormat="1" x14ac:dyDescent="0.3"/>
    <row r="7012" customFormat="1" x14ac:dyDescent="0.3"/>
    <row r="7013" customFormat="1" x14ac:dyDescent="0.3"/>
    <row r="7014" customFormat="1" x14ac:dyDescent="0.3"/>
    <row r="7015" customFormat="1" x14ac:dyDescent="0.3"/>
    <row r="7016" customFormat="1" x14ac:dyDescent="0.3"/>
    <row r="7017" customFormat="1" x14ac:dyDescent="0.3"/>
    <row r="7018" customFormat="1" x14ac:dyDescent="0.3"/>
    <row r="7019" customFormat="1" x14ac:dyDescent="0.3"/>
    <row r="7020" customFormat="1" x14ac:dyDescent="0.3"/>
    <row r="7021" customFormat="1" x14ac:dyDescent="0.3"/>
    <row r="7022" customFormat="1" x14ac:dyDescent="0.3"/>
    <row r="7023" customFormat="1" x14ac:dyDescent="0.3"/>
    <row r="7024" customFormat="1" x14ac:dyDescent="0.3"/>
    <row r="7025" customFormat="1" x14ac:dyDescent="0.3"/>
    <row r="7026" customFormat="1" x14ac:dyDescent="0.3"/>
    <row r="7027" customFormat="1" x14ac:dyDescent="0.3"/>
    <row r="7028" customFormat="1" x14ac:dyDescent="0.3"/>
    <row r="7029" customFormat="1" x14ac:dyDescent="0.3"/>
    <row r="7030" customFormat="1" x14ac:dyDescent="0.3"/>
    <row r="7031" customFormat="1" x14ac:dyDescent="0.3"/>
    <row r="7032" customFormat="1" x14ac:dyDescent="0.3"/>
    <row r="7033" customFormat="1" x14ac:dyDescent="0.3"/>
    <row r="7034" customFormat="1" x14ac:dyDescent="0.3"/>
    <row r="7035" customFormat="1" x14ac:dyDescent="0.3"/>
    <row r="7036" customFormat="1" x14ac:dyDescent="0.3"/>
    <row r="7037" customFormat="1" x14ac:dyDescent="0.3"/>
    <row r="7038" customFormat="1" x14ac:dyDescent="0.3"/>
    <row r="7039" customFormat="1" x14ac:dyDescent="0.3"/>
    <row r="7040" customFormat="1" x14ac:dyDescent="0.3"/>
    <row r="7041" customFormat="1" x14ac:dyDescent="0.3"/>
    <row r="7042" customFormat="1" x14ac:dyDescent="0.3"/>
    <row r="7043" customFormat="1" x14ac:dyDescent="0.3"/>
    <row r="7044" customFormat="1" x14ac:dyDescent="0.3"/>
    <row r="7045" customFormat="1" x14ac:dyDescent="0.3"/>
    <row r="7046" customFormat="1" x14ac:dyDescent="0.3"/>
    <row r="7047" customFormat="1" x14ac:dyDescent="0.3"/>
    <row r="7048" customFormat="1" x14ac:dyDescent="0.3"/>
    <row r="7049" customFormat="1" x14ac:dyDescent="0.3"/>
    <row r="7050" customFormat="1" x14ac:dyDescent="0.3"/>
    <row r="7051" customFormat="1" x14ac:dyDescent="0.3"/>
    <row r="7052" customFormat="1" x14ac:dyDescent="0.3"/>
    <row r="7053" customFormat="1" x14ac:dyDescent="0.3"/>
    <row r="7054" customFormat="1" x14ac:dyDescent="0.3"/>
    <row r="7055" customFormat="1" x14ac:dyDescent="0.3"/>
    <row r="7056" customFormat="1" x14ac:dyDescent="0.3"/>
    <row r="7057" customFormat="1" x14ac:dyDescent="0.3"/>
    <row r="7058" customFormat="1" x14ac:dyDescent="0.3"/>
    <row r="7059" customFormat="1" x14ac:dyDescent="0.3"/>
    <row r="7060" customFormat="1" x14ac:dyDescent="0.3"/>
    <row r="7061" customFormat="1" x14ac:dyDescent="0.3"/>
    <row r="7062" customFormat="1" x14ac:dyDescent="0.3"/>
    <row r="7063" customFormat="1" x14ac:dyDescent="0.3"/>
    <row r="7064" customFormat="1" x14ac:dyDescent="0.3"/>
    <row r="7065" customFormat="1" x14ac:dyDescent="0.3"/>
    <row r="7066" customFormat="1" x14ac:dyDescent="0.3"/>
    <row r="7067" customFormat="1" x14ac:dyDescent="0.3"/>
    <row r="7068" customFormat="1" x14ac:dyDescent="0.3"/>
    <row r="7069" customFormat="1" x14ac:dyDescent="0.3"/>
    <row r="7070" customFormat="1" x14ac:dyDescent="0.3"/>
    <row r="7071" customFormat="1" x14ac:dyDescent="0.3"/>
    <row r="7072" customFormat="1" x14ac:dyDescent="0.3"/>
    <row r="7073" customFormat="1" x14ac:dyDescent="0.3"/>
    <row r="7074" customFormat="1" x14ac:dyDescent="0.3"/>
    <row r="7075" customFormat="1" x14ac:dyDescent="0.3"/>
    <row r="7076" customFormat="1" x14ac:dyDescent="0.3"/>
    <row r="7077" customFormat="1" x14ac:dyDescent="0.3"/>
    <row r="7078" customFormat="1" x14ac:dyDescent="0.3"/>
    <row r="7079" customFormat="1" x14ac:dyDescent="0.3"/>
    <row r="7080" customFormat="1" x14ac:dyDescent="0.3"/>
    <row r="7081" customFormat="1" x14ac:dyDescent="0.3"/>
    <row r="7082" customFormat="1" x14ac:dyDescent="0.3"/>
    <row r="7083" customFormat="1" x14ac:dyDescent="0.3"/>
    <row r="7084" customFormat="1" x14ac:dyDescent="0.3"/>
    <row r="7085" customFormat="1" x14ac:dyDescent="0.3"/>
    <row r="7086" customFormat="1" x14ac:dyDescent="0.3"/>
    <row r="7087" customFormat="1" x14ac:dyDescent="0.3"/>
    <row r="7088" customFormat="1" x14ac:dyDescent="0.3"/>
    <row r="7089" customFormat="1" x14ac:dyDescent="0.3"/>
    <row r="7090" customFormat="1" x14ac:dyDescent="0.3"/>
    <row r="7091" customFormat="1" x14ac:dyDescent="0.3"/>
    <row r="7092" customFormat="1" x14ac:dyDescent="0.3"/>
    <row r="7093" customFormat="1" x14ac:dyDescent="0.3"/>
    <row r="7094" customFormat="1" x14ac:dyDescent="0.3"/>
    <row r="7095" customFormat="1" x14ac:dyDescent="0.3"/>
    <row r="7096" customFormat="1" x14ac:dyDescent="0.3"/>
    <row r="7097" customFormat="1" x14ac:dyDescent="0.3"/>
    <row r="7098" customFormat="1" x14ac:dyDescent="0.3"/>
    <row r="7099" customFormat="1" x14ac:dyDescent="0.3"/>
    <row r="7100" customFormat="1" x14ac:dyDescent="0.3"/>
    <row r="7101" customFormat="1" x14ac:dyDescent="0.3"/>
    <row r="7102" customFormat="1" x14ac:dyDescent="0.3"/>
    <row r="7103" customFormat="1" x14ac:dyDescent="0.3"/>
    <row r="7104" customFormat="1" x14ac:dyDescent="0.3"/>
    <row r="7105" customFormat="1" x14ac:dyDescent="0.3"/>
    <row r="7106" customFormat="1" x14ac:dyDescent="0.3"/>
    <row r="7107" customFormat="1" x14ac:dyDescent="0.3"/>
    <row r="7108" customFormat="1" x14ac:dyDescent="0.3"/>
    <row r="7109" customFormat="1" x14ac:dyDescent="0.3"/>
    <row r="7110" customFormat="1" x14ac:dyDescent="0.3"/>
    <row r="7111" customFormat="1" x14ac:dyDescent="0.3"/>
    <row r="7112" customFormat="1" x14ac:dyDescent="0.3"/>
    <row r="7113" customFormat="1" x14ac:dyDescent="0.3"/>
    <row r="7114" customFormat="1" x14ac:dyDescent="0.3"/>
    <row r="7115" customFormat="1" x14ac:dyDescent="0.3"/>
    <row r="7116" customFormat="1" x14ac:dyDescent="0.3"/>
    <row r="7117" customFormat="1" x14ac:dyDescent="0.3"/>
    <row r="7118" customFormat="1" x14ac:dyDescent="0.3"/>
    <row r="7119" customFormat="1" x14ac:dyDescent="0.3"/>
    <row r="7120" customFormat="1" x14ac:dyDescent="0.3"/>
    <row r="7121" customFormat="1" x14ac:dyDescent="0.3"/>
    <row r="7122" customFormat="1" x14ac:dyDescent="0.3"/>
    <row r="7123" customFormat="1" x14ac:dyDescent="0.3"/>
    <row r="7124" customFormat="1" x14ac:dyDescent="0.3"/>
    <row r="7125" customFormat="1" x14ac:dyDescent="0.3"/>
    <row r="7126" customFormat="1" x14ac:dyDescent="0.3"/>
    <row r="7127" customFormat="1" x14ac:dyDescent="0.3"/>
    <row r="7128" customFormat="1" x14ac:dyDescent="0.3"/>
    <row r="7129" customFormat="1" x14ac:dyDescent="0.3"/>
    <row r="7130" customFormat="1" x14ac:dyDescent="0.3"/>
    <row r="7131" customFormat="1" x14ac:dyDescent="0.3"/>
    <row r="7132" customFormat="1" x14ac:dyDescent="0.3"/>
    <row r="7133" customFormat="1" x14ac:dyDescent="0.3"/>
    <row r="7134" customFormat="1" x14ac:dyDescent="0.3"/>
    <row r="7135" customFormat="1" x14ac:dyDescent="0.3"/>
    <row r="7136" customFormat="1" x14ac:dyDescent="0.3"/>
    <row r="7137" customFormat="1" x14ac:dyDescent="0.3"/>
    <row r="7138" customFormat="1" x14ac:dyDescent="0.3"/>
    <row r="7139" customFormat="1" x14ac:dyDescent="0.3"/>
    <row r="7140" customFormat="1" x14ac:dyDescent="0.3"/>
    <row r="7141" customFormat="1" x14ac:dyDescent="0.3"/>
    <row r="7142" customFormat="1" x14ac:dyDescent="0.3"/>
    <row r="7143" customFormat="1" x14ac:dyDescent="0.3"/>
    <row r="7144" customFormat="1" x14ac:dyDescent="0.3"/>
    <row r="7145" customFormat="1" x14ac:dyDescent="0.3"/>
    <row r="7146" customFormat="1" x14ac:dyDescent="0.3"/>
    <row r="7147" customFormat="1" x14ac:dyDescent="0.3"/>
    <row r="7148" customFormat="1" x14ac:dyDescent="0.3"/>
    <row r="7149" customFormat="1" x14ac:dyDescent="0.3"/>
    <row r="7150" customFormat="1" x14ac:dyDescent="0.3"/>
    <row r="7151" customFormat="1" x14ac:dyDescent="0.3"/>
    <row r="7152" customFormat="1" x14ac:dyDescent="0.3"/>
    <row r="7153" customFormat="1" x14ac:dyDescent="0.3"/>
    <row r="7154" customFormat="1" x14ac:dyDescent="0.3"/>
    <row r="7155" customFormat="1" x14ac:dyDescent="0.3"/>
    <row r="7156" customFormat="1" x14ac:dyDescent="0.3"/>
    <row r="7157" customFormat="1" x14ac:dyDescent="0.3"/>
    <row r="7158" customFormat="1" x14ac:dyDescent="0.3"/>
    <row r="7159" customFormat="1" x14ac:dyDescent="0.3"/>
    <row r="7160" customFormat="1" x14ac:dyDescent="0.3"/>
    <row r="7161" customFormat="1" x14ac:dyDescent="0.3"/>
    <row r="7162" customFormat="1" x14ac:dyDescent="0.3"/>
    <row r="7163" customFormat="1" x14ac:dyDescent="0.3"/>
    <row r="7164" customFormat="1" x14ac:dyDescent="0.3"/>
    <row r="7165" customFormat="1" x14ac:dyDescent="0.3"/>
    <row r="7166" customFormat="1" x14ac:dyDescent="0.3"/>
    <row r="7167" customFormat="1" x14ac:dyDescent="0.3"/>
    <row r="7168" customFormat="1" x14ac:dyDescent="0.3"/>
    <row r="7169" customFormat="1" x14ac:dyDescent="0.3"/>
    <row r="7170" customFormat="1" x14ac:dyDescent="0.3"/>
    <row r="7171" customFormat="1" x14ac:dyDescent="0.3"/>
    <row r="7172" customFormat="1" x14ac:dyDescent="0.3"/>
    <row r="7173" customFormat="1" x14ac:dyDescent="0.3"/>
    <row r="7174" customFormat="1" x14ac:dyDescent="0.3"/>
    <row r="7175" customFormat="1" x14ac:dyDescent="0.3"/>
    <row r="7176" customFormat="1" x14ac:dyDescent="0.3"/>
    <row r="7177" customFormat="1" x14ac:dyDescent="0.3"/>
    <row r="7178" customFormat="1" x14ac:dyDescent="0.3"/>
    <row r="7179" customFormat="1" x14ac:dyDescent="0.3"/>
    <row r="7180" customFormat="1" x14ac:dyDescent="0.3"/>
    <row r="7181" customFormat="1" x14ac:dyDescent="0.3"/>
    <row r="7182" customFormat="1" x14ac:dyDescent="0.3"/>
    <row r="7183" customFormat="1" x14ac:dyDescent="0.3"/>
    <row r="7184" customFormat="1" x14ac:dyDescent="0.3"/>
    <row r="7185" customFormat="1" x14ac:dyDescent="0.3"/>
    <row r="7186" customFormat="1" x14ac:dyDescent="0.3"/>
    <row r="7187" customFormat="1" x14ac:dyDescent="0.3"/>
    <row r="7188" customFormat="1" x14ac:dyDescent="0.3"/>
    <row r="7189" customFormat="1" x14ac:dyDescent="0.3"/>
    <row r="7190" customFormat="1" x14ac:dyDescent="0.3"/>
    <row r="7191" customFormat="1" x14ac:dyDescent="0.3"/>
    <row r="7192" customFormat="1" x14ac:dyDescent="0.3"/>
    <row r="7193" customFormat="1" x14ac:dyDescent="0.3"/>
    <row r="7194" customFormat="1" x14ac:dyDescent="0.3"/>
    <row r="7195" customFormat="1" x14ac:dyDescent="0.3"/>
    <row r="7196" customFormat="1" x14ac:dyDescent="0.3"/>
    <row r="7197" customFormat="1" x14ac:dyDescent="0.3"/>
    <row r="7198" customFormat="1" x14ac:dyDescent="0.3"/>
    <row r="7199" customFormat="1" x14ac:dyDescent="0.3"/>
    <row r="7200" customFormat="1" x14ac:dyDescent="0.3"/>
    <row r="7201" customFormat="1" x14ac:dyDescent="0.3"/>
    <row r="7202" customFormat="1" x14ac:dyDescent="0.3"/>
    <row r="7203" customFormat="1" x14ac:dyDescent="0.3"/>
    <row r="7204" customFormat="1" x14ac:dyDescent="0.3"/>
    <row r="7205" customFormat="1" x14ac:dyDescent="0.3"/>
    <row r="7206" customFormat="1" x14ac:dyDescent="0.3"/>
    <row r="7207" customFormat="1" x14ac:dyDescent="0.3"/>
    <row r="7208" customFormat="1" x14ac:dyDescent="0.3"/>
    <row r="7209" customFormat="1" x14ac:dyDescent="0.3"/>
    <row r="7210" customFormat="1" x14ac:dyDescent="0.3"/>
    <row r="7211" customFormat="1" x14ac:dyDescent="0.3"/>
    <row r="7212" customFormat="1" x14ac:dyDescent="0.3"/>
    <row r="7213" customFormat="1" x14ac:dyDescent="0.3"/>
    <row r="7214" customFormat="1" x14ac:dyDescent="0.3"/>
    <row r="7215" customFormat="1" x14ac:dyDescent="0.3"/>
    <row r="7216" customFormat="1" x14ac:dyDescent="0.3"/>
    <row r="7217" customFormat="1" x14ac:dyDescent="0.3"/>
    <row r="7218" customFormat="1" x14ac:dyDescent="0.3"/>
    <row r="7219" customFormat="1" x14ac:dyDescent="0.3"/>
    <row r="7220" customFormat="1" x14ac:dyDescent="0.3"/>
    <row r="7221" customFormat="1" x14ac:dyDescent="0.3"/>
    <row r="7222" customFormat="1" x14ac:dyDescent="0.3"/>
    <row r="7223" customFormat="1" x14ac:dyDescent="0.3"/>
    <row r="7224" customFormat="1" x14ac:dyDescent="0.3"/>
    <row r="7225" customFormat="1" x14ac:dyDescent="0.3"/>
    <row r="7226" customFormat="1" x14ac:dyDescent="0.3"/>
    <row r="7227" customFormat="1" x14ac:dyDescent="0.3"/>
    <row r="7228" customFormat="1" x14ac:dyDescent="0.3"/>
    <row r="7229" customFormat="1" x14ac:dyDescent="0.3"/>
    <row r="7230" customFormat="1" x14ac:dyDescent="0.3"/>
    <row r="7231" customFormat="1" x14ac:dyDescent="0.3"/>
    <row r="7232" customFormat="1" x14ac:dyDescent="0.3"/>
    <row r="7233" customFormat="1" x14ac:dyDescent="0.3"/>
    <row r="7234" customFormat="1" x14ac:dyDescent="0.3"/>
    <row r="7235" customFormat="1" x14ac:dyDescent="0.3"/>
    <row r="7236" customFormat="1" x14ac:dyDescent="0.3"/>
    <row r="7237" customFormat="1" x14ac:dyDescent="0.3"/>
    <row r="7238" customFormat="1" x14ac:dyDescent="0.3"/>
    <row r="7239" customFormat="1" x14ac:dyDescent="0.3"/>
    <row r="7240" customFormat="1" x14ac:dyDescent="0.3"/>
    <row r="7241" customFormat="1" x14ac:dyDescent="0.3"/>
    <row r="7242" customFormat="1" x14ac:dyDescent="0.3"/>
    <row r="7243" customFormat="1" x14ac:dyDescent="0.3"/>
    <row r="7244" customFormat="1" x14ac:dyDescent="0.3"/>
    <row r="7245" customFormat="1" x14ac:dyDescent="0.3"/>
    <row r="7246" customFormat="1" x14ac:dyDescent="0.3"/>
    <row r="7247" customFormat="1" x14ac:dyDescent="0.3"/>
    <row r="7248" customFormat="1" x14ac:dyDescent="0.3"/>
    <row r="7249" customFormat="1" x14ac:dyDescent="0.3"/>
    <row r="7250" customFormat="1" x14ac:dyDescent="0.3"/>
    <row r="7251" customFormat="1" x14ac:dyDescent="0.3"/>
    <row r="7252" customFormat="1" x14ac:dyDescent="0.3"/>
    <row r="7253" customFormat="1" x14ac:dyDescent="0.3"/>
    <row r="7254" customFormat="1" x14ac:dyDescent="0.3"/>
    <row r="7255" customFormat="1" x14ac:dyDescent="0.3"/>
    <row r="7256" customFormat="1" x14ac:dyDescent="0.3"/>
    <row r="7257" customFormat="1" x14ac:dyDescent="0.3"/>
    <row r="7258" customFormat="1" x14ac:dyDescent="0.3"/>
    <row r="7259" customFormat="1" x14ac:dyDescent="0.3"/>
    <row r="7260" customFormat="1" x14ac:dyDescent="0.3"/>
    <row r="7261" customFormat="1" x14ac:dyDescent="0.3"/>
    <row r="7262" customFormat="1" x14ac:dyDescent="0.3"/>
    <row r="7263" customFormat="1" x14ac:dyDescent="0.3"/>
    <row r="7264" customFormat="1" x14ac:dyDescent="0.3"/>
    <row r="7265" customFormat="1" x14ac:dyDescent="0.3"/>
    <row r="7266" customFormat="1" x14ac:dyDescent="0.3"/>
    <row r="7267" customFormat="1" x14ac:dyDescent="0.3"/>
    <row r="7268" customFormat="1" x14ac:dyDescent="0.3"/>
    <row r="7269" customFormat="1" x14ac:dyDescent="0.3"/>
    <row r="7270" customFormat="1" x14ac:dyDescent="0.3"/>
    <row r="7271" customFormat="1" x14ac:dyDescent="0.3"/>
    <row r="7272" customFormat="1" x14ac:dyDescent="0.3"/>
    <row r="7273" customFormat="1" x14ac:dyDescent="0.3"/>
    <row r="7274" customFormat="1" x14ac:dyDescent="0.3"/>
    <row r="7275" customFormat="1" x14ac:dyDescent="0.3"/>
    <row r="7276" customFormat="1" x14ac:dyDescent="0.3"/>
    <row r="7277" customFormat="1" x14ac:dyDescent="0.3"/>
    <row r="7278" customFormat="1" x14ac:dyDescent="0.3"/>
    <row r="7279" customFormat="1" x14ac:dyDescent="0.3"/>
    <row r="7280" customFormat="1" x14ac:dyDescent="0.3"/>
    <row r="7281" customFormat="1" x14ac:dyDescent="0.3"/>
    <row r="7282" customFormat="1" x14ac:dyDescent="0.3"/>
    <row r="7283" customFormat="1" x14ac:dyDescent="0.3"/>
    <row r="7284" customFormat="1" x14ac:dyDescent="0.3"/>
    <row r="7285" customFormat="1" x14ac:dyDescent="0.3"/>
    <row r="7286" customFormat="1" x14ac:dyDescent="0.3"/>
    <row r="7287" customFormat="1" x14ac:dyDescent="0.3"/>
    <row r="7288" customFormat="1" x14ac:dyDescent="0.3"/>
    <row r="7289" customFormat="1" x14ac:dyDescent="0.3"/>
    <row r="7290" customFormat="1" x14ac:dyDescent="0.3"/>
    <row r="7291" customFormat="1" x14ac:dyDescent="0.3"/>
    <row r="7292" customFormat="1" x14ac:dyDescent="0.3"/>
    <row r="7293" customFormat="1" x14ac:dyDescent="0.3"/>
    <row r="7294" customFormat="1" x14ac:dyDescent="0.3"/>
    <row r="7295" customFormat="1" x14ac:dyDescent="0.3"/>
    <row r="7296" customFormat="1" x14ac:dyDescent="0.3"/>
    <row r="7297" customFormat="1" x14ac:dyDescent="0.3"/>
    <row r="7298" customFormat="1" x14ac:dyDescent="0.3"/>
    <row r="7299" customFormat="1" x14ac:dyDescent="0.3"/>
    <row r="7300" customFormat="1" x14ac:dyDescent="0.3"/>
    <row r="7301" customFormat="1" x14ac:dyDescent="0.3"/>
    <row r="7302" customFormat="1" x14ac:dyDescent="0.3"/>
    <row r="7303" customFormat="1" x14ac:dyDescent="0.3"/>
    <row r="7304" customFormat="1" x14ac:dyDescent="0.3"/>
    <row r="7305" customFormat="1" x14ac:dyDescent="0.3"/>
    <row r="7306" customFormat="1" x14ac:dyDescent="0.3"/>
    <row r="7307" customFormat="1" x14ac:dyDescent="0.3"/>
    <row r="7308" customFormat="1" x14ac:dyDescent="0.3"/>
    <row r="7309" customFormat="1" x14ac:dyDescent="0.3"/>
    <row r="7310" customFormat="1" x14ac:dyDescent="0.3"/>
    <row r="7311" customFormat="1" x14ac:dyDescent="0.3"/>
    <row r="7312" customFormat="1" x14ac:dyDescent="0.3"/>
    <row r="7313" customFormat="1" x14ac:dyDescent="0.3"/>
    <row r="7314" customFormat="1" x14ac:dyDescent="0.3"/>
    <row r="7315" customFormat="1" x14ac:dyDescent="0.3"/>
    <row r="7316" customFormat="1" x14ac:dyDescent="0.3"/>
    <row r="7317" customFormat="1" x14ac:dyDescent="0.3"/>
    <row r="7318" customFormat="1" x14ac:dyDescent="0.3"/>
    <row r="7319" customFormat="1" x14ac:dyDescent="0.3"/>
    <row r="7320" customFormat="1" x14ac:dyDescent="0.3"/>
    <row r="7321" customFormat="1" x14ac:dyDescent="0.3"/>
    <row r="7322" customFormat="1" x14ac:dyDescent="0.3"/>
    <row r="7323" customFormat="1" x14ac:dyDescent="0.3"/>
    <row r="7324" customFormat="1" x14ac:dyDescent="0.3"/>
    <row r="7325" customFormat="1" x14ac:dyDescent="0.3"/>
    <row r="7326" customFormat="1" x14ac:dyDescent="0.3"/>
    <row r="7327" customFormat="1" x14ac:dyDescent="0.3"/>
    <row r="7328" customFormat="1" x14ac:dyDescent="0.3"/>
    <row r="7329" customFormat="1" x14ac:dyDescent="0.3"/>
    <row r="7330" customFormat="1" x14ac:dyDescent="0.3"/>
    <row r="7331" customFormat="1" x14ac:dyDescent="0.3"/>
    <row r="7332" customFormat="1" x14ac:dyDescent="0.3"/>
    <row r="7333" customFormat="1" x14ac:dyDescent="0.3"/>
    <row r="7334" customFormat="1" x14ac:dyDescent="0.3"/>
    <row r="7335" customFormat="1" x14ac:dyDescent="0.3"/>
    <row r="7336" customFormat="1" x14ac:dyDescent="0.3"/>
    <row r="7337" customFormat="1" x14ac:dyDescent="0.3"/>
    <row r="7338" customFormat="1" x14ac:dyDescent="0.3"/>
    <row r="7339" customFormat="1" x14ac:dyDescent="0.3"/>
    <row r="7340" customFormat="1" x14ac:dyDescent="0.3"/>
    <row r="7341" customFormat="1" x14ac:dyDescent="0.3"/>
    <row r="7342" customFormat="1" x14ac:dyDescent="0.3"/>
    <row r="7343" customFormat="1" x14ac:dyDescent="0.3"/>
    <row r="7344" customFormat="1" x14ac:dyDescent="0.3"/>
    <row r="7345" customFormat="1" x14ac:dyDescent="0.3"/>
    <row r="7346" customFormat="1" x14ac:dyDescent="0.3"/>
    <row r="7347" customFormat="1" x14ac:dyDescent="0.3"/>
    <row r="7348" customFormat="1" x14ac:dyDescent="0.3"/>
    <row r="7349" customFormat="1" x14ac:dyDescent="0.3"/>
    <row r="7350" customFormat="1" x14ac:dyDescent="0.3"/>
    <row r="7351" customFormat="1" x14ac:dyDescent="0.3"/>
    <row r="7352" customFormat="1" x14ac:dyDescent="0.3"/>
    <row r="7353" customFormat="1" x14ac:dyDescent="0.3"/>
    <row r="7354" customFormat="1" x14ac:dyDescent="0.3"/>
    <row r="7355" customFormat="1" x14ac:dyDescent="0.3"/>
    <row r="7356" customFormat="1" x14ac:dyDescent="0.3"/>
    <row r="7357" customFormat="1" x14ac:dyDescent="0.3"/>
    <row r="7358" customFormat="1" x14ac:dyDescent="0.3"/>
    <row r="7359" customFormat="1" x14ac:dyDescent="0.3"/>
    <row r="7360" customFormat="1" x14ac:dyDescent="0.3"/>
    <row r="7361" customFormat="1" x14ac:dyDescent="0.3"/>
    <row r="7362" customFormat="1" x14ac:dyDescent="0.3"/>
    <row r="7363" customFormat="1" x14ac:dyDescent="0.3"/>
    <row r="7364" customFormat="1" x14ac:dyDescent="0.3"/>
    <row r="7365" customFormat="1" x14ac:dyDescent="0.3"/>
    <row r="7366" customFormat="1" x14ac:dyDescent="0.3"/>
    <row r="7367" customFormat="1" x14ac:dyDescent="0.3"/>
    <row r="7368" customFormat="1" x14ac:dyDescent="0.3"/>
    <row r="7369" customFormat="1" x14ac:dyDescent="0.3"/>
    <row r="7370" customFormat="1" x14ac:dyDescent="0.3"/>
    <row r="7371" customFormat="1" x14ac:dyDescent="0.3"/>
    <row r="7372" customFormat="1" x14ac:dyDescent="0.3"/>
    <row r="7373" customFormat="1" x14ac:dyDescent="0.3"/>
    <row r="7374" customFormat="1" x14ac:dyDescent="0.3"/>
    <row r="7375" customFormat="1" x14ac:dyDescent="0.3"/>
    <row r="7376" customFormat="1" x14ac:dyDescent="0.3"/>
    <row r="7377" customFormat="1" x14ac:dyDescent="0.3"/>
    <row r="7378" customFormat="1" x14ac:dyDescent="0.3"/>
    <row r="7379" customFormat="1" x14ac:dyDescent="0.3"/>
    <row r="7380" customFormat="1" x14ac:dyDescent="0.3"/>
    <row r="7381" customFormat="1" x14ac:dyDescent="0.3"/>
    <row r="7382" customFormat="1" x14ac:dyDescent="0.3"/>
    <row r="7383" customFormat="1" x14ac:dyDescent="0.3"/>
    <row r="7384" customFormat="1" x14ac:dyDescent="0.3"/>
    <row r="7385" customFormat="1" x14ac:dyDescent="0.3"/>
    <row r="7386" customFormat="1" x14ac:dyDescent="0.3"/>
    <row r="7387" customFormat="1" x14ac:dyDescent="0.3"/>
    <row r="7388" customFormat="1" x14ac:dyDescent="0.3"/>
    <row r="7389" customFormat="1" x14ac:dyDescent="0.3"/>
    <row r="7390" customFormat="1" x14ac:dyDescent="0.3"/>
    <row r="7391" customFormat="1" x14ac:dyDescent="0.3"/>
    <row r="7392" customFormat="1" x14ac:dyDescent="0.3"/>
    <row r="7393" customFormat="1" x14ac:dyDescent="0.3"/>
    <row r="7394" customFormat="1" x14ac:dyDescent="0.3"/>
    <row r="7395" customFormat="1" x14ac:dyDescent="0.3"/>
    <row r="7396" customFormat="1" x14ac:dyDescent="0.3"/>
    <row r="7397" customFormat="1" x14ac:dyDescent="0.3"/>
    <row r="7398" customFormat="1" x14ac:dyDescent="0.3"/>
    <row r="7399" customFormat="1" x14ac:dyDescent="0.3"/>
    <row r="7400" customFormat="1" x14ac:dyDescent="0.3"/>
    <row r="7401" customFormat="1" x14ac:dyDescent="0.3"/>
    <row r="7402" customFormat="1" x14ac:dyDescent="0.3"/>
    <row r="7403" customFormat="1" x14ac:dyDescent="0.3"/>
    <row r="7404" customFormat="1" x14ac:dyDescent="0.3"/>
    <row r="7405" customFormat="1" x14ac:dyDescent="0.3"/>
    <row r="7406" customFormat="1" x14ac:dyDescent="0.3"/>
    <row r="7407" customFormat="1" x14ac:dyDescent="0.3"/>
    <row r="7408" customFormat="1" x14ac:dyDescent="0.3"/>
    <row r="7409" customFormat="1" x14ac:dyDescent="0.3"/>
    <row r="7410" customFormat="1" x14ac:dyDescent="0.3"/>
    <row r="7411" customFormat="1" x14ac:dyDescent="0.3"/>
    <row r="7412" customFormat="1" x14ac:dyDescent="0.3"/>
    <row r="7413" customFormat="1" x14ac:dyDescent="0.3"/>
    <row r="7414" customFormat="1" x14ac:dyDescent="0.3"/>
    <row r="7415" customFormat="1" x14ac:dyDescent="0.3"/>
    <row r="7416" customFormat="1" x14ac:dyDescent="0.3"/>
    <row r="7417" customFormat="1" x14ac:dyDescent="0.3"/>
    <row r="7418" customFormat="1" x14ac:dyDescent="0.3"/>
    <row r="7419" customFormat="1" x14ac:dyDescent="0.3"/>
    <row r="7420" customFormat="1" x14ac:dyDescent="0.3"/>
    <row r="7421" customFormat="1" x14ac:dyDescent="0.3"/>
    <row r="7422" customFormat="1" x14ac:dyDescent="0.3"/>
    <row r="7423" customFormat="1" x14ac:dyDescent="0.3"/>
    <row r="7424" customFormat="1" x14ac:dyDescent="0.3"/>
    <row r="7425" customFormat="1" x14ac:dyDescent="0.3"/>
    <row r="7426" customFormat="1" x14ac:dyDescent="0.3"/>
    <row r="7427" customFormat="1" x14ac:dyDescent="0.3"/>
    <row r="7428" customFormat="1" x14ac:dyDescent="0.3"/>
    <row r="7429" customFormat="1" x14ac:dyDescent="0.3"/>
    <row r="7430" customFormat="1" x14ac:dyDescent="0.3"/>
    <row r="7431" customFormat="1" x14ac:dyDescent="0.3"/>
    <row r="7432" customFormat="1" x14ac:dyDescent="0.3"/>
    <row r="7433" customFormat="1" x14ac:dyDescent="0.3"/>
    <row r="7434" customFormat="1" x14ac:dyDescent="0.3"/>
    <row r="7435" customFormat="1" x14ac:dyDescent="0.3"/>
    <row r="7436" customFormat="1" x14ac:dyDescent="0.3"/>
    <row r="7437" customFormat="1" x14ac:dyDescent="0.3"/>
    <row r="7438" customFormat="1" x14ac:dyDescent="0.3"/>
    <row r="7439" customFormat="1" x14ac:dyDescent="0.3"/>
    <row r="7440" customFormat="1" x14ac:dyDescent="0.3"/>
    <row r="7441" customFormat="1" x14ac:dyDescent="0.3"/>
    <row r="7442" customFormat="1" x14ac:dyDescent="0.3"/>
    <row r="7443" customFormat="1" x14ac:dyDescent="0.3"/>
    <row r="7444" customFormat="1" x14ac:dyDescent="0.3"/>
    <row r="7445" customFormat="1" x14ac:dyDescent="0.3"/>
    <row r="7446" customFormat="1" x14ac:dyDescent="0.3"/>
    <row r="7447" customFormat="1" x14ac:dyDescent="0.3"/>
    <row r="7448" customFormat="1" x14ac:dyDescent="0.3"/>
    <row r="7449" customFormat="1" x14ac:dyDescent="0.3"/>
    <row r="7450" customFormat="1" x14ac:dyDescent="0.3"/>
    <row r="7451" customFormat="1" x14ac:dyDescent="0.3"/>
    <row r="7452" customFormat="1" x14ac:dyDescent="0.3"/>
    <row r="7453" customFormat="1" x14ac:dyDescent="0.3"/>
    <row r="7454" customFormat="1" x14ac:dyDescent="0.3"/>
    <row r="7455" customFormat="1" x14ac:dyDescent="0.3"/>
    <row r="7456" customFormat="1" x14ac:dyDescent="0.3"/>
    <row r="7457" customFormat="1" x14ac:dyDescent="0.3"/>
    <row r="7458" customFormat="1" x14ac:dyDescent="0.3"/>
    <row r="7459" customFormat="1" x14ac:dyDescent="0.3"/>
    <row r="7460" customFormat="1" x14ac:dyDescent="0.3"/>
    <row r="7461" customFormat="1" x14ac:dyDescent="0.3"/>
    <row r="7462" customFormat="1" x14ac:dyDescent="0.3"/>
    <row r="7463" customFormat="1" x14ac:dyDescent="0.3"/>
    <row r="7464" customFormat="1" x14ac:dyDescent="0.3"/>
    <row r="7465" customFormat="1" x14ac:dyDescent="0.3"/>
    <row r="7466" customFormat="1" x14ac:dyDescent="0.3"/>
    <row r="7467" customFormat="1" x14ac:dyDescent="0.3"/>
    <row r="7468" customFormat="1" x14ac:dyDescent="0.3"/>
    <row r="7469" customFormat="1" x14ac:dyDescent="0.3"/>
    <row r="7470" customFormat="1" x14ac:dyDescent="0.3"/>
    <row r="7471" customFormat="1" x14ac:dyDescent="0.3"/>
    <row r="7472" customFormat="1" x14ac:dyDescent="0.3"/>
    <row r="7473" customFormat="1" x14ac:dyDescent="0.3"/>
    <row r="7474" customFormat="1" x14ac:dyDescent="0.3"/>
    <row r="7475" customFormat="1" x14ac:dyDescent="0.3"/>
    <row r="7476" customFormat="1" x14ac:dyDescent="0.3"/>
    <row r="7477" customFormat="1" x14ac:dyDescent="0.3"/>
    <row r="7478" customFormat="1" x14ac:dyDescent="0.3"/>
    <row r="7479" customFormat="1" x14ac:dyDescent="0.3"/>
    <row r="7480" customFormat="1" x14ac:dyDescent="0.3"/>
    <row r="7481" customFormat="1" x14ac:dyDescent="0.3"/>
    <row r="7482" customFormat="1" x14ac:dyDescent="0.3"/>
    <row r="7483" customFormat="1" x14ac:dyDescent="0.3"/>
    <row r="7484" customFormat="1" x14ac:dyDescent="0.3"/>
    <row r="7485" customFormat="1" x14ac:dyDescent="0.3"/>
    <row r="7486" customFormat="1" x14ac:dyDescent="0.3"/>
    <row r="7487" customFormat="1" x14ac:dyDescent="0.3"/>
    <row r="7488" customFormat="1" x14ac:dyDescent="0.3"/>
    <row r="7489" customFormat="1" x14ac:dyDescent="0.3"/>
    <row r="7490" customFormat="1" x14ac:dyDescent="0.3"/>
    <row r="7491" customFormat="1" x14ac:dyDescent="0.3"/>
    <row r="7492" customFormat="1" x14ac:dyDescent="0.3"/>
    <row r="7493" customFormat="1" x14ac:dyDescent="0.3"/>
    <row r="7494" customFormat="1" x14ac:dyDescent="0.3"/>
    <row r="7495" customFormat="1" x14ac:dyDescent="0.3"/>
    <row r="7496" customFormat="1" x14ac:dyDescent="0.3"/>
    <row r="7497" customFormat="1" x14ac:dyDescent="0.3"/>
    <row r="7498" customFormat="1" x14ac:dyDescent="0.3"/>
    <row r="7499" customFormat="1" x14ac:dyDescent="0.3"/>
    <row r="7500" customFormat="1" x14ac:dyDescent="0.3"/>
    <row r="7501" customFormat="1" x14ac:dyDescent="0.3"/>
    <row r="7502" customFormat="1" x14ac:dyDescent="0.3"/>
    <row r="7503" customFormat="1" x14ac:dyDescent="0.3"/>
    <row r="7504" customFormat="1" x14ac:dyDescent="0.3"/>
    <row r="7505" customFormat="1" x14ac:dyDescent="0.3"/>
    <row r="7506" customFormat="1" x14ac:dyDescent="0.3"/>
    <row r="7507" customFormat="1" x14ac:dyDescent="0.3"/>
    <row r="7508" customFormat="1" x14ac:dyDescent="0.3"/>
    <row r="7509" customFormat="1" x14ac:dyDescent="0.3"/>
    <row r="7510" customFormat="1" x14ac:dyDescent="0.3"/>
    <row r="7511" customFormat="1" x14ac:dyDescent="0.3"/>
    <row r="7512" customFormat="1" x14ac:dyDescent="0.3"/>
    <row r="7513" customFormat="1" x14ac:dyDescent="0.3"/>
    <row r="7514" customFormat="1" x14ac:dyDescent="0.3"/>
    <row r="7515" customFormat="1" x14ac:dyDescent="0.3"/>
    <row r="7516" customFormat="1" x14ac:dyDescent="0.3"/>
    <row r="7517" customFormat="1" x14ac:dyDescent="0.3"/>
    <row r="7518" customFormat="1" x14ac:dyDescent="0.3"/>
    <row r="7519" customFormat="1" x14ac:dyDescent="0.3"/>
    <row r="7520" customFormat="1" x14ac:dyDescent="0.3"/>
    <row r="7521" customFormat="1" x14ac:dyDescent="0.3"/>
    <row r="7522" customFormat="1" x14ac:dyDescent="0.3"/>
    <row r="7523" customFormat="1" x14ac:dyDescent="0.3"/>
    <row r="7524" customFormat="1" x14ac:dyDescent="0.3"/>
    <row r="7525" customFormat="1" x14ac:dyDescent="0.3"/>
    <row r="7526" customFormat="1" x14ac:dyDescent="0.3"/>
    <row r="7527" customFormat="1" x14ac:dyDescent="0.3"/>
    <row r="7528" customFormat="1" x14ac:dyDescent="0.3"/>
    <row r="7529" customFormat="1" x14ac:dyDescent="0.3"/>
    <row r="7530" customFormat="1" x14ac:dyDescent="0.3"/>
    <row r="7531" customFormat="1" x14ac:dyDescent="0.3"/>
    <row r="7532" customFormat="1" x14ac:dyDescent="0.3"/>
    <row r="7533" customFormat="1" x14ac:dyDescent="0.3"/>
    <row r="7534" customFormat="1" x14ac:dyDescent="0.3"/>
    <row r="7535" customFormat="1" x14ac:dyDescent="0.3"/>
    <row r="7536" customFormat="1" x14ac:dyDescent="0.3"/>
    <row r="7537" customFormat="1" x14ac:dyDescent="0.3"/>
    <row r="7538" customFormat="1" x14ac:dyDescent="0.3"/>
    <row r="7539" customFormat="1" x14ac:dyDescent="0.3"/>
    <row r="7540" customFormat="1" x14ac:dyDescent="0.3"/>
    <row r="7541" customFormat="1" x14ac:dyDescent="0.3"/>
    <row r="7542" customFormat="1" x14ac:dyDescent="0.3"/>
    <row r="7543" customFormat="1" x14ac:dyDescent="0.3"/>
    <row r="7544" customFormat="1" x14ac:dyDescent="0.3"/>
    <row r="7545" customFormat="1" x14ac:dyDescent="0.3"/>
    <row r="7546" customFormat="1" x14ac:dyDescent="0.3"/>
    <row r="7547" customFormat="1" x14ac:dyDescent="0.3"/>
    <row r="7548" customFormat="1" x14ac:dyDescent="0.3"/>
    <row r="7549" customFormat="1" x14ac:dyDescent="0.3"/>
    <row r="7550" customFormat="1" x14ac:dyDescent="0.3"/>
    <row r="7551" customFormat="1" x14ac:dyDescent="0.3"/>
    <row r="7552" customFormat="1" x14ac:dyDescent="0.3"/>
    <row r="7553" customFormat="1" x14ac:dyDescent="0.3"/>
    <row r="7554" customFormat="1" x14ac:dyDescent="0.3"/>
    <row r="7555" customFormat="1" x14ac:dyDescent="0.3"/>
    <row r="7556" customFormat="1" x14ac:dyDescent="0.3"/>
    <row r="7557" customFormat="1" x14ac:dyDescent="0.3"/>
    <row r="7558" customFormat="1" x14ac:dyDescent="0.3"/>
    <row r="7559" customFormat="1" x14ac:dyDescent="0.3"/>
    <row r="7560" customFormat="1" x14ac:dyDescent="0.3"/>
    <row r="7561" customFormat="1" x14ac:dyDescent="0.3"/>
    <row r="7562" customFormat="1" x14ac:dyDescent="0.3"/>
    <row r="7563" customFormat="1" x14ac:dyDescent="0.3"/>
    <row r="7564" customFormat="1" x14ac:dyDescent="0.3"/>
    <row r="7565" customFormat="1" x14ac:dyDescent="0.3"/>
    <row r="7566" customFormat="1" x14ac:dyDescent="0.3"/>
    <row r="7567" customFormat="1" x14ac:dyDescent="0.3"/>
    <row r="7568" customFormat="1" x14ac:dyDescent="0.3"/>
    <row r="7569" customFormat="1" x14ac:dyDescent="0.3"/>
    <row r="7570" customFormat="1" x14ac:dyDescent="0.3"/>
    <row r="7571" customFormat="1" x14ac:dyDescent="0.3"/>
    <row r="7572" customFormat="1" x14ac:dyDescent="0.3"/>
    <row r="7573" customFormat="1" x14ac:dyDescent="0.3"/>
    <row r="7574" customFormat="1" x14ac:dyDescent="0.3"/>
    <row r="7575" customFormat="1" x14ac:dyDescent="0.3"/>
    <row r="7576" customFormat="1" x14ac:dyDescent="0.3"/>
    <row r="7577" customFormat="1" x14ac:dyDescent="0.3"/>
    <row r="7578" customFormat="1" x14ac:dyDescent="0.3"/>
    <row r="7579" customFormat="1" x14ac:dyDescent="0.3"/>
    <row r="7580" customFormat="1" x14ac:dyDescent="0.3"/>
    <row r="7581" customFormat="1" x14ac:dyDescent="0.3"/>
    <row r="7582" customFormat="1" x14ac:dyDescent="0.3"/>
    <row r="7583" customFormat="1" x14ac:dyDescent="0.3"/>
    <row r="7584" customFormat="1" x14ac:dyDescent="0.3"/>
    <row r="7585" customFormat="1" x14ac:dyDescent="0.3"/>
    <row r="7586" customFormat="1" x14ac:dyDescent="0.3"/>
    <row r="7587" customFormat="1" x14ac:dyDescent="0.3"/>
    <row r="7588" customFormat="1" x14ac:dyDescent="0.3"/>
    <row r="7589" customFormat="1" x14ac:dyDescent="0.3"/>
    <row r="7590" customFormat="1" x14ac:dyDescent="0.3"/>
    <row r="7591" customFormat="1" x14ac:dyDescent="0.3"/>
    <row r="7592" customFormat="1" x14ac:dyDescent="0.3"/>
    <row r="7593" customFormat="1" x14ac:dyDescent="0.3"/>
    <row r="7594" customFormat="1" x14ac:dyDescent="0.3"/>
    <row r="7595" customFormat="1" x14ac:dyDescent="0.3"/>
    <row r="7596" customFormat="1" x14ac:dyDescent="0.3"/>
    <row r="7597" customFormat="1" x14ac:dyDescent="0.3"/>
    <row r="7598" customFormat="1" x14ac:dyDescent="0.3"/>
    <row r="7599" customFormat="1" x14ac:dyDescent="0.3"/>
    <row r="7600" customFormat="1" x14ac:dyDescent="0.3"/>
    <row r="7601" customFormat="1" x14ac:dyDescent="0.3"/>
    <row r="7602" customFormat="1" x14ac:dyDescent="0.3"/>
    <row r="7603" customFormat="1" x14ac:dyDescent="0.3"/>
    <row r="7604" customFormat="1" x14ac:dyDescent="0.3"/>
    <row r="7605" customFormat="1" x14ac:dyDescent="0.3"/>
    <row r="7606" customFormat="1" x14ac:dyDescent="0.3"/>
    <row r="7607" customFormat="1" x14ac:dyDescent="0.3"/>
    <row r="7608" customFormat="1" x14ac:dyDescent="0.3"/>
    <row r="7609" customFormat="1" x14ac:dyDescent="0.3"/>
    <row r="7610" customFormat="1" x14ac:dyDescent="0.3"/>
    <row r="7611" customFormat="1" x14ac:dyDescent="0.3"/>
    <row r="7612" customFormat="1" x14ac:dyDescent="0.3"/>
    <row r="7613" customFormat="1" x14ac:dyDescent="0.3"/>
    <row r="7614" customFormat="1" x14ac:dyDescent="0.3"/>
    <row r="7615" customFormat="1" x14ac:dyDescent="0.3"/>
    <row r="7616" customFormat="1" x14ac:dyDescent="0.3"/>
    <row r="7617" customFormat="1" x14ac:dyDescent="0.3"/>
    <row r="7618" customFormat="1" x14ac:dyDescent="0.3"/>
    <row r="7619" customFormat="1" x14ac:dyDescent="0.3"/>
    <row r="7620" customFormat="1" x14ac:dyDescent="0.3"/>
    <row r="7621" customFormat="1" x14ac:dyDescent="0.3"/>
    <row r="7622" customFormat="1" x14ac:dyDescent="0.3"/>
    <row r="7623" customFormat="1" x14ac:dyDescent="0.3"/>
    <row r="7624" customFormat="1" x14ac:dyDescent="0.3"/>
    <row r="7625" customFormat="1" x14ac:dyDescent="0.3"/>
    <row r="7626" customFormat="1" x14ac:dyDescent="0.3"/>
    <row r="7627" customFormat="1" x14ac:dyDescent="0.3"/>
    <row r="7628" customFormat="1" x14ac:dyDescent="0.3"/>
    <row r="7629" customFormat="1" x14ac:dyDescent="0.3"/>
    <row r="7630" customFormat="1" x14ac:dyDescent="0.3"/>
    <row r="7631" customFormat="1" x14ac:dyDescent="0.3"/>
    <row r="7632" customFormat="1" x14ac:dyDescent="0.3"/>
    <row r="7633" customFormat="1" x14ac:dyDescent="0.3"/>
    <row r="7634" customFormat="1" x14ac:dyDescent="0.3"/>
    <row r="7635" customFormat="1" x14ac:dyDescent="0.3"/>
    <row r="7636" customFormat="1" x14ac:dyDescent="0.3"/>
    <row r="7637" customFormat="1" x14ac:dyDescent="0.3"/>
    <row r="7638" customFormat="1" x14ac:dyDescent="0.3"/>
    <row r="7639" customFormat="1" x14ac:dyDescent="0.3"/>
    <row r="7640" customFormat="1" x14ac:dyDescent="0.3"/>
    <row r="7641" customFormat="1" x14ac:dyDescent="0.3"/>
    <row r="7642" customFormat="1" x14ac:dyDescent="0.3"/>
    <row r="7643" customFormat="1" x14ac:dyDescent="0.3"/>
    <row r="7644" customFormat="1" x14ac:dyDescent="0.3"/>
    <row r="7645" customFormat="1" x14ac:dyDescent="0.3"/>
    <row r="7646" customFormat="1" x14ac:dyDescent="0.3"/>
    <row r="7647" customFormat="1" x14ac:dyDescent="0.3"/>
    <row r="7648" customFormat="1" x14ac:dyDescent="0.3"/>
    <row r="7649" customFormat="1" x14ac:dyDescent="0.3"/>
    <row r="7650" customFormat="1" x14ac:dyDescent="0.3"/>
    <row r="7651" customFormat="1" x14ac:dyDescent="0.3"/>
    <row r="7652" customFormat="1" x14ac:dyDescent="0.3"/>
    <row r="7653" customFormat="1" x14ac:dyDescent="0.3"/>
    <row r="7654" customFormat="1" x14ac:dyDescent="0.3"/>
    <row r="7655" customFormat="1" x14ac:dyDescent="0.3"/>
    <row r="7656" customFormat="1" x14ac:dyDescent="0.3"/>
    <row r="7657" customFormat="1" x14ac:dyDescent="0.3"/>
    <row r="7658" customFormat="1" x14ac:dyDescent="0.3"/>
    <row r="7659" customFormat="1" x14ac:dyDescent="0.3"/>
    <row r="7660" customFormat="1" x14ac:dyDescent="0.3"/>
    <row r="7661" customFormat="1" x14ac:dyDescent="0.3"/>
    <row r="7662" customFormat="1" x14ac:dyDescent="0.3"/>
    <row r="7663" customFormat="1" x14ac:dyDescent="0.3"/>
    <row r="7664" customFormat="1" x14ac:dyDescent="0.3"/>
    <row r="7665" customFormat="1" x14ac:dyDescent="0.3"/>
    <row r="7666" customFormat="1" x14ac:dyDescent="0.3"/>
    <row r="7667" customFormat="1" x14ac:dyDescent="0.3"/>
    <row r="7668" customFormat="1" x14ac:dyDescent="0.3"/>
    <row r="7669" customFormat="1" x14ac:dyDescent="0.3"/>
    <row r="7670" customFormat="1" x14ac:dyDescent="0.3"/>
    <row r="7671" customFormat="1" x14ac:dyDescent="0.3"/>
    <row r="7672" customFormat="1" x14ac:dyDescent="0.3"/>
    <row r="7673" customFormat="1" x14ac:dyDescent="0.3"/>
    <row r="7674" customFormat="1" x14ac:dyDescent="0.3"/>
    <row r="7675" customFormat="1" x14ac:dyDescent="0.3"/>
    <row r="7676" customFormat="1" x14ac:dyDescent="0.3"/>
    <row r="7677" customFormat="1" x14ac:dyDescent="0.3"/>
    <row r="7678" customFormat="1" x14ac:dyDescent="0.3"/>
    <row r="7679" customFormat="1" x14ac:dyDescent="0.3"/>
    <row r="7680" customFormat="1" x14ac:dyDescent="0.3"/>
    <row r="7681" customFormat="1" x14ac:dyDescent="0.3"/>
    <row r="7682" customFormat="1" x14ac:dyDescent="0.3"/>
    <row r="7683" customFormat="1" x14ac:dyDescent="0.3"/>
    <row r="7684" customFormat="1" x14ac:dyDescent="0.3"/>
    <row r="7685" customFormat="1" x14ac:dyDescent="0.3"/>
    <row r="7686" customFormat="1" x14ac:dyDescent="0.3"/>
    <row r="7687" customFormat="1" x14ac:dyDescent="0.3"/>
    <row r="7688" customFormat="1" x14ac:dyDescent="0.3"/>
    <row r="7689" customFormat="1" x14ac:dyDescent="0.3"/>
    <row r="7690" customFormat="1" x14ac:dyDescent="0.3"/>
    <row r="7691" customFormat="1" x14ac:dyDescent="0.3"/>
    <row r="7692" customFormat="1" x14ac:dyDescent="0.3"/>
    <row r="7693" customFormat="1" x14ac:dyDescent="0.3"/>
    <row r="7694" customFormat="1" x14ac:dyDescent="0.3"/>
    <row r="7695" customFormat="1" x14ac:dyDescent="0.3"/>
    <row r="7696" customFormat="1" x14ac:dyDescent="0.3"/>
    <row r="7697" customFormat="1" x14ac:dyDescent="0.3"/>
    <row r="7698" customFormat="1" x14ac:dyDescent="0.3"/>
    <row r="7699" customFormat="1" x14ac:dyDescent="0.3"/>
    <row r="7700" customFormat="1" x14ac:dyDescent="0.3"/>
    <row r="7701" customFormat="1" x14ac:dyDescent="0.3"/>
    <row r="7702" customFormat="1" x14ac:dyDescent="0.3"/>
    <row r="7703" customFormat="1" x14ac:dyDescent="0.3"/>
    <row r="7704" customFormat="1" x14ac:dyDescent="0.3"/>
    <row r="7705" customFormat="1" x14ac:dyDescent="0.3"/>
    <row r="7706" customFormat="1" x14ac:dyDescent="0.3"/>
    <row r="7707" customFormat="1" x14ac:dyDescent="0.3"/>
    <row r="7708" customFormat="1" x14ac:dyDescent="0.3"/>
    <row r="7709" customFormat="1" x14ac:dyDescent="0.3"/>
    <row r="7710" customFormat="1" x14ac:dyDescent="0.3"/>
    <row r="7711" customFormat="1" x14ac:dyDescent="0.3"/>
    <row r="7712" customFormat="1" x14ac:dyDescent="0.3"/>
    <row r="7713" customFormat="1" x14ac:dyDescent="0.3"/>
    <row r="7714" customFormat="1" x14ac:dyDescent="0.3"/>
    <row r="7715" customFormat="1" x14ac:dyDescent="0.3"/>
    <row r="7716" customFormat="1" x14ac:dyDescent="0.3"/>
    <row r="7717" customFormat="1" x14ac:dyDescent="0.3"/>
    <row r="7718" customFormat="1" x14ac:dyDescent="0.3"/>
    <row r="7719" customFormat="1" x14ac:dyDescent="0.3"/>
    <row r="7720" customFormat="1" x14ac:dyDescent="0.3"/>
    <row r="7721" customFormat="1" x14ac:dyDescent="0.3"/>
    <row r="7722" customFormat="1" x14ac:dyDescent="0.3"/>
    <row r="7723" customFormat="1" x14ac:dyDescent="0.3"/>
    <row r="7724" customFormat="1" x14ac:dyDescent="0.3"/>
    <row r="7725" customFormat="1" x14ac:dyDescent="0.3"/>
    <row r="7726" customFormat="1" x14ac:dyDescent="0.3"/>
    <row r="7727" customFormat="1" x14ac:dyDescent="0.3"/>
    <row r="7728" customFormat="1" x14ac:dyDescent="0.3"/>
    <row r="7729" customFormat="1" x14ac:dyDescent="0.3"/>
    <row r="7730" customFormat="1" x14ac:dyDescent="0.3"/>
    <row r="7731" customFormat="1" x14ac:dyDescent="0.3"/>
    <row r="7732" customFormat="1" x14ac:dyDescent="0.3"/>
    <row r="7733" customFormat="1" x14ac:dyDescent="0.3"/>
    <row r="7734" customFormat="1" x14ac:dyDescent="0.3"/>
    <row r="7735" customFormat="1" x14ac:dyDescent="0.3"/>
    <row r="7736" customFormat="1" x14ac:dyDescent="0.3"/>
    <row r="7737" customFormat="1" x14ac:dyDescent="0.3"/>
    <row r="7738" customFormat="1" x14ac:dyDescent="0.3"/>
    <row r="7739" customFormat="1" x14ac:dyDescent="0.3"/>
    <row r="7740" customFormat="1" x14ac:dyDescent="0.3"/>
    <row r="7741" customFormat="1" x14ac:dyDescent="0.3"/>
    <row r="7742" customFormat="1" x14ac:dyDescent="0.3"/>
    <row r="7743" customFormat="1" x14ac:dyDescent="0.3"/>
    <row r="7744" customFormat="1" x14ac:dyDescent="0.3"/>
    <row r="7745" customFormat="1" x14ac:dyDescent="0.3"/>
    <row r="7746" customFormat="1" x14ac:dyDescent="0.3"/>
    <row r="7747" customFormat="1" x14ac:dyDescent="0.3"/>
    <row r="7748" customFormat="1" x14ac:dyDescent="0.3"/>
    <row r="7749" customFormat="1" x14ac:dyDescent="0.3"/>
    <row r="7750" customFormat="1" x14ac:dyDescent="0.3"/>
    <row r="7751" customFormat="1" x14ac:dyDescent="0.3"/>
    <row r="7752" customFormat="1" x14ac:dyDescent="0.3"/>
    <row r="7753" customFormat="1" x14ac:dyDescent="0.3"/>
    <row r="7754" customFormat="1" x14ac:dyDescent="0.3"/>
    <row r="7755" customFormat="1" x14ac:dyDescent="0.3"/>
    <row r="7756" customFormat="1" x14ac:dyDescent="0.3"/>
    <row r="7757" customFormat="1" x14ac:dyDescent="0.3"/>
    <row r="7758" customFormat="1" x14ac:dyDescent="0.3"/>
    <row r="7759" customFormat="1" x14ac:dyDescent="0.3"/>
    <row r="7760" customFormat="1" x14ac:dyDescent="0.3"/>
    <row r="7761" customFormat="1" x14ac:dyDescent="0.3"/>
    <row r="7762" customFormat="1" x14ac:dyDescent="0.3"/>
    <row r="7763" customFormat="1" x14ac:dyDescent="0.3"/>
    <row r="7764" customFormat="1" x14ac:dyDescent="0.3"/>
    <row r="7765" customFormat="1" x14ac:dyDescent="0.3"/>
    <row r="7766" customFormat="1" x14ac:dyDescent="0.3"/>
    <row r="7767" customFormat="1" x14ac:dyDescent="0.3"/>
    <row r="7768" customFormat="1" x14ac:dyDescent="0.3"/>
    <row r="7769" customFormat="1" x14ac:dyDescent="0.3"/>
    <row r="7770" customFormat="1" x14ac:dyDescent="0.3"/>
    <row r="7771" customFormat="1" x14ac:dyDescent="0.3"/>
    <row r="7772" customFormat="1" x14ac:dyDescent="0.3"/>
    <row r="7773" customFormat="1" x14ac:dyDescent="0.3"/>
    <row r="7774" customFormat="1" x14ac:dyDescent="0.3"/>
    <row r="7775" customFormat="1" x14ac:dyDescent="0.3"/>
    <row r="7776" customFormat="1" x14ac:dyDescent="0.3"/>
    <row r="7777" customFormat="1" x14ac:dyDescent="0.3"/>
    <row r="7778" customFormat="1" x14ac:dyDescent="0.3"/>
    <row r="7779" customFormat="1" x14ac:dyDescent="0.3"/>
    <row r="7780" customFormat="1" x14ac:dyDescent="0.3"/>
    <row r="7781" customFormat="1" x14ac:dyDescent="0.3"/>
    <row r="7782" customFormat="1" x14ac:dyDescent="0.3"/>
    <row r="7783" customFormat="1" x14ac:dyDescent="0.3"/>
    <row r="7784" customFormat="1" x14ac:dyDescent="0.3"/>
    <row r="7785" customFormat="1" x14ac:dyDescent="0.3"/>
    <row r="7786" customFormat="1" x14ac:dyDescent="0.3"/>
    <row r="7787" customFormat="1" x14ac:dyDescent="0.3"/>
    <row r="7788" customFormat="1" x14ac:dyDescent="0.3"/>
    <row r="7789" customFormat="1" x14ac:dyDescent="0.3"/>
    <row r="7790" customFormat="1" x14ac:dyDescent="0.3"/>
    <row r="7791" customFormat="1" x14ac:dyDescent="0.3"/>
    <row r="7792" customFormat="1" x14ac:dyDescent="0.3"/>
    <row r="7793" customFormat="1" x14ac:dyDescent="0.3"/>
    <row r="7794" customFormat="1" x14ac:dyDescent="0.3"/>
    <row r="7795" customFormat="1" x14ac:dyDescent="0.3"/>
    <row r="7796" customFormat="1" x14ac:dyDescent="0.3"/>
    <row r="7797" customFormat="1" x14ac:dyDescent="0.3"/>
    <row r="7798" customFormat="1" x14ac:dyDescent="0.3"/>
    <row r="7799" customFormat="1" x14ac:dyDescent="0.3"/>
    <row r="7800" customFormat="1" x14ac:dyDescent="0.3"/>
    <row r="7801" customFormat="1" x14ac:dyDescent="0.3"/>
    <row r="7802" customFormat="1" x14ac:dyDescent="0.3"/>
    <row r="7803" customFormat="1" x14ac:dyDescent="0.3"/>
    <row r="7804" customFormat="1" x14ac:dyDescent="0.3"/>
    <row r="7805" customFormat="1" x14ac:dyDescent="0.3"/>
    <row r="7806" customFormat="1" x14ac:dyDescent="0.3"/>
    <row r="7807" customFormat="1" x14ac:dyDescent="0.3"/>
    <row r="7808" customFormat="1" x14ac:dyDescent="0.3"/>
    <row r="7809" customFormat="1" x14ac:dyDescent="0.3"/>
    <row r="7810" customFormat="1" x14ac:dyDescent="0.3"/>
    <row r="7811" customFormat="1" x14ac:dyDescent="0.3"/>
    <row r="7812" customFormat="1" x14ac:dyDescent="0.3"/>
    <row r="7813" customFormat="1" x14ac:dyDescent="0.3"/>
    <row r="7814" customFormat="1" x14ac:dyDescent="0.3"/>
    <row r="7815" customFormat="1" x14ac:dyDescent="0.3"/>
    <row r="7816" customFormat="1" x14ac:dyDescent="0.3"/>
    <row r="7817" customFormat="1" x14ac:dyDescent="0.3"/>
    <row r="7818" customFormat="1" x14ac:dyDescent="0.3"/>
    <row r="7819" customFormat="1" x14ac:dyDescent="0.3"/>
    <row r="7820" customFormat="1" x14ac:dyDescent="0.3"/>
    <row r="7821" customFormat="1" x14ac:dyDescent="0.3"/>
    <row r="7822" customFormat="1" x14ac:dyDescent="0.3"/>
    <row r="7823" customFormat="1" x14ac:dyDescent="0.3"/>
    <row r="7824" customFormat="1" x14ac:dyDescent="0.3"/>
    <row r="7825" customFormat="1" x14ac:dyDescent="0.3"/>
    <row r="7826" customFormat="1" x14ac:dyDescent="0.3"/>
    <row r="7827" customFormat="1" x14ac:dyDescent="0.3"/>
    <row r="7828" customFormat="1" x14ac:dyDescent="0.3"/>
    <row r="7829" customFormat="1" x14ac:dyDescent="0.3"/>
    <row r="7830" customFormat="1" x14ac:dyDescent="0.3"/>
    <row r="7831" customFormat="1" x14ac:dyDescent="0.3"/>
    <row r="7832" customFormat="1" x14ac:dyDescent="0.3"/>
    <row r="7833" customFormat="1" x14ac:dyDescent="0.3"/>
    <row r="7834" customFormat="1" x14ac:dyDescent="0.3"/>
    <row r="7835" customFormat="1" x14ac:dyDescent="0.3"/>
    <row r="7836" customFormat="1" x14ac:dyDescent="0.3"/>
    <row r="7837" customFormat="1" x14ac:dyDescent="0.3"/>
    <row r="7838" customFormat="1" x14ac:dyDescent="0.3"/>
    <row r="7839" customFormat="1" x14ac:dyDescent="0.3"/>
    <row r="7840" customFormat="1" x14ac:dyDescent="0.3"/>
    <row r="7841" customFormat="1" x14ac:dyDescent="0.3"/>
    <row r="7842" customFormat="1" x14ac:dyDescent="0.3"/>
    <row r="7843" customFormat="1" x14ac:dyDescent="0.3"/>
    <row r="7844" customFormat="1" x14ac:dyDescent="0.3"/>
    <row r="7845" customFormat="1" x14ac:dyDescent="0.3"/>
    <row r="7846" customFormat="1" x14ac:dyDescent="0.3"/>
    <row r="7847" customFormat="1" x14ac:dyDescent="0.3"/>
    <row r="7848" customFormat="1" x14ac:dyDescent="0.3"/>
    <row r="7849" customFormat="1" x14ac:dyDescent="0.3"/>
    <row r="7850" customFormat="1" x14ac:dyDescent="0.3"/>
    <row r="7851" customFormat="1" x14ac:dyDescent="0.3"/>
    <row r="7852" customFormat="1" x14ac:dyDescent="0.3"/>
    <row r="7853" customFormat="1" x14ac:dyDescent="0.3"/>
    <row r="7854" customFormat="1" x14ac:dyDescent="0.3"/>
    <row r="7855" customFormat="1" x14ac:dyDescent="0.3"/>
    <row r="7856" customFormat="1" x14ac:dyDescent="0.3"/>
    <row r="7857" customFormat="1" x14ac:dyDescent="0.3"/>
    <row r="7858" customFormat="1" x14ac:dyDescent="0.3"/>
    <row r="7859" customFormat="1" x14ac:dyDescent="0.3"/>
    <row r="7860" customFormat="1" x14ac:dyDescent="0.3"/>
    <row r="7861" customFormat="1" x14ac:dyDescent="0.3"/>
    <row r="7862" customFormat="1" x14ac:dyDescent="0.3"/>
    <row r="7863" customFormat="1" x14ac:dyDescent="0.3"/>
    <row r="7864" customFormat="1" x14ac:dyDescent="0.3"/>
    <row r="7865" customFormat="1" x14ac:dyDescent="0.3"/>
    <row r="7866" customFormat="1" x14ac:dyDescent="0.3"/>
    <row r="7867" customFormat="1" x14ac:dyDescent="0.3"/>
    <row r="7868" customFormat="1" x14ac:dyDescent="0.3"/>
    <row r="7869" customFormat="1" x14ac:dyDescent="0.3"/>
    <row r="7870" customFormat="1" x14ac:dyDescent="0.3"/>
    <row r="7871" customFormat="1" x14ac:dyDescent="0.3"/>
    <row r="7872" customFormat="1" x14ac:dyDescent="0.3"/>
    <row r="7873" customFormat="1" x14ac:dyDescent="0.3"/>
    <row r="7874" customFormat="1" x14ac:dyDescent="0.3"/>
    <row r="7875" customFormat="1" x14ac:dyDescent="0.3"/>
    <row r="7876" customFormat="1" x14ac:dyDescent="0.3"/>
    <row r="7877" customFormat="1" x14ac:dyDescent="0.3"/>
    <row r="7878" customFormat="1" x14ac:dyDescent="0.3"/>
    <row r="7879" customFormat="1" x14ac:dyDescent="0.3"/>
    <row r="7880" customFormat="1" x14ac:dyDescent="0.3"/>
    <row r="7881" customFormat="1" x14ac:dyDescent="0.3"/>
    <row r="7882" customFormat="1" x14ac:dyDescent="0.3"/>
    <row r="7883" customFormat="1" x14ac:dyDescent="0.3"/>
    <row r="7884" customFormat="1" x14ac:dyDescent="0.3"/>
    <row r="7885" customFormat="1" x14ac:dyDescent="0.3"/>
    <row r="7886" customFormat="1" x14ac:dyDescent="0.3"/>
    <row r="7887" customFormat="1" x14ac:dyDescent="0.3"/>
    <row r="7888" customFormat="1" x14ac:dyDescent="0.3"/>
    <row r="7889" customFormat="1" x14ac:dyDescent="0.3"/>
    <row r="7890" customFormat="1" x14ac:dyDescent="0.3"/>
    <row r="7891" customFormat="1" x14ac:dyDescent="0.3"/>
    <row r="7892" customFormat="1" x14ac:dyDescent="0.3"/>
    <row r="7893" customFormat="1" x14ac:dyDescent="0.3"/>
    <row r="7894" customFormat="1" x14ac:dyDescent="0.3"/>
    <row r="7895" customFormat="1" x14ac:dyDescent="0.3"/>
    <row r="7896" customFormat="1" x14ac:dyDescent="0.3"/>
    <row r="7897" customFormat="1" x14ac:dyDescent="0.3"/>
    <row r="7898" customFormat="1" x14ac:dyDescent="0.3"/>
    <row r="7899" customFormat="1" x14ac:dyDescent="0.3"/>
    <row r="7900" customFormat="1" x14ac:dyDescent="0.3"/>
    <row r="7901" customFormat="1" x14ac:dyDescent="0.3"/>
    <row r="7902" customFormat="1" x14ac:dyDescent="0.3"/>
    <row r="7903" customFormat="1" x14ac:dyDescent="0.3"/>
    <row r="7904" customFormat="1" x14ac:dyDescent="0.3"/>
    <row r="7905" customFormat="1" x14ac:dyDescent="0.3"/>
    <row r="7906" customFormat="1" x14ac:dyDescent="0.3"/>
    <row r="7907" customFormat="1" x14ac:dyDescent="0.3"/>
    <row r="7908" customFormat="1" x14ac:dyDescent="0.3"/>
    <row r="7909" customFormat="1" x14ac:dyDescent="0.3"/>
    <row r="7910" customFormat="1" x14ac:dyDescent="0.3"/>
    <row r="7911" customFormat="1" x14ac:dyDescent="0.3"/>
    <row r="7912" customFormat="1" x14ac:dyDescent="0.3"/>
    <row r="7913" customFormat="1" x14ac:dyDescent="0.3"/>
    <row r="7914" customFormat="1" x14ac:dyDescent="0.3"/>
    <row r="7915" customFormat="1" x14ac:dyDescent="0.3"/>
    <row r="7916" customFormat="1" x14ac:dyDescent="0.3"/>
    <row r="7917" customFormat="1" x14ac:dyDescent="0.3"/>
    <row r="7918" customFormat="1" x14ac:dyDescent="0.3"/>
    <row r="7919" customFormat="1" x14ac:dyDescent="0.3"/>
    <row r="7920" customFormat="1" x14ac:dyDescent="0.3"/>
    <row r="7921" customFormat="1" x14ac:dyDescent="0.3"/>
    <row r="7922" customFormat="1" x14ac:dyDescent="0.3"/>
    <row r="7923" customFormat="1" x14ac:dyDescent="0.3"/>
    <row r="7924" customFormat="1" x14ac:dyDescent="0.3"/>
    <row r="7925" customFormat="1" x14ac:dyDescent="0.3"/>
    <row r="7926" customFormat="1" x14ac:dyDescent="0.3"/>
    <row r="7927" customFormat="1" x14ac:dyDescent="0.3"/>
    <row r="7928" customFormat="1" x14ac:dyDescent="0.3"/>
    <row r="7929" customFormat="1" x14ac:dyDescent="0.3"/>
    <row r="7930" customFormat="1" x14ac:dyDescent="0.3"/>
    <row r="7931" customFormat="1" x14ac:dyDescent="0.3"/>
    <row r="7932" customFormat="1" x14ac:dyDescent="0.3"/>
    <row r="7933" customFormat="1" x14ac:dyDescent="0.3"/>
    <row r="7934" customFormat="1" x14ac:dyDescent="0.3"/>
    <row r="7935" customFormat="1" x14ac:dyDescent="0.3"/>
    <row r="7936" customFormat="1" x14ac:dyDescent="0.3"/>
    <row r="7937" customFormat="1" x14ac:dyDescent="0.3"/>
    <row r="7938" customFormat="1" x14ac:dyDescent="0.3"/>
    <row r="7939" customFormat="1" x14ac:dyDescent="0.3"/>
    <row r="7940" customFormat="1" x14ac:dyDescent="0.3"/>
    <row r="7941" customFormat="1" x14ac:dyDescent="0.3"/>
    <row r="7942" customFormat="1" x14ac:dyDescent="0.3"/>
    <row r="7943" customFormat="1" x14ac:dyDescent="0.3"/>
    <row r="7944" customFormat="1" x14ac:dyDescent="0.3"/>
    <row r="7945" customFormat="1" x14ac:dyDescent="0.3"/>
    <row r="7946" customFormat="1" x14ac:dyDescent="0.3"/>
    <row r="7947" customFormat="1" x14ac:dyDescent="0.3"/>
    <row r="7948" customFormat="1" x14ac:dyDescent="0.3"/>
    <row r="7949" customFormat="1" x14ac:dyDescent="0.3"/>
    <row r="7950" customFormat="1" x14ac:dyDescent="0.3"/>
    <row r="7951" customFormat="1" x14ac:dyDescent="0.3"/>
    <row r="7952" customFormat="1" x14ac:dyDescent="0.3"/>
    <row r="7953" customFormat="1" x14ac:dyDescent="0.3"/>
    <row r="7954" customFormat="1" x14ac:dyDescent="0.3"/>
    <row r="7955" customFormat="1" x14ac:dyDescent="0.3"/>
    <row r="7956" customFormat="1" x14ac:dyDescent="0.3"/>
    <row r="7957" customFormat="1" x14ac:dyDescent="0.3"/>
    <row r="7958" customFormat="1" x14ac:dyDescent="0.3"/>
    <row r="7959" customFormat="1" x14ac:dyDescent="0.3"/>
    <row r="7960" customFormat="1" x14ac:dyDescent="0.3"/>
    <row r="7961" customFormat="1" x14ac:dyDescent="0.3"/>
    <row r="7962" customFormat="1" x14ac:dyDescent="0.3"/>
    <row r="7963" customFormat="1" x14ac:dyDescent="0.3"/>
    <row r="7964" customFormat="1" x14ac:dyDescent="0.3"/>
    <row r="7965" customFormat="1" x14ac:dyDescent="0.3"/>
    <row r="7966" customFormat="1" x14ac:dyDescent="0.3"/>
    <row r="7967" customFormat="1" x14ac:dyDescent="0.3"/>
    <row r="7968" customFormat="1" x14ac:dyDescent="0.3"/>
    <row r="7969" customFormat="1" x14ac:dyDescent="0.3"/>
    <row r="7970" customFormat="1" x14ac:dyDescent="0.3"/>
    <row r="7971" customFormat="1" x14ac:dyDescent="0.3"/>
    <row r="7972" customFormat="1" x14ac:dyDescent="0.3"/>
    <row r="7973" customFormat="1" x14ac:dyDescent="0.3"/>
    <row r="7974" customFormat="1" x14ac:dyDescent="0.3"/>
    <row r="7975" customFormat="1" x14ac:dyDescent="0.3"/>
    <row r="7976" customFormat="1" x14ac:dyDescent="0.3"/>
    <row r="7977" customFormat="1" x14ac:dyDescent="0.3"/>
    <row r="7978" customFormat="1" x14ac:dyDescent="0.3"/>
    <row r="7979" customFormat="1" x14ac:dyDescent="0.3"/>
    <row r="7980" customFormat="1" x14ac:dyDescent="0.3"/>
    <row r="7981" customFormat="1" x14ac:dyDescent="0.3"/>
    <row r="7982" customFormat="1" x14ac:dyDescent="0.3"/>
    <row r="7983" customFormat="1" x14ac:dyDescent="0.3"/>
    <row r="7984" customFormat="1" x14ac:dyDescent="0.3"/>
    <row r="7985" customFormat="1" x14ac:dyDescent="0.3"/>
    <row r="7986" customFormat="1" x14ac:dyDescent="0.3"/>
    <row r="7987" customFormat="1" x14ac:dyDescent="0.3"/>
    <row r="7988" customFormat="1" x14ac:dyDescent="0.3"/>
    <row r="7989" customFormat="1" x14ac:dyDescent="0.3"/>
    <row r="7990" customFormat="1" x14ac:dyDescent="0.3"/>
    <row r="7991" customFormat="1" x14ac:dyDescent="0.3"/>
    <row r="7992" customFormat="1" x14ac:dyDescent="0.3"/>
    <row r="7993" customFormat="1" x14ac:dyDescent="0.3"/>
    <row r="7994" customFormat="1" x14ac:dyDescent="0.3"/>
    <row r="7995" customFormat="1" x14ac:dyDescent="0.3"/>
    <row r="7996" customFormat="1" x14ac:dyDescent="0.3"/>
    <row r="7997" customFormat="1" x14ac:dyDescent="0.3"/>
    <row r="7998" customFormat="1" x14ac:dyDescent="0.3"/>
    <row r="7999" customFormat="1" x14ac:dyDescent="0.3"/>
    <row r="8000" customFormat="1" x14ac:dyDescent="0.3"/>
    <row r="8001" customFormat="1" x14ac:dyDescent="0.3"/>
    <row r="8002" customFormat="1" x14ac:dyDescent="0.3"/>
    <row r="8003" customFormat="1" x14ac:dyDescent="0.3"/>
    <row r="8004" customFormat="1" x14ac:dyDescent="0.3"/>
    <row r="8005" customFormat="1" x14ac:dyDescent="0.3"/>
    <row r="8006" customFormat="1" x14ac:dyDescent="0.3"/>
    <row r="8007" customFormat="1" x14ac:dyDescent="0.3"/>
    <row r="8008" customFormat="1" x14ac:dyDescent="0.3"/>
    <row r="8009" customFormat="1" x14ac:dyDescent="0.3"/>
    <row r="8010" customFormat="1" x14ac:dyDescent="0.3"/>
    <row r="8011" customFormat="1" x14ac:dyDescent="0.3"/>
    <row r="8012" customFormat="1" x14ac:dyDescent="0.3"/>
    <row r="8013" customFormat="1" x14ac:dyDescent="0.3"/>
    <row r="8014" customFormat="1" x14ac:dyDescent="0.3"/>
    <row r="8015" customFormat="1" x14ac:dyDescent="0.3"/>
    <row r="8016" customFormat="1" x14ac:dyDescent="0.3"/>
    <row r="8017" customFormat="1" x14ac:dyDescent="0.3"/>
    <row r="8018" customFormat="1" x14ac:dyDescent="0.3"/>
    <row r="8019" customFormat="1" x14ac:dyDescent="0.3"/>
    <row r="8020" customFormat="1" x14ac:dyDescent="0.3"/>
    <row r="8021" customFormat="1" x14ac:dyDescent="0.3"/>
    <row r="8022" customFormat="1" x14ac:dyDescent="0.3"/>
    <row r="8023" customFormat="1" x14ac:dyDescent="0.3"/>
    <row r="8024" customFormat="1" x14ac:dyDescent="0.3"/>
    <row r="8025" customFormat="1" x14ac:dyDescent="0.3"/>
    <row r="8026" customFormat="1" x14ac:dyDescent="0.3"/>
    <row r="8027" customFormat="1" x14ac:dyDescent="0.3"/>
    <row r="8028" customFormat="1" x14ac:dyDescent="0.3"/>
    <row r="8029" customFormat="1" x14ac:dyDescent="0.3"/>
    <row r="8030" customFormat="1" x14ac:dyDescent="0.3"/>
    <row r="8031" customFormat="1" x14ac:dyDescent="0.3"/>
    <row r="8032" customFormat="1" x14ac:dyDescent="0.3"/>
    <row r="8033" customFormat="1" x14ac:dyDescent="0.3"/>
    <row r="8034" customFormat="1" x14ac:dyDescent="0.3"/>
    <row r="8035" customFormat="1" x14ac:dyDescent="0.3"/>
    <row r="8036" customFormat="1" x14ac:dyDescent="0.3"/>
    <row r="8037" customFormat="1" x14ac:dyDescent="0.3"/>
    <row r="8038" customFormat="1" x14ac:dyDescent="0.3"/>
    <row r="8039" customFormat="1" x14ac:dyDescent="0.3"/>
    <row r="8040" customFormat="1" x14ac:dyDescent="0.3"/>
    <row r="8041" customFormat="1" x14ac:dyDescent="0.3"/>
    <row r="8042" customFormat="1" x14ac:dyDescent="0.3"/>
    <row r="8043" customFormat="1" x14ac:dyDescent="0.3"/>
    <row r="8044" customFormat="1" x14ac:dyDescent="0.3"/>
    <row r="8045" customFormat="1" x14ac:dyDescent="0.3"/>
    <row r="8046" customFormat="1" x14ac:dyDescent="0.3"/>
    <row r="8047" customFormat="1" x14ac:dyDescent="0.3"/>
    <row r="8048" customFormat="1" x14ac:dyDescent="0.3"/>
    <row r="8049" customFormat="1" x14ac:dyDescent="0.3"/>
    <row r="8050" customFormat="1" x14ac:dyDescent="0.3"/>
    <row r="8051" customFormat="1" x14ac:dyDescent="0.3"/>
    <row r="8052" customFormat="1" x14ac:dyDescent="0.3"/>
    <row r="8053" customFormat="1" x14ac:dyDescent="0.3"/>
    <row r="8054" customFormat="1" x14ac:dyDescent="0.3"/>
    <row r="8055" customFormat="1" x14ac:dyDescent="0.3"/>
    <row r="8056" customFormat="1" x14ac:dyDescent="0.3"/>
    <row r="8057" customFormat="1" x14ac:dyDescent="0.3"/>
    <row r="8058" customFormat="1" x14ac:dyDescent="0.3"/>
    <row r="8059" customFormat="1" x14ac:dyDescent="0.3"/>
    <row r="8060" customFormat="1" x14ac:dyDescent="0.3"/>
    <row r="8061" customFormat="1" x14ac:dyDescent="0.3"/>
    <row r="8062" customFormat="1" x14ac:dyDescent="0.3"/>
    <row r="8063" customFormat="1" x14ac:dyDescent="0.3"/>
    <row r="8064" customFormat="1" x14ac:dyDescent="0.3"/>
    <row r="8065" customFormat="1" x14ac:dyDescent="0.3"/>
    <row r="8066" customFormat="1" x14ac:dyDescent="0.3"/>
    <row r="8067" customFormat="1" x14ac:dyDescent="0.3"/>
    <row r="8068" customFormat="1" x14ac:dyDescent="0.3"/>
    <row r="8069" customFormat="1" x14ac:dyDescent="0.3"/>
    <row r="8070" customFormat="1" x14ac:dyDescent="0.3"/>
    <row r="8071" customFormat="1" x14ac:dyDescent="0.3"/>
    <row r="8072" customFormat="1" x14ac:dyDescent="0.3"/>
    <row r="8073" customFormat="1" x14ac:dyDescent="0.3"/>
    <row r="8074" customFormat="1" x14ac:dyDescent="0.3"/>
    <row r="8075" customFormat="1" x14ac:dyDescent="0.3"/>
    <row r="8076" customFormat="1" x14ac:dyDescent="0.3"/>
    <row r="8077" customFormat="1" x14ac:dyDescent="0.3"/>
    <row r="8078" customFormat="1" x14ac:dyDescent="0.3"/>
    <row r="8079" customFormat="1" x14ac:dyDescent="0.3"/>
    <row r="8080" customFormat="1" x14ac:dyDescent="0.3"/>
    <row r="8081" customFormat="1" x14ac:dyDescent="0.3"/>
    <row r="8082" customFormat="1" x14ac:dyDescent="0.3"/>
    <row r="8083" customFormat="1" x14ac:dyDescent="0.3"/>
    <row r="8084" customFormat="1" x14ac:dyDescent="0.3"/>
    <row r="8085" customFormat="1" x14ac:dyDescent="0.3"/>
    <row r="8086" customFormat="1" x14ac:dyDescent="0.3"/>
    <row r="8087" customFormat="1" x14ac:dyDescent="0.3"/>
    <row r="8088" customFormat="1" x14ac:dyDescent="0.3"/>
    <row r="8089" customFormat="1" x14ac:dyDescent="0.3"/>
    <row r="8090" customFormat="1" x14ac:dyDescent="0.3"/>
    <row r="8091" customFormat="1" x14ac:dyDescent="0.3"/>
    <row r="8092" customFormat="1" x14ac:dyDescent="0.3"/>
    <row r="8093" customFormat="1" x14ac:dyDescent="0.3"/>
    <row r="8094" customFormat="1" x14ac:dyDescent="0.3"/>
    <row r="8095" customFormat="1" x14ac:dyDescent="0.3"/>
    <row r="8096" customFormat="1" x14ac:dyDescent="0.3"/>
    <row r="8097" customFormat="1" x14ac:dyDescent="0.3"/>
    <row r="8098" customFormat="1" x14ac:dyDescent="0.3"/>
    <row r="8099" customFormat="1" x14ac:dyDescent="0.3"/>
    <row r="8100" customFormat="1" x14ac:dyDescent="0.3"/>
    <row r="8101" customFormat="1" x14ac:dyDescent="0.3"/>
    <row r="8102" customFormat="1" x14ac:dyDescent="0.3"/>
    <row r="8103" customFormat="1" x14ac:dyDescent="0.3"/>
    <row r="8104" customFormat="1" x14ac:dyDescent="0.3"/>
    <row r="8105" customFormat="1" x14ac:dyDescent="0.3"/>
    <row r="8106" customFormat="1" x14ac:dyDescent="0.3"/>
    <row r="8107" customFormat="1" x14ac:dyDescent="0.3"/>
    <row r="8108" customFormat="1" x14ac:dyDescent="0.3"/>
    <row r="8109" customFormat="1" x14ac:dyDescent="0.3"/>
    <row r="8110" customFormat="1" x14ac:dyDescent="0.3"/>
    <row r="8111" customFormat="1" x14ac:dyDescent="0.3"/>
    <row r="8112" customFormat="1" x14ac:dyDescent="0.3"/>
    <row r="8113" customFormat="1" x14ac:dyDescent="0.3"/>
    <row r="8114" customFormat="1" x14ac:dyDescent="0.3"/>
    <row r="8115" customFormat="1" x14ac:dyDescent="0.3"/>
    <row r="8116" customFormat="1" x14ac:dyDescent="0.3"/>
    <row r="8117" customFormat="1" x14ac:dyDescent="0.3"/>
    <row r="8118" customFormat="1" x14ac:dyDescent="0.3"/>
    <row r="8119" customFormat="1" x14ac:dyDescent="0.3"/>
    <row r="8120" customFormat="1" x14ac:dyDescent="0.3"/>
    <row r="8121" customFormat="1" x14ac:dyDescent="0.3"/>
    <row r="8122" customFormat="1" x14ac:dyDescent="0.3"/>
    <row r="8123" customFormat="1" x14ac:dyDescent="0.3"/>
    <row r="8124" customFormat="1" x14ac:dyDescent="0.3"/>
    <row r="8125" customFormat="1" x14ac:dyDescent="0.3"/>
    <row r="8126" customFormat="1" x14ac:dyDescent="0.3"/>
    <row r="8127" customFormat="1" x14ac:dyDescent="0.3"/>
    <row r="8128" customFormat="1" x14ac:dyDescent="0.3"/>
    <row r="8129" customFormat="1" x14ac:dyDescent="0.3"/>
    <row r="8130" customFormat="1" x14ac:dyDescent="0.3"/>
    <row r="8131" customFormat="1" x14ac:dyDescent="0.3"/>
    <row r="8132" customFormat="1" x14ac:dyDescent="0.3"/>
    <row r="8133" customFormat="1" x14ac:dyDescent="0.3"/>
    <row r="8134" customFormat="1" x14ac:dyDescent="0.3"/>
    <row r="8135" customFormat="1" x14ac:dyDescent="0.3"/>
    <row r="8136" customFormat="1" x14ac:dyDescent="0.3"/>
    <row r="8137" customFormat="1" x14ac:dyDescent="0.3"/>
    <row r="8138" customFormat="1" x14ac:dyDescent="0.3"/>
    <row r="8139" customFormat="1" x14ac:dyDescent="0.3"/>
    <row r="8140" customFormat="1" x14ac:dyDescent="0.3"/>
    <row r="8141" customFormat="1" x14ac:dyDescent="0.3"/>
    <row r="8142" customFormat="1" x14ac:dyDescent="0.3"/>
    <row r="8143" customFormat="1" x14ac:dyDescent="0.3"/>
    <row r="8144" customFormat="1" x14ac:dyDescent="0.3"/>
    <row r="8145" customFormat="1" x14ac:dyDescent="0.3"/>
    <row r="8146" customFormat="1" x14ac:dyDescent="0.3"/>
    <row r="8147" customFormat="1" x14ac:dyDescent="0.3"/>
    <row r="8148" customFormat="1" x14ac:dyDescent="0.3"/>
    <row r="8149" customFormat="1" x14ac:dyDescent="0.3"/>
    <row r="8150" customFormat="1" x14ac:dyDescent="0.3"/>
    <row r="8151" customFormat="1" x14ac:dyDescent="0.3"/>
    <row r="8152" customFormat="1" x14ac:dyDescent="0.3"/>
    <row r="8153" customFormat="1" x14ac:dyDescent="0.3"/>
    <row r="8154" customFormat="1" x14ac:dyDescent="0.3"/>
    <row r="8155" customFormat="1" x14ac:dyDescent="0.3"/>
    <row r="8156" customFormat="1" x14ac:dyDescent="0.3"/>
    <row r="8157" customFormat="1" x14ac:dyDescent="0.3"/>
    <row r="8158" customFormat="1" x14ac:dyDescent="0.3"/>
    <row r="8159" customFormat="1" x14ac:dyDescent="0.3"/>
    <row r="8160" customFormat="1" x14ac:dyDescent="0.3"/>
    <row r="8161" customFormat="1" x14ac:dyDescent="0.3"/>
    <row r="8162" customFormat="1" x14ac:dyDescent="0.3"/>
    <row r="8163" customFormat="1" x14ac:dyDescent="0.3"/>
    <row r="8164" customFormat="1" x14ac:dyDescent="0.3"/>
    <row r="8165" customFormat="1" x14ac:dyDescent="0.3"/>
    <row r="8166" customFormat="1" x14ac:dyDescent="0.3"/>
    <row r="8167" customFormat="1" x14ac:dyDescent="0.3"/>
    <row r="8168" customFormat="1" x14ac:dyDescent="0.3"/>
    <row r="8169" customFormat="1" x14ac:dyDescent="0.3"/>
    <row r="8170" customFormat="1" x14ac:dyDescent="0.3"/>
    <row r="8171" customFormat="1" x14ac:dyDescent="0.3"/>
    <row r="8172" customFormat="1" x14ac:dyDescent="0.3"/>
    <row r="8173" customFormat="1" x14ac:dyDescent="0.3"/>
    <row r="8174" customFormat="1" x14ac:dyDescent="0.3"/>
    <row r="8175" customFormat="1" x14ac:dyDescent="0.3"/>
    <row r="8176" customFormat="1" x14ac:dyDescent="0.3"/>
    <row r="8177" customFormat="1" x14ac:dyDescent="0.3"/>
    <row r="8178" customFormat="1" x14ac:dyDescent="0.3"/>
    <row r="8179" customFormat="1" x14ac:dyDescent="0.3"/>
    <row r="8180" customFormat="1" x14ac:dyDescent="0.3"/>
    <row r="8181" customFormat="1" x14ac:dyDescent="0.3"/>
    <row r="8182" customFormat="1" x14ac:dyDescent="0.3"/>
    <row r="8183" customFormat="1" x14ac:dyDescent="0.3"/>
    <row r="8184" customFormat="1" x14ac:dyDescent="0.3"/>
    <row r="8185" customFormat="1" x14ac:dyDescent="0.3"/>
    <row r="8186" customFormat="1" x14ac:dyDescent="0.3"/>
    <row r="8187" customFormat="1" x14ac:dyDescent="0.3"/>
    <row r="8188" customFormat="1" x14ac:dyDescent="0.3"/>
    <row r="8189" customFormat="1" x14ac:dyDescent="0.3"/>
    <row r="8190" customFormat="1" x14ac:dyDescent="0.3"/>
    <row r="8191" customFormat="1" x14ac:dyDescent="0.3"/>
    <row r="8192" customFormat="1" x14ac:dyDescent="0.3"/>
    <row r="8193" customFormat="1" x14ac:dyDescent="0.3"/>
    <row r="8194" customFormat="1" x14ac:dyDescent="0.3"/>
    <row r="8195" customFormat="1" x14ac:dyDescent="0.3"/>
    <row r="8196" customFormat="1" x14ac:dyDescent="0.3"/>
    <row r="8197" customFormat="1" x14ac:dyDescent="0.3"/>
    <row r="8198" customFormat="1" x14ac:dyDescent="0.3"/>
    <row r="8199" customFormat="1" x14ac:dyDescent="0.3"/>
    <row r="8200" customFormat="1" x14ac:dyDescent="0.3"/>
    <row r="8201" customFormat="1" x14ac:dyDescent="0.3"/>
    <row r="8202" customFormat="1" x14ac:dyDescent="0.3"/>
    <row r="8203" customFormat="1" x14ac:dyDescent="0.3"/>
    <row r="8204" customFormat="1" x14ac:dyDescent="0.3"/>
    <row r="8205" customFormat="1" x14ac:dyDescent="0.3"/>
    <row r="8206" customFormat="1" x14ac:dyDescent="0.3"/>
    <row r="8207" customFormat="1" x14ac:dyDescent="0.3"/>
    <row r="8208" customFormat="1" x14ac:dyDescent="0.3"/>
    <row r="8209" customFormat="1" x14ac:dyDescent="0.3"/>
    <row r="8210" customFormat="1" x14ac:dyDescent="0.3"/>
    <row r="8211" customFormat="1" x14ac:dyDescent="0.3"/>
    <row r="8212" customFormat="1" x14ac:dyDescent="0.3"/>
    <row r="8213" customFormat="1" x14ac:dyDescent="0.3"/>
    <row r="8214" customFormat="1" x14ac:dyDescent="0.3"/>
    <row r="8215" customFormat="1" x14ac:dyDescent="0.3"/>
    <row r="8216" customFormat="1" x14ac:dyDescent="0.3"/>
    <row r="8217" customFormat="1" x14ac:dyDescent="0.3"/>
    <row r="8218" customFormat="1" x14ac:dyDescent="0.3"/>
    <row r="8219" customFormat="1" x14ac:dyDescent="0.3"/>
    <row r="8220" customFormat="1" x14ac:dyDescent="0.3"/>
    <row r="8221" customFormat="1" x14ac:dyDescent="0.3"/>
    <row r="8222" customFormat="1" x14ac:dyDescent="0.3"/>
    <row r="8223" customFormat="1" x14ac:dyDescent="0.3"/>
    <row r="8224" customFormat="1" x14ac:dyDescent="0.3"/>
    <row r="8225" customFormat="1" x14ac:dyDescent="0.3"/>
    <row r="8226" customFormat="1" x14ac:dyDescent="0.3"/>
    <row r="8227" customFormat="1" x14ac:dyDescent="0.3"/>
    <row r="8228" customFormat="1" x14ac:dyDescent="0.3"/>
    <row r="8229" customFormat="1" x14ac:dyDescent="0.3"/>
    <row r="8230" customFormat="1" x14ac:dyDescent="0.3"/>
    <row r="8231" customFormat="1" x14ac:dyDescent="0.3"/>
    <row r="8232" customFormat="1" x14ac:dyDescent="0.3"/>
    <row r="8233" customFormat="1" x14ac:dyDescent="0.3"/>
    <row r="8234" customFormat="1" x14ac:dyDescent="0.3"/>
    <row r="8235" customFormat="1" x14ac:dyDescent="0.3"/>
    <row r="8236" customFormat="1" x14ac:dyDescent="0.3"/>
    <row r="8237" customFormat="1" x14ac:dyDescent="0.3"/>
    <row r="8238" customFormat="1" x14ac:dyDescent="0.3"/>
    <row r="8239" customFormat="1" x14ac:dyDescent="0.3"/>
    <row r="8240" customFormat="1" x14ac:dyDescent="0.3"/>
    <row r="8241" customFormat="1" x14ac:dyDescent="0.3"/>
    <row r="8242" customFormat="1" x14ac:dyDescent="0.3"/>
    <row r="8243" customFormat="1" x14ac:dyDescent="0.3"/>
    <row r="8244" customFormat="1" x14ac:dyDescent="0.3"/>
    <row r="8245" customFormat="1" x14ac:dyDescent="0.3"/>
    <row r="8246" customFormat="1" x14ac:dyDescent="0.3"/>
    <row r="8247" customFormat="1" x14ac:dyDescent="0.3"/>
    <row r="8248" customFormat="1" x14ac:dyDescent="0.3"/>
    <row r="8249" customFormat="1" x14ac:dyDescent="0.3"/>
    <row r="8250" customFormat="1" x14ac:dyDescent="0.3"/>
    <row r="8251" customFormat="1" x14ac:dyDescent="0.3"/>
    <row r="8252" customFormat="1" x14ac:dyDescent="0.3"/>
    <row r="8253" customFormat="1" x14ac:dyDescent="0.3"/>
    <row r="8254" customFormat="1" x14ac:dyDescent="0.3"/>
    <row r="8255" customFormat="1" x14ac:dyDescent="0.3"/>
    <row r="8256" customFormat="1" x14ac:dyDescent="0.3"/>
    <row r="8257" customFormat="1" x14ac:dyDescent="0.3"/>
    <row r="8258" customFormat="1" x14ac:dyDescent="0.3"/>
    <row r="8259" customFormat="1" x14ac:dyDescent="0.3"/>
    <row r="8260" customFormat="1" x14ac:dyDescent="0.3"/>
    <row r="8261" customFormat="1" x14ac:dyDescent="0.3"/>
    <row r="8262" customFormat="1" x14ac:dyDescent="0.3"/>
    <row r="8263" customFormat="1" x14ac:dyDescent="0.3"/>
    <row r="8264" customFormat="1" x14ac:dyDescent="0.3"/>
    <row r="8265" customFormat="1" x14ac:dyDescent="0.3"/>
    <row r="8266" customFormat="1" x14ac:dyDescent="0.3"/>
    <row r="8267" customFormat="1" x14ac:dyDescent="0.3"/>
    <row r="8268" customFormat="1" x14ac:dyDescent="0.3"/>
    <row r="8269" customFormat="1" x14ac:dyDescent="0.3"/>
    <row r="8270" customFormat="1" x14ac:dyDescent="0.3"/>
    <row r="8271" customFormat="1" x14ac:dyDescent="0.3"/>
    <row r="8272" customFormat="1" x14ac:dyDescent="0.3"/>
    <row r="8273" customFormat="1" x14ac:dyDescent="0.3"/>
    <row r="8274" customFormat="1" x14ac:dyDescent="0.3"/>
    <row r="8275" customFormat="1" x14ac:dyDescent="0.3"/>
    <row r="8276" customFormat="1" x14ac:dyDescent="0.3"/>
    <row r="8277" customFormat="1" x14ac:dyDescent="0.3"/>
    <row r="8278" customFormat="1" x14ac:dyDescent="0.3"/>
    <row r="8279" customFormat="1" x14ac:dyDescent="0.3"/>
    <row r="8280" customFormat="1" x14ac:dyDescent="0.3"/>
    <row r="8281" customFormat="1" x14ac:dyDescent="0.3"/>
    <row r="8282" customFormat="1" x14ac:dyDescent="0.3"/>
    <row r="8283" customFormat="1" x14ac:dyDescent="0.3"/>
    <row r="8284" customFormat="1" x14ac:dyDescent="0.3"/>
    <row r="8285" customFormat="1" x14ac:dyDescent="0.3"/>
    <row r="8286" customFormat="1" x14ac:dyDescent="0.3"/>
    <row r="8287" customFormat="1" x14ac:dyDescent="0.3"/>
    <row r="8288" customFormat="1" x14ac:dyDescent="0.3"/>
    <row r="8289" customFormat="1" x14ac:dyDescent="0.3"/>
    <row r="8290" customFormat="1" x14ac:dyDescent="0.3"/>
    <row r="8291" customFormat="1" x14ac:dyDescent="0.3"/>
    <row r="8292" customFormat="1" x14ac:dyDescent="0.3"/>
    <row r="8293" customFormat="1" x14ac:dyDescent="0.3"/>
    <row r="8294" customFormat="1" x14ac:dyDescent="0.3"/>
    <row r="8295" customFormat="1" x14ac:dyDescent="0.3"/>
    <row r="8296" customFormat="1" x14ac:dyDescent="0.3"/>
    <row r="8297" customFormat="1" x14ac:dyDescent="0.3"/>
    <row r="8298" customFormat="1" x14ac:dyDescent="0.3"/>
    <row r="8299" customFormat="1" x14ac:dyDescent="0.3"/>
    <row r="8300" customFormat="1" x14ac:dyDescent="0.3"/>
    <row r="8301" customFormat="1" x14ac:dyDescent="0.3"/>
    <row r="8302" customFormat="1" x14ac:dyDescent="0.3"/>
    <row r="8303" customFormat="1" x14ac:dyDescent="0.3"/>
    <row r="8304" customFormat="1" x14ac:dyDescent="0.3"/>
    <row r="8305" customFormat="1" x14ac:dyDescent="0.3"/>
    <row r="8306" customFormat="1" x14ac:dyDescent="0.3"/>
    <row r="8307" customFormat="1" x14ac:dyDescent="0.3"/>
    <row r="8308" customFormat="1" x14ac:dyDescent="0.3"/>
    <row r="8309" customFormat="1" x14ac:dyDescent="0.3"/>
    <row r="8310" customFormat="1" x14ac:dyDescent="0.3"/>
    <row r="8311" customFormat="1" x14ac:dyDescent="0.3"/>
    <row r="8312" customFormat="1" x14ac:dyDescent="0.3"/>
    <row r="8313" customFormat="1" x14ac:dyDescent="0.3"/>
    <row r="8314" customFormat="1" x14ac:dyDescent="0.3"/>
    <row r="8315" customFormat="1" x14ac:dyDescent="0.3"/>
    <row r="8316" customFormat="1" x14ac:dyDescent="0.3"/>
    <row r="8317" customFormat="1" x14ac:dyDescent="0.3"/>
    <row r="8318" customFormat="1" x14ac:dyDescent="0.3"/>
    <row r="8319" customFormat="1" x14ac:dyDescent="0.3"/>
    <row r="8320" customFormat="1" x14ac:dyDescent="0.3"/>
    <row r="8321" customFormat="1" x14ac:dyDescent="0.3"/>
    <row r="8322" customFormat="1" x14ac:dyDescent="0.3"/>
    <row r="8323" customFormat="1" x14ac:dyDescent="0.3"/>
    <row r="8324" customFormat="1" x14ac:dyDescent="0.3"/>
    <row r="8325" customFormat="1" x14ac:dyDescent="0.3"/>
    <row r="8326" customFormat="1" x14ac:dyDescent="0.3"/>
    <row r="8327" customFormat="1" x14ac:dyDescent="0.3"/>
    <row r="8328" customFormat="1" x14ac:dyDescent="0.3"/>
    <row r="8329" customFormat="1" x14ac:dyDescent="0.3"/>
    <row r="8330" customFormat="1" x14ac:dyDescent="0.3"/>
    <row r="8331" customFormat="1" x14ac:dyDescent="0.3"/>
    <row r="8332" customFormat="1" x14ac:dyDescent="0.3"/>
    <row r="8333" customFormat="1" x14ac:dyDescent="0.3"/>
    <row r="8334" customFormat="1" x14ac:dyDescent="0.3"/>
    <row r="8335" customFormat="1" x14ac:dyDescent="0.3"/>
    <row r="8336" customFormat="1" x14ac:dyDescent="0.3"/>
    <row r="8337" customFormat="1" x14ac:dyDescent="0.3"/>
    <row r="8338" customFormat="1" x14ac:dyDescent="0.3"/>
    <row r="8339" customFormat="1" x14ac:dyDescent="0.3"/>
    <row r="8340" customFormat="1" x14ac:dyDescent="0.3"/>
    <row r="8341" customFormat="1" x14ac:dyDescent="0.3"/>
    <row r="8342" customFormat="1" x14ac:dyDescent="0.3"/>
    <row r="8343" customFormat="1" x14ac:dyDescent="0.3"/>
    <row r="8344" customFormat="1" x14ac:dyDescent="0.3"/>
    <row r="8345" customFormat="1" x14ac:dyDescent="0.3"/>
    <row r="8346" customFormat="1" x14ac:dyDescent="0.3"/>
    <row r="8347" customFormat="1" x14ac:dyDescent="0.3"/>
    <row r="8348" customFormat="1" x14ac:dyDescent="0.3"/>
    <row r="8349" customFormat="1" x14ac:dyDescent="0.3"/>
    <row r="8350" customFormat="1" x14ac:dyDescent="0.3"/>
    <row r="8351" customFormat="1" x14ac:dyDescent="0.3"/>
    <row r="8352" customFormat="1" x14ac:dyDescent="0.3"/>
    <row r="8353" customFormat="1" x14ac:dyDescent="0.3"/>
    <row r="8354" customFormat="1" x14ac:dyDescent="0.3"/>
    <row r="8355" customFormat="1" x14ac:dyDescent="0.3"/>
    <row r="8356" customFormat="1" x14ac:dyDescent="0.3"/>
    <row r="8357" customFormat="1" x14ac:dyDescent="0.3"/>
    <row r="8358" customFormat="1" x14ac:dyDescent="0.3"/>
    <row r="8359" customFormat="1" x14ac:dyDescent="0.3"/>
    <row r="8360" customFormat="1" x14ac:dyDescent="0.3"/>
    <row r="8361" customFormat="1" x14ac:dyDescent="0.3"/>
    <row r="8362" customFormat="1" x14ac:dyDescent="0.3"/>
    <row r="8363" customFormat="1" x14ac:dyDescent="0.3"/>
    <row r="8364" customFormat="1" x14ac:dyDescent="0.3"/>
    <row r="8365" customFormat="1" x14ac:dyDescent="0.3"/>
    <row r="8366" customFormat="1" x14ac:dyDescent="0.3"/>
    <row r="8367" customFormat="1" x14ac:dyDescent="0.3"/>
    <row r="8368" customFormat="1" x14ac:dyDescent="0.3"/>
    <row r="8369" customFormat="1" x14ac:dyDescent="0.3"/>
    <row r="8370" customFormat="1" x14ac:dyDescent="0.3"/>
    <row r="8371" customFormat="1" x14ac:dyDescent="0.3"/>
    <row r="8372" customFormat="1" x14ac:dyDescent="0.3"/>
    <row r="8373" customFormat="1" x14ac:dyDescent="0.3"/>
    <row r="8374" customFormat="1" x14ac:dyDescent="0.3"/>
    <row r="8375" customFormat="1" x14ac:dyDescent="0.3"/>
    <row r="8376" customFormat="1" x14ac:dyDescent="0.3"/>
    <row r="8377" customFormat="1" x14ac:dyDescent="0.3"/>
    <row r="8378" customFormat="1" x14ac:dyDescent="0.3"/>
    <row r="8379" customFormat="1" x14ac:dyDescent="0.3"/>
    <row r="8380" customFormat="1" x14ac:dyDescent="0.3"/>
    <row r="8381" customFormat="1" x14ac:dyDescent="0.3"/>
    <row r="8382" customFormat="1" x14ac:dyDescent="0.3"/>
    <row r="8383" customFormat="1" x14ac:dyDescent="0.3"/>
    <row r="8384" customFormat="1" x14ac:dyDescent="0.3"/>
    <row r="8385" customFormat="1" x14ac:dyDescent="0.3"/>
    <row r="8386" customFormat="1" x14ac:dyDescent="0.3"/>
    <row r="8387" customFormat="1" x14ac:dyDescent="0.3"/>
    <row r="8388" customFormat="1" x14ac:dyDescent="0.3"/>
    <row r="8389" customFormat="1" x14ac:dyDescent="0.3"/>
    <row r="8390" customFormat="1" x14ac:dyDescent="0.3"/>
    <row r="8391" customFormat="1" x14ac:dyDescent="0.3"/>
    <row r="8392" customFormat="1" x14ac:dyDescent="0.3"/>
    <row r="8393" customFormat="1" x14ac:dyDescent="0.3"/>
    <row r="8394" customFormat="1" x14ac:dyDescent="0.3"/>
    <row r="8395" customFormat="1" x14ac:dyDescent="0.3"/>
    <row r="8396" customFormat="1" x14ac:dyDescent="0.3"/>
    <row r="8397" customFormat="1" x14ac:dyDescent="0.3"/>
    <row r="8398" customFormat="1" x14ac:dyDescent="0.3"/>
    <row r="8399" customFormat="1" x14ac:dyDescent="0.3"/>
    <row r="8400" customFormat="1" x14ac:dyDescent="0.3"/>
    <row r="8401" customFormat="1" x14ac:dyDescent="0.3"/>
    <row r="8402" customFormat="1" x14ac:dyDescent="0.3"/>
    <row r="8403" customFormat="1" x14ac:dyDescent="0.3"/>
    <row r="8404" customFormat="1" x14ac:dyDescent="0.3"/>
    <row r="8405" customFormat="1" x14ac:dyDescent="0.3"/>
    <row r="8406" customFormat="1" x14ac:dyDescent="0.3"/>
    <row r="8407" customFormat="1" x14ac:dyDescent="0.3"/>
    <row r="8408" customFormat="1" x14ac:dyDescent="0.3"/>
    <row r="8409" customFormat="1" x14ac:dyDescent="0.3"/>
    <row r="8410" customFormat="1" x14ac:dyDescent="0.3"/>
    <row r="8411" customFormat="1" x14ac:dyDescent="0.3"/>
    <row r="8412" customFormat="1" x14ac:dyDescent="0.3"/>
    <row r="8413" customFormat="1" x14ac:dyDescent="0.3"/>
    <row r="8414" customFormat="1" x14ac:dyDescent="0.3"/>
    <row r="8415" customFormat="1" x14ac:dyDescent="0.3"/>
    <row r="8416" customFormat="1" x14ac:dyDescent="0.3"/>
    <row r="8417" customFormat="1" x14ac:dyDescent="0.3"/>
    <row r="8418" customFormat="1" x14ac:dyDescent="0.3"/>
    <row r="8419" customFormat="1" x14ac:dyDescent="0.3"/>
    <row r="8420" customFormat="1" x14ac:dyDescent="0.3"/>
    <row r="8421" customFormat="1" x14ac:dyDescent="0.3"/>
    <row r="8422" customFormat="1" x14ac:dyDescent="0.3"/>
    <row r="8423" customFormat="1" x14ac:dyDescent="0.3"/>
    <row r="8424" customFormat="1" x14ac:dyDescent="0.3"/>
    <row r="8425" customFormat="1" x14ac:dyDescent="0.3"/>
    <row r="8426" customFormat="1" x14ac:dyDescent="0.3"/>
    <row r="8427" customFormat="1" x14ac:dyDescent="0.3"/>
    <row r="8428" customFormat="1" x14ac:dyDescent="0.3"/>
    <row r="8429" customFormat="1" x14ac:dyDescent="0.3"/>
    <row r="8430" customFormat="1" x14ac:dyDescent="0.3"/>
    <row r="8431" customFormat="1" x14ac:dyDescent="0.3"/>
    <row r="8432" customFormat="1" x14ac:dyDescent="0.3"/>
    <row r="8433" customFormat="1" x14ac:dyDescent="0.3"/>
    <row r="8434" customFormat="1" x14ac:dyDescent="0.3"/>
    <row r="8435" customFormat="1" x14ac:dyDescent="0.3"/>
    <row r="8436" customFormat="1" x14ac:dyDescent="0.3"/>
    <row r="8437" customFormat="1" x14ac:dyDescent="0.3"/>
    <row r="8438" customFormat="1" x14ac:dyDescent="0.3"/>
    <row r="8439" customFormat="1" x14ac:dyDescent="0.3"/>
    <row r="8440" customFormat="1" x14ac:dyDescent="0.3"/>
    <row r="8441" customFormat="1" x14ac:dyDescent="0.3"/>
    <row r="8442" customFormat="1" x14ac:dyDescent="0.3"/>
    <row r="8443" customFormat="1" x14ac:dyDescent="0.3"/>
    <row r="8444" customFormat="1" x14ac:dyDescent="0.3"/>
    <row r="8445" customFormat="1" x14ac:dyDescent="0.3"/>
    <row r="8446" customFormat="1" x14ac:dyDescent="0.3"/>
    <row r="8447" customFormat="1" x14ac:dyDescent="0.3"/>
    <row r="8448" customFormat="1" x14ac:dyDescent="0.3"/>
    <row r="8449" customFormat="1" x14ac:dyDescent="0.3"/>
    <row r="8450" customFormat="1" x14ac:dyDescent="0.3"/>
    <row r="8451" customFormat="1" x14ac:dyDescent="0.3"/>
    <row r="8452" customFormat="1" x14ac:dyDescent="0.3"/>
    <row r="8453" customFormat="1" x14ac:dyDescent="0.3"/>
    <row r="8454" customFormat="1" x14ac:dyDescent="0.3"/>
    <row r="8455" customFormat="1" x14ac:dyDescent="0.3"/>
    <row r="8456" customFormat="1" x14ac:dyDescent="0.3"/>
    <row r="8457" customFormat="1" x14ac:dyDescent="0.3"/>
    <row r="8458" customFormat="1" x14ac:dyDescent="0.3"/>
    <row r="8459" customFormat="1" x14ac:dyDescent="0.3"/>
    <row r="8460" customFormat="1" x14ac:dyDescent="0.3"/>
    <row r="8461" customFormat="1" x14ac:dyDescent="0.3"/>
    <row r="8462" customFormat="1" x14ac:dyDescent="0.3"/>
    <row r="8463" customFormat="1" x14ac:dyDescent="0.3"/>
    <row r="8464" customFormat="1" x14ac:dyDescent="0.3"/>
    <row r="8465" customFormat="1" x14ac:dyDescent="0.3"/>
    <row r="8466" customFormat="1" x14ac:dyDescent="0.3"/>
    <row r="8467" customFormat="1" x14ac:dyDescent="0.3"/>
    <row r="8468" customFormat="1" x14ac:dyDescent="0.3"/>
    <row r="8469" customFormat="1" x14ac:dyDescent="0.3"/>
    <row r="8470" customFormat="1" x14ac:dyDescent="0.3"/>
    <row r="8471" customFormat="1" x14ac:dyDescent="0.3"/>
    <row r="8472" customFormat="1" x14ac:dyDescent="0.3"/>
    <row r="8473" customFormat="1" x14ac:dyDescent="0.3"/>
    <row r="8474" customFormat="1" x14ac:dyDescent="0.3"/>
    <row r="8475" customFormat="1" x14ac:dyDescent="0.3"/>
    <row r="8476" customFormat="1" x14ac:dyDescent="0.3"/>
    <row r="8477" customFormat="1" x14ac:dyDescent="0.3"/>
    <row r="8478" customFormat="1" x14ac:dyDescent="0.3"/>
    <row r="8479" customFormat="1" x14ac:dyDescent="0.3"/>
    <row r="8480" customFormat="1" x14ac:dyDescent="0.3"/>
    <row r="8481" customFormat="1" x14ac:dyDescent="0.3"/>
    <row r="8482" customFormat="1" x14ac:dyDescent="0.3"/>
    <row r="8483" customFormat="1" x14ac:dyDescent="0.3"/>
    <row r="8484" customFormat="1" x14ac:dyDescent="0.3"/>
    <row r="8485" customFormat="1" x14ac:dyDescent="0.3"/>
    <row r="8486" customFormat="1" x14ac:dyDescent="0.3"/>
    <row r="8487" customFormat="1" x14ac:dyDescent="0.3"/>
    <row r="8488" customFormat="1" x14ac:dyDescent="0.3"/>
    <row r="8489" customFormat="1" x14ac:dyDescent="0.3"/>
    <row r="8490" customFormat="1" x14ac:dyDescent="0.3"/>
    <row r="8491" customFormat="1" x14ac:dyDescent="0.3"/>
    <row r="8492" customFormat="1" x14ac:dyDescent="0.3"/>
    <row r="8493" customFormat="1" x14ac:dyDescent="0.3"/>
    <row r="8494" customFormat="1" x14ac:dyDescent="0.3"/>
    <row r="8495" customFormat="1" x14ac:dyDescent="0.3"/>
    <row r="8496" customFormat="1" x14ac:dyDescent="0.3"/>
    <row r="8497" customFormat="1" x14ac:dyDescent="0.3"/>
    <row r="8498" customFormat="1" x14ac:dyDescent="0.3"/>
    <row r="8499" customFormat="1" x14ac:dyDescent="0.3"/>
    <row r="8500" customFormat="1" x14ac:dyDescent="0.3"/>
    <row r="8501" customFormat="1" x14ac:dyDescent="0.3"/>
    <row r="8502" customFormat="1" x14ac:dyDescent="0.3"/>
    <row r="8503" customFormat="1" x14ac:dyDescent="0.3"/>
    <row r="8504" customFormat="1" x14ac:dyDescent="0.3"/>
    <row r="8505" customFormat="1" x14ac:dyDescent="0.3"/>
    <row r="8506" customFormat="1" x14ac:dyDescent="0.3"/>
    <row r="8507" customFormat="1" x14ac:dyDescent="0.3"/>
    <row r="8508" customFormat="1" x14ac:dyDescent="0.3"/>
    <row r="8509" customFormat="1" x14ac:dyDescent="0.3"/>
    <row r="8510" customFormat="1" x14ac:dyDescent="0.3"/>
    <row r="8511" customFormat="1" x14ac:dyDescent="0.3"/>
    <row r="8512" customFormat="1" x14ac:dyDescent="0.3"/>
    <row r="8513" customFormat="1" x14ac:dyDescent="0.3"/>
    <row r="8514" customFormat="1" x14ac:dyDescent="0.3"/>
    <row r="8515" customFormat="1" x14ac:dyDescent="0.3"/>
    <row r="8516" customFormat="1" x14ac:dyDescent="0.3"/>
    <row r="8517" customFormat="1" x14ac:dyDescent="0.3"/>
    <row r="8518" customFormat="1" x14ac:dyDescent="0.3"/>
    <row r="8519" customFormat="1" x14ac:dyDescent="0.3"/>
    <row r="8520" customFormat="1" x14ac:dyDescent="0.3"/>
    <row r="8521" customFormat="1" x14ac:dyDescent="0.3"/>
    <row r="8522" customFormat="1" x14ac:dyDescent="0.3"/>
    <row r="8523" customFormat="1" x14ac:dyDescent="0.3"/>
    <row r="8524" customFormat="1" x14ac:dyDescent="0.3"/>
    <row r="8525" customFormat="1" x14ac:dyDescent="0.3"/>
    <row r="8526" customFormat="1" x14ac:dyDescent="0.3"/>
    <row r="8527" customFormat="1" x14ac:dyDescent="0.3"/>
    <row r="8528" customFormat="1" x14ac:dyDescent="0.3"/>
    <row r="8529" customFormat="1" x14ac:dyDescent="0.3"/>
    <row r="8530" customFormat="1" x14ac:dyDescent="0.3"/>
    <row r="8531" customFormat="1" x14ac:dyDescent="0.3"/>
    <row r="8532" customFormat="1" x14ac:dyDescent="0.3"/>
    <row r="8533" customFormat="1" x14ac:dyDescent="0.3"/>
    <row r="8534" customFormat="1" x14ac:dyDescent="0.3"/>
    <row r="8535" customFormat="1" x14ac:dyDescent="0.3"/>
    <row r="8536" customFormat="1" x14ac:dyDescent="0.3"/>
    <row r="8537" customFormat="1" x14ac:dyDescent="0.3"/>
    <row r="8538" customFormat="1" x14ac:dyDescent="0.3"/>
    <row r="8539" customFormat="1" x14ac:dyDescent="0.3"/>
    <row r="8540" customFormat="1" x14ac:dyDescent="0.3"/>
    <row r="8541" customFormat="1" x14ac:dyDescent="0.3"/>
    <row r="8542" customFormat="1" x14ac:dyDescent="0.3"/>
    <row r="8543" customFormat="1" x14ac:dyDescent="0.3"/>
    <row r="8544" customFormat="1" x14ac:dyDescent="0.3"/>
    <row r="8545" customFormat="1" x14ac:dyDescent="0.3"/>
    <row r="8546" customFormat="1" x14ac:dyDescent="0.3"/>
    <row r="8547" customFormat="1" x14ac:dyDescent="0.3"/>
    <row r="8548" customFormat="1" x14ac:dyDescent="0.3"/>
    <row r="8549" customFormat="1" x14ac:dyDescent="0.3"/>
    <row r="8550" customFormat="1" x14ac:dyDescent="0.3"/>
    <row r="8551" customFormat="1" x14ac:dyDescent="0.3"/>
    <row r="8552" customFormat="1" x14ac:dyDescent="0.3"/>
    <row r="8553" customFormat="1" x14ac:dyDescent="0.3"/>
    <row r="8554" customFormat="1" x14ac:dyDescent="0.3"/>
    <row r="8555" customFormat="1" x14ac:dyDescent="0.3"/>
    <row r="8556" customFormat="1" x14ac:dyDescent="0.3"/>
    <row r="8557" customFormat="1" x14ac:dyDescent="0.3"/>
    <row r="8558" customFormat="1" x14ac:dyDescent="0.3"/>
    <row r="8559" customFormat="1" x14ac:dyDescent="0.3"/>
    <row r="8560" customFormat="1" x14ac:dyDescent="0.3"/>
    <row r="8561" customFormat="1" x14ac:dyDescent="0.3"/>
    <row r="8562" customFormat="1" x14ac:dyDescent="0.3"/>
    <row r="8563" customFormat="1" x14ac:dyDescent="0.3"/>
    <row r="8564" customFormat="1" x14ac:dyDescent="0.3"/>
    <row r="8565" customFormat="1" x14ac:dyDescent="0.3"/>
    <row r="8566" customFormat="1" x14ac:dyDescent="0.3"/>
    <row r="8567" customFormat="1" x14ac:dyDescent="0.3"/>
    <row r="8568" customFormat="1" x14ac:dyDescent="0.3"/>
    <row r="8569" customFormat="1" x14ac:dyDescent="0.3"/>
    <row r="8570" customFormat="1" x14ac:dyDescent="0.3"/>
    <row r="8571" customFormat="1" x14ac:dyDescent="0.3"/>
    <row r="8572" customFormat="1" x14ac:dyDescent="0.3"/>
    <row r="8573" customFormat="1" x14ac:dyDescent="0.3"/>
    <row r="8574" customFormat="1" x14ac:dyDescent="0.3"/>
    <row r="8575" customFormat="1" x14ac:dyDescent="0.3"/>
    <row r="8576" customFormat="1" x14ac:dyDescent="0.3"/>
    <row r="8577" customFormat="1" x14ac:dyDescent="0.3"/>
    <row r="8578" customFormat="1" x14ac:dyDescent="0.3"/>
    <row r="8579" customFormat="1" x14ac:dyDescent="0.3"/>
    <row r="8580" customFormat="1" x14ac:dyDescent="0.3"/>
    <row r="8581" customFormat="1" x14ac:dyDescent="0.3"/>
    <row r="8582" customFormat="1" x14ac:dyDescent="0.3"/>
    <row r="8583" customFormat="1" x14ac:dyDescent="0.3"/>
    <row r="8584" customFormat="1" x14ac:dyDescent="0.3"/>
    <row r="8585" customFormat="1" x14ac:dyDescent="0.3"/>
    <row r="8586" customFormat="1" x14ac:dyDescent="0.3"/>
    <row r="8587" customFormat="1" x14ac:dyDescent="0.3"/>
    <row r="8588" customFormat="1" x14ac:dyDescent="0.3"/>
    <row r="8589" customFormat="1" x14ac:dyDescent="0.3"/>
    <row r="8590" customFormat="1" x14ac:dyDescent="0.3"/>
    <row r="8591" customFormat="1" x14ac:dyDescent="0.3"/>
    <row r="8592" customFormat="1" x14ac:dyDescent="0.3"/>
    <row r="8593" customFormat="1" x14ac:dyDescent="0.3"/>
    <row r="8594" customFormat="1" x14ac:dyDescent="0.3"/>
    <row r="8595" customFormat="1" x14ac:dyDescent="0.3"/>
    <row r="8596" customFormat="1" x14ac:dyDescent="0.3"/>
    <row r="8597" customFormat="1" x14ac:dyDescent="0.3"/>
    <row r="8598" customFormat="1" x14ac:dyDescent="0.3"/>
    <row r="8599" customFormat="1" x14ac:dyDescent="0.3"/>
    <row r="8600" customFormat="1" x14ac:dyDescent="0.3"/>
    <row r="8601" customFormat="1" x14ac:dyDescent="0.3"/>
    <row r="8602" customFormat="1" x14ac:dyDescent="0.3"/>
    <row r="8603" customFormat="1" x14ac:dyDescent="0.3"/>
    <row r="8604" customFormat="1" x14ac:dyDescent="0.3"/>
    <row r="8605" customFormat="1" x14ac:dyDescent="0.3"/>
    <row r="8606" customFormat="1" x14ac:dyDescent="0.3"/>
    <row r="8607" customFormat="1" x14ac:dyDescent="0.3"/>
    <row r="8608" customFormat="1" x14ac:dyDescent="0.3"/>
    <row r="8609" customFormat="1" x14ac:dyDescent="0.3"/>
    <row r="8610" customFormat="1" x14ac:dyDescent="0.3"/>
    <row r="8611" customFormat="1" x14ac:dyDescent="0.3"/>
    <row r="8612" customFormat="1" x14ac:dyDescent="0.3"/>
    <row r="8613" customFormat="1" x14ac:dyDescent="0.3"/>
    <row r="8614" customFormat="1" x14ac:dyDescent="0.3"/>
    <row r="8615" customFormat="1" x14ac:dyDescent="0.3"/>
    <row r="8616" customFormat="1" x14ac:dyDescent="0.3"/>
    <row r="8617" customFormat="1" x14ac:dyDescent="0.3"/>
    <row r="8618" customFormat="1" x14ac:dyDescent="0.3"/>
    <row r="8619" customFormat="1" x14ac:dyDescent="0.3"/>
    <row r="8620" customFormat="1" x14ac:dyDescent="0.3"/>
    <row r="8621" customFormat="1" x14ac:dyDescent="0.3"/>
    <row r="8622" customFormat="1" x14ac:dyDescent="0.3"/>
    <row r="8623" customFormat="1" x14ac:dyDescent="0.3"/>
    <row r="8624" customFormat="1" x14ac:dyDescent="0.3"/>
    <row r="8625" customFormat="1" x14ac:dyDescent="0.3"/>
    <row r="8626" customFormat="1" x14ac:dyDescent="0.3"/>
    <row r="8627" customFormat="1" x14ac:dyDescent="0.3"/>
    <row r="8628" customFormat="1" x14ac:dyDescent="0.3"/>
    <row r="8629" customFormat="1" x14ac:dyDescent="0.3"/>
    <row r="8630" customFormat="1" x14ac:dyDescent="0.3"/>
    <row r="8631" customFormat="1" x14ac:dyDescent="0.3"/>
    <row r="8632" customFormat="1" x14ac:dyDescent="0.3"/>
    <row r="8633" customFormat="1" x14ac:dyDescent="0.3"/>
    <row r="8634" customFormat="1" x14ac:dyDescent="0.3"/>
    <row r="8635" customFormat="1" x14ac:dyDescent="0.3"/>
    <row r="8636" customFormat="1" x14ac:dyDescent="0.3"/>
    <row r="8637" customFormat="1" x14ac:dyDescent="0.3"/>
    <row r="8638" customFormat="1" x14ac:dyDescent="0.3"/>
    <row r="8639" customFormat="1" x14ac:dyDescent="0.3"/>
    <row r="8640" customFormat="1" x14ac:dyDescent="0.3"/>
    <row r="8641" customFormat="1" x14ac:dyDescent="0.3"/>
    <row r="8642" customFormat="1" x14ac:dyDescent="0.3"/>
    <row r="8643" customFormat="1" x14ac:dyDescent="0.3"/>
    <row r="8644" customFormat="1" x14ac:dyDescent="0.3"/>
    <row r="8645" customFormat="1" x14ac:dyDescent="0.3"/>
    <row r="8646" customFormat="1" x14ac:dyDescent="0.3"/>
    <row r="8647" customFormat="1" x14ac:dyDescent="0.3"/>
    <row r="8648" customFormat="1" x14ac:dyDescent="0.3"/>
    <row r="8649" customFormat="1" x14ac:dyDescent="0.3"/>
    <row r="8650" customFormat="1" x14ac:dyDescent="0.3"/>
    <row r="8651" customFormat="1" x14ac:dyDescent="0.3"/>
    <row r="8652" customFormat="1" x14ac:dyDescent="0.3"/>
    <row r="8653" customFormat="1" x14ac:dyDescent="0.3"/>
    <row r="8654" customFormat="1" x14ac:dyDescent="0.3"/>
    <row r="8655" customFormat="1" x14ac:dyDescent="0.3"/>
    <row r="8656" customFormat="1" x14ac:dyDescent="0.3"/>
    <row r="8657" customFormat="1" x14ac:dyDescent="0.3"/>
    <row r="8658" customFormat="1" x14ac:dyDescent="0.3"/>
    <row r="8659" customFormat="1" x14ac:dyDescent="0.3"/>
    <row r="8660" customFormat="1" x14ac:dyDescent="0.3"/>
    <row r="8661" customFormat="1" x14ac:dyDescent="0.3"/>
    <row r="8662" customFormat="1" x14ac:dyDescent="0.3"/>
    <row r="8663" customFormat="1" x14ac:dyDescent="0.3"/>
    <row r="8664" customFormat="1" x14ac:dyDescent="0.3"/>
    <row r="8665" customFormat="1" x14ac:dyDescent="0.3"/>
    <row r="8666" customFormat="1" x14ac:dyDescent="0.3"/>
    <row r="8667" customFormat="1" x14ac:dyDescent="0.3"/>
    <row r="8668" customFormat="1" x14ac:dyDescent="0.3"/>
    <row r="8669" customFormat="1" x14ac:dyDescent="0.3"/>
    <row r="8670" customFormat="1" x14ac:dyDescent="0.3"/>
    <row r="8671" customFormat="1" x14ac:dyDescent="0.3"/>
    <row r="8672" customFormat="1" x14ac:dyDescent="0.3"/>
    <row r="8673" customFormat="1" x14ac:dyDescent="0.3"/>
    <row r="8674" customFormat="1" x14ac:dyDescent="0.3"/>
    <row r="8675" customFormat="1" x14ac:dyDescent="0.3"/>
    <row r="8676" customFormat="1" x14ac:dyDescent="0.3"/>
    <row r="8677" customFormat="1" x14ac:dyDescent="0.3"/>
    <row r="8678" customFormat="1" x14ac:dyDescent="0.3"/>
    <row r="8679" customFormat="1" x14ac:dyDescent="0.3"/>
    <row r="8680" customFormat="1" x14ac:dyDescent="0.3"/>
    <row r="8681" customFormat="1" x14ac:dyDescent="0.3"/>
    <row r="8682" customFormat="1" x14ac:dyDescent="0.3"/>
    <row r="8683" customFormat="1" x14ac:dyDescent="0.3"/>
    <row r="8684" customFormat="1" x14ac:dyDescent="0.3"/>
    <row r="8685" customFormat="1" x14ac:dyDescent="0.3"/>
    <row r="8686" customFormat="1" x14ac:dyDescent="0.3"/>
    <row r="8687" customFormat="1" x14ac:dyDescent="0.3"/>
    <row r="8688" customFormat="1" x14ac:dyDescent="0.3"/>
    <row r="8689" customFormat="1" x14ac:dyDescent="0.3"/>
    <row r="8690" customFormat="1" x14ac:dyDescent="0.3"/>
    <row r="8691" customFormat="1" x14ac:dyDescent="0.3"/>
    <row r="8692" customFormat="1" x14ac:dyDescent="0.3"/>
    <row r="8693" customFormat="1" x14ac:dyDescent="0.3"/>
    <row r="8694" customFormat="1" x14ac:dyDescent="0.3"/>
    <row r="8695" customFormat="1" x14ac:dyDescent="0.3"/>
    <row r="8696" customFormat="1" x14ac:dyDescent="0.3"/>
    <row r="8697" customFormat="1" x14ac:dyDescent="0.3"/>
    <row r="8698" customFormat="1" x14ac:dyDescent="0.3"/>
    <row r="8699" customFormat="1" x14ac:dyDescent="0.3"/>
    <row r="8700" customFormat="1" x14ac:dyDescent="0.3"/>
    <row r="8701" customFormat="1" x14ac:dyDescent="0.3"/>
    <row r="8702" customFormat="1" x14ac:dyDescent="0.3"/>
    <row r="8703" customFormat="1" x14ac:dyDescent="0.3"/>
    <row r="8704" customFormat="1" x14ac:dyDescent="0.3"/>
    <row r="8705" customFormat="1" x14ac:dyDescent="0.3"/>
    <row r="8706" customFormat="1" x14ac:dyDescent="0.3"/>
    <row r="8707" customFormat="1" x14ac:dyDescent="0.3"/>
    <row r="8708" customFormat="1" x14ac:dyDescent="0.3"/>
    <row r="8709" customFormat="1" x14ac:dyDescent="0.3"/>
    <row r="8710" customFormat="1" x14ac:dyDescent="0.3"/>
    <row r="8711" customFormat="1" x14ac:dyDescent="0.3"/>
    <row r="8712" customFormat="1" x14ac:dyDescent="0.3"/>
    <row r="8713" customFormat="1" x14ac:dyDescent="0.3"/>
    <row r="8714" customFormat="1" x14ac:dyDescent="0.3"/>
    <row r="8715" customFormat="1" x14ac:dyDescent="0.3"/>
    <row r="8716" customFormat="1" x14ac:dyDescent="0.3"/>
    <row r="8717" customFormat="1" x14ac:dyDescent="0.3"/>
    <row r="8718" customFormat="1" x14ac:dyDescent="0.3"/>
    <row r="8719" customFormat="1" x14ac:dyDescent="0.3"/>
    <row r="8720" customFormat="1" x14ac:dyDescent="0.3"/>
    <row r="8721" customFormat="1" x14ac:dyDescent="0.3"/>
    <row r="8722" customFormat="1" x14ac:dyDescent="0.3"/>
    <row r="8723" customFormat="1" x14ac:dyDescent="0.3"/>
    <row r="8724" customFormat="1" x14ac:dyDescent="0.3"/>
    <row r="8725" customFormat="1" x14ac:dyDescent="0.3"/>
    <row r="8726" customFormat="1" x14ac:dyDescent="0.3"/>
    <row r="8727" customFormat="1" x14ac:dyDescent="0.3"/>
    <row r="8728" customFormat="1" x14ac:dyDescent="0.3"/>
    <row r="8729" customFormat="1" x14ac:dyDescent="0.3"/>
    <row r="8730" customFormat="1" x14ac:dyDescent="0.3"/>
    <row r="8731" customFormat="1" x14ac:dyDescent="0.3"/>
    <row r="8732" customFormat="1" x14ac:dyDescent="0.3"/>
    <row r="8733" customFormat="1" x14ac:dyDescent="0.3"/>
    <row r="8734" customFormat="1" x14ac:dyDescent="0.3"/>
    <row r="8735" customFormat="1" x14ac:dyDescent="0.3"/>
    <row r="8736" customFormat="1" x14ac:dyDescent="0.3"/>
    <row r="8737" customFormat="1" x14ac:dyDescent="0.3"/>
    <row r="8738" customFormat="1" x14ac:dyDescent="0.3"/>
    <row r="8739" customFormat="1" x14ac:dyDescent="0.3"/>
    <row r="8740" customFormat="1" x14ac:dyDescent="0.3"/>
    <row r="8741" customFormat="1" x14ac:dyDescent="0.3"/>
    <row r="8742" customFormat="1" x14ac:dyDescent="0.3"/>
    <row r="8743" customFormat="1" x14ac:dyDescent="0.3"/>
    <row r="8744" customFormat="1" x14ac:dyDescent="0.3"/>
    <row r="8745" customFormat="1" x14ac:dyDescent="0.3"/>
    <row r="8746" customFormat="1" x14ac:dyDescent="0.3"/>
    <row r="8747" customFormat="1" x14ac:dyDescent="0.3"/>
    <row r="8748" customFormat="1" x14ac:dyDescent="0.3"/>
    <row r="8749" customFormat="1" x14ac:dyDescent="0.3"/>
    <row r="8750" customFormat="1" x14ac:dyDescent="0.3"/>
    <row r="8751" customFormat="1" x14ac:dyDescent="0.3"/>
    <row r="8752" customFormat="1" x14ac:dyDescent="0.3"/>
    <row r="8753" customFormat="1" x14ac:dyDescent="0.3"/>
    <row r="8754" customFormat="1" x14ac:dyDescent="0.3"/>
    <row r="8755" customFormat="1" x14ac:dyDescent="0.3"/>
    <row r="8756" customFormat="1" x14ac:dyDescent="0.3"/>
    <row r="8757" customFormat="1" x14ac:dyDescent="0.3"/>
    <row r="8758" customFormat="1" x14ac:dyDescent="0.3"/>
    <row r="8759" customFormat="1" x14ac:dyDescent="0.3"/>
    <row r="8760" customFormat="1" x14ac:dyDescent="0.3"/>
    <row r="8761" customFormat="1" x14ac:dyDescent="0.3"/>
    <row r="8762" customFormat="1" x14ac:dyDescent="0.3"/>
    <row r="8763" customFormat="1" x14ac:dyDescent="0.3"/>
    <row r="8764" customFormat="1" x14ac:dyDescent="0.3"/>
    <row r="8765" customFormat="1" x14ac:dyDescent="0.3"/>
    <row r="8766" customFormat="1" x14ac:dyDescent="0.3"/>
    <row r="8767" customFormat="1" x14ac:dyDescent="0.3"/>
    <row r="8768" customFormat="1" x14ac:dyDescent="0.3"/>
    <row r="8769" customFormat="1" x14ac:dyDescent="0.3"/>
    <row r="8770" customFormat="1" x14ac:dyDescent="0.3"/>
    <row r="8771" customFormat="1" x14ac:dyDescent="0.3"/>
    <row r="8772" customFormat="1" x14ac:dyDescent="0.3"/>
    <row r="8773" customFormat="1" x14ac:dyDescent="0.3"/>
    <row r="8774" customFormat="1" x14ac:dyDescent="0.3"/>
    <row r="8775" customFormat="1" x14ac:dyDescent="0.3"/>
    <row r="8776" customFormat="1" x14ac:dyDescent="0.3"/>
    <row r="8777" customFormat="1" x14ac:dyDescent="0.3"/>
    <row r="8778" customFormat="1" x14ac:dyDescent="0.3"/>
    <row r="8779" customFormat="1" x14ac:dyDescent="0.3"/>
    <row r="8780" customFormat="1" x14ac:dyDescent="0.3"/>
    <row r="8781" customFormat="1" x14ac:dyDescent="0.3"/>
    <row r="8782" customFormat="1" x14ac:dyDescent="0.3"/>
    <row r="8783" customFormat="1" x14ac:dyDescent="0.3"/>
    <row r="8784" customFormat="1" x14ac:dyDescent="0.3"/>
    <row r="8785" customFormat="1" x14ac:dyDescent="0.3"/>
    <row r="8786" customFormat="1" x14ac:dyDescent="0.3"/>
    <row r="8787" customFormat="1" x14ac:dyDescent="0.3"/>
    <row r="8788" customFormat="1" x14ac:dyDescent="0.3"/>
    <row r="8789" customFormat="1" x14ac:dyDescent="0.3"/>
    <row r="8790" customFormat="1" x14ac:dyDescent="0.3"/>
    <row r="8791" customFormat="1" x14ac:dyDescent="0.3"/>
    <row r="8792" customFormat="1" x14ac:dyDescent="0.3"/>
    <row r="8793" customFormat="1" x14ac:dyDescent="0.3"/>
    <row r="8794" customFormat="1" x14ac:dyDescent="0.3"/>
    <row r="8795" customFormat="1" x14ac:dyDescent="0.3"/>
    <row r="8796" customFormat="1" x14ac:dyDescent="0.3"/>
    <row r="8797" customFormat="1" x14ac:dyDescent="0.3"/>
    <row r="8798" customFormat="1" x14ac:dyDescent="0.3"/>
    <row r="8799" customFormat="1" x14ac:dyDescent="0.3"/>
    <row r="8800" customFormat="1" x14ac:dyDescent="0.3"/>
    <row r="8801" customFormat="1" x14ac:dyDescent="0.3"/>
    <row r="8802" customFormat="1" x14ac:dyDescent="0.3"/>
    <row r="8803" customFormat="1" x14ac:dyDescent="0.3"/>
    <row r="8804" customFormat="1" x14ac:dyDescent="0.3"/>
    <row r="8805" customFormat="1" x14ac:dyDescent="0.3"/>
    <row r="8806" customFormat="1" x14ac:dyDescent="0.3"/>
    <row r="8807" customFormat="1" x14ac:dyDescent="0.3"/>
    <row r="8808" customFormat="1" x14ac:dyDescent="0.3"/>
    <row r="8809" customFormat="1" x14ac:dyDescent="0.3"/>
    <row r="8810" customFormat="1" x14ac:dyDescent="0.3"/>
    <row r="8811" customFormat="1" x14ac:dyDescent="0.3"/>
    <row r="8812" customFormat="1" x14ac:dyDescent="0.3"/>
    <row r="8813" customFormat="1" x14ac:dyDescent="0.3"/>
    <row r="8814" customFormat="1" x14ac:dyDescent="0.3"/>
    <row r="8815" customFormat="1" x14ac:dyDescent="0.3"/>
    <row r="8816" customFormat="1" x14ac:dyDescent="0.3"/>
    <row r="8817" customFormat="1" x14ac:dyDescent="0.3"/>
    <row r="8818" customFormat="1" x14ac:dyDescent="0.3"/>
    <row r="8819" customFormat="1" x14ac:dyDescent="0.3"/>
    <row r="8820" customFormat="1" x14ac:dyDescent="0.3"/>
    <row r="8821" customFormat="1" x14ac:dyDescent="0.3"/>
    <row r="8822" customFormat="1" x14ac:dyDescent="0.3"/>
    <row r="8823" customFormat="1" x14ac:dyDescent="0.3"/>
    <row r="8824" customFormat="1" x14ac:dyDescent="0.3"/>
    <row r="8825" customFormat="1" x14ac:dyDescent="0.3"/>
    <row r="8826" customFormat="1" x14ac:dyDescent="0.3"/>
    <row r="8827" customFormat="1" x14ac:dyDescent="0.3"/>
    <row r="8828" customFormat="1" x14ac:dyDescent="0.3"/>
    <row r="8829" customFormat="1" x14ac:dyDescent="0.3"/>
    <row r="8830" customFormat="1" x14ac:dyDescent="0.3"/>
    <row r="8831" customFormat="1" x14ac:dyDescent="0.3"/>
    <row r="8832" customFormat="1" x14ac:dyDescent="0.3"/>
    <row r="8833" customFormat="1" x14ac:dyDescent="0.3"/>
    <row r="8834" customFormat="1" x14ac:dyDescent="0.3"/>
    <row r="8835" customFormat="1" x14ac:dyDescent="0.3"/>
    <row r="8836" customFormat="1" x14ac:dyDescent="0.3"/>
    <row r="8837" customFormat="1" x14ac:dyDescent="0.3"/>
    <row r="8838" customFormat="1" x14ac:dyDescent="0.3"/>
    <row r="8839" customFormat="1" x14ac:dyDescent="0.3"/>
    <row r="8840" customFormat="1" x14ac:dyDescent="0.3"/>
    <row r="8841" customFormat="1" x14ac:dyDescent="0.3"/>
    <row r="8842" customFormat="1" x14ac:dyDescent="0.3"/>
    <row r="8843" customFormat="1" x14ac:dyDescent="0.3"/>
    <row r="8844" customFormat="1" x14ac:dyDescent="0.3"/>
    <row r="8845" customFormat="1" x14ac:dyDescent="0.3"/>
    <row r="8846" customFormat="1" x14ac:dyDescent="0.3"/>
    <row r="8847" customFormat="1" x14ac:dyDescent="0.3"/>
    <row r="8848" customFormat="1" x14ac:dyDescent="0.3"/>
    <row r="8849" customFormat="1" x14ac:dyDescent="0.3"/>
    <row r="8850" customFormat="1" x14ac:dyDescent="0.3"/>
    <row r="8851" customFormat="1" x14ac:dyDescent="0.3"/>
    <row r="8852" customFormat="1" x14ac:dyDescent="0.3"/>
    <row r="8853" customFormat="1" x14ac:dyDescent="0.3"/>
    <row r="8854" customFormat="1" x14ac:dyDescent="0.3"/>
    <row r="8855" customFormat="1" x14ac:dyDescent="0.3"/>
    <row r="8856" customFormat="1" x14ac:dyDescent="0.3"/>
    <row r="8857" customFormat="1" x14ac:dyDescent="0.3"/>
    <row r="8858" customFormat="1" x14ac:dyDescent="0.3"/>
    <row r="8859" customFormat="1" x14ac:dyDescent="0.3"/>
    <row r="8860" customFormat="1" x14ac:dyDescent="0.3"/>
    <row r="8861" customFormat="1" x14ac:dyDescent="0.3"/>
    <row r="8862" customFormat="1" x14ac:dyDescent="0.3"/>
    <row r="8863" customFormat="1" x14ac:dyDescent="0.3"/>
    <row r="8864" customFormat="1" x14ac:dyDescent="0.3"/>
    <row r="8865" customFormat="1" x14ac:dyDescent="0.3"/>
    <row r="8866" customFormat="1" x14ac:dyDescent="0.3"/>
    <row r="8867" customFormat="1" x14ac:dyDescent="0.3"/>
    <row r="8868" customFormat="1" x14ac:dyDescent="0.3"/>
    <row r="8869" customFormat="1" x14ac:dyDescent="0.3"/>
    <row r="8870" customFormat="1" x14ac:dyDescent="0.3"/>
    <row r="8871" customFormat="1" x14ac:dyDescent="0.3"/>
    <row r="8872" customFormat="1" x14ac:dyDescent="0.3"/>
    <row r="8873" customFormat="1" x14ac:dyDescent="0.3"/>
    <row r="8874" customFormat="1" x14ac:dyDescent="0.3"/>
    <row r="8875" customFormat="1" x14ac:dyDescent="0.3"/>
    <row r="8876" customFormat="1" x14ac:dyDescent="0.3"/>
    <row r="8877" customFormat="1" x14ac:dyDescent="0.3"/>
    <row r="8878" customFormat="1" x14ac:dyDescent="0.3"/>
    <row r="8879" customFormat="1" x14ac:dyDescent="0.3"/>
    <row r="8880" customFormat="1" x14ac:dyDescent="0.3"/>
    <row r="8881" customFormat="1" x14ac:dyDescent="0.3"/>
    <row r="8882" customFormat="1" x14ac:dyDescent="0.3"/>
    <row r="8883" customFormat="1" x14ac:dyDescent="0.3"/>
    <row r="8884" customFormat="1" x14ac:dyDescent="0.3"/>
    <row r="8885" customFormat="1" x14ac:dyDescent="0.3"/>
    <row r="8886" customFormat="1" x14ac:dyDescent="0.3"/>
    <row r="8887" customFormat="1" x14ac:dyDescent="0.3"/>
    <row r="8888" customFormat="1" x14ac:dyDescent="0.3"/>
    <row r="8889" customFormat="1" x14ac:dyDescent="0.3"/>
    <row r="8890" customFormat="1" x14ac:dyDescent="0.3"/>
    <row r="8891" customFormat="1" x14ac:dyDescent="0.3"/>
    <row r="8892" customFormat="1" x14ac:dyDescent="0.3"/>
    <row r="8893" customFormat="1" x14ac:dyDescent="0.3"/>
    <row r="8894" customFormat="1" x14ac:dyDescent="0.3"/>
    <row r="8895" customFormat="1" x14ac:dyDescent="0.3"/>
    <row r="8896" customFormat="1" x14ac:dyDescent="0.3"/>
    <row r="8897" customFormat="1" x14ac:dyDescent="0.3"/>
    <row r="8898" customFormat="1" x14ac:dyDescent="0.3"/>
    <row r="8899" customFormat="1" x14ac:dyDescent="0.3"/>
    <row r="8900" customFormat="1" x14ac:dyDescent="0.3"/>
    <row r="8901" customFormat="1" x14ac:dyDescent="0.3"/>
    <row r="8902" customFormat="1" x14ac:dyDescent="0.3"/>
    <row r="8903" customFormat="1" x14ac:dyDescent="0.3"/>
    <row r="8904" customFormat="1" x14ac:dyDescent="0.3"/>
    <row r="8905" customFormat="1" x14ac:dyDescent="0.3"/>
    <row r="8906" customFormat="1" x14ac:dyDescent="0.3"/>
    <row r="8907" customFormat="1" x14ac:dyDescent="0.3"/>
    <row r="8908" customFormat="1" x14ac:dyDescent="0.3"/>
    <row r="8909" customFormat="1" x14ac:dyDescent="0.3"/>
    <row r="8910" customFormat="1" x14ac:dyDescent="0.3"/>
    <row r="8911" customFormat="1" x14ac:dyDescent="0.3"/>
    <row r="8912" customFormat="1" x14ac:dyDescent="0.3"/>
    <row r="8913" customFormat="1" x14ac:dyDescent="0.3"/>
    <row r="8914" customFormat="1" x14ac:dyDescent="0.3"/>
    <row r="8915" customFormat="1" x14ac:dyDescent="0.3"/>
    <row r="8916" customFormat="1" x14ac:dyDescent="0.3"/>
    <row r="8917" customFormat="1" x14ac:dyDescent="0.3"/>
    <row r="8918" customFormat="1" x14ac:dyDescent="0.3"/>
    <row r="8919" customFormat="1" x14ac:dyDescent="0.3"/>
    <row r="8920" customFormat="1" x14ac:dyDescent="0.3"/>
    <row r="8921" customFormat="1" x14ac:dyDescent="0.3"/>
    <row r="8922" customFormat="1" x14ac:dyDescent="0.3"/>
    <row r="8923" customFormat="1" x14ac:dyDescent="0.3"/>
    <row r="8924" customFormat="1" x14ac:dyDescent="0.3"/>
    <row r="8925" customFormat="1" x14ac:dyDescent="0.3"/>
    <row r="8926" customFormat="1" x14ac:dyDescent="0.3"/>
    <row r="8927" customFormat="1" x14ac:dyDescent="0.3"/>
    <row r="8928" customFormat="1" x14ac:dyDescent="0.3"/>
    <row r="8929" customFormat="1" x14ac:dyDescent="0.3"/>
    <row r="8930" customFormat="1" x14ac:dyDescent="0.3"/>
    <row r="8931" customFormat="1" x14ac:dyDescent="0.3"/>
    <row r="8932" customFormat="1" x14ac:dyDescent="0.3"/>
    <row r="8933" customFormat="1" x14ac:dyDescent="0.3"/>
    <row r="8934" customFormat="1" x14ac:dyDescent="0.3"/>
    <row r="8935" customFormat="1" x14ac:dyDescent="0.3"/>
    <row r="8936" customFormat="1" x14ac:dyDescent="0.3"/>
    <row r="8937" customFormat="1" x14ac:dyDescent="0.3"/>
    <row r="8938" customFormat="1" x14ac:dyDescent="0.3"/>
    <row r="8939" customFormat="1" x14ac:dyDescent="0.3"/>
    <row r="8940" customFormat="1" x14ac:dyDescent="0.3"/>
    <row r="8941" customFormat="1" x14ac:dyDescent="0.3"/>
    <row r="8942" customFormat="1" x14ac:dyDescent="0.3"/>
    <row r="8943" customFormat="1" x14ac:dyDescent="0.3"/>
    <row r="8944" customFormat="1" x14ac:dyDescent="0.3"/>
    <row r="8945" customFormat="1" x14ac:dyDescent="0.3"/>
    <row r="8946" customFormat="1" x14ac:dyDescent="0.3"/>
    <row r="8947" customFormat="1" x14ac:dyDescent="0.3"/>
    <row r="8948" customFormat="1" x14ac:dyDescent="0.3"/>
    <row r="8949" customFormat="1" x14ac:dyDescent="0.3"/>
    <row r="8950" customFormat="1" x14ac:dyDescent="0.3"/>
    <row r="8951" customFormat="1" x14ac:dyDescent="0.3"/>
    <row r="8952" customFormat="1" x14ac:dyDescent="0.3"/>
    <row r="8953" customFormat="1" x14ac:dyDescent="0.3"/>
    <row r="8954" customFormat="1" x14ac:dyDescent="0.3"/>
    <row r="8955" customFormat="1" x14ac:dyDescent="0.3"/>
    <row r="8956" customFormat="1" x14ac:dyDescent="0.3"/>
    <row r="8957" customFormat="1" x14ac:dyDescent="0.3"/>
    <row r="8958" customFormat="1" x14ac:dyDescent="0.3"/>
    <row r="8959" customFormat="1" x14ac:dyDescent="0.3"/>
    <row r="8960" customFormat="1" x14ac:dyDescent="0.3"/>
    <row r="8961" customFormat="1" x14ac:dyDescent="0.3"/>
    <row r="8962" customFormat="1" x14ac:dyDescent="0.3"/>
    <row r="8963" customFormat="1" x14ac:dyDescent="0.3"/>
    <row r="8964" customFormat="1" x14ac:dyDescent="0.3"/>
    <row r="8965" customFormat="1" x14ac:dyDescent="0.3"/>
    <row r="8966" customFormat="1" x14ac:dyDescent="0.3"/>
    <row r="8967" customFormat="1" x14ac:dyDescent="0.3"/>
    <row r="8968" customFormat="1" x14ac:dyDescent="0.3"/>
    <row r="8969" customFormat="1" x14ac:dyDescent="0.3"/>
    <row r="8970" customFormat="1" x14ac:dyDescent="0.3"/>
    <row r="8971" customFormat="1" x14ac:dyDescent="0.3"/>
    <row r="8972" customFormat="1" x14ac:dyDescent="0.3"/>
    <row r="8973" customFormat="1" x14ac:dyDescent="0.3"/>
    <row r="8974" customFormat="1" x14ac:dyDescent="0.3"/>
    <row r="8975" customFormat="1" x14ac:dyDescent="0.3"/>
    <row r="8976" customFormat="1" x14ac:dyDescent="0.3"/>
    <row r="8977" customFormat="1" x14ac:dyDescent="0.3"/>
    <row r="8978" customFormat="1" x14ac:dyDescent="0.3"/>
    <row r="8979" customFormat="1" x14ac:dyDescent="0.3"/>
    <row r="8980" customFormat="1" x14ac:dyDescent="0.3"/>
    <row r="8981" customFormat="1" x14ac:dyDescent="0.3"/>
    <row r="8982" customFormat="1" x14ac:dyDescent="0.3"/>
    <row r="8983" customFormat="1" x14ac:dyDescent="0.3"/>
    <row r="8984" customFormat="1" x14ac:dyDescent="0.3"/>
    <row r="8985" customFormat="1" x14ac:dyDescent="0.3"/>
    <row r="8986" customFormat="1" x14ac:dyDescent="0.3"/>
    <row r="8987" customFormat="1" x14ac:dyDescent="0.3"/>
    <row r="8988" customFormat="1" x14ac:dyDescent="0.3"/>
    <row r="8989" customFormat="1" x14ac:dyDescent="0.3"/>
    <row r="8990" customFormat="1" x14ac:dyDescent="0.3"/>
    <row r="8991" customFormat="1" x14ac:dyDescent="0.3"/>
    <row r="8992" customFormat="1" x14ac:dyDescent="0.3"/>
    <row r="8993" customFormat="1" x14ac:dyDescent="0.3"/>
    <row r="8994" customFormat="1" x14ac:dyDescent="0.3"/>
    <row r="8995" customFormat="1" x14ac:dyDescent="0.3"/>
    <row r="8996" customFormat="1" x14ac:dyDescent="0.3"/>
    <row r="8997" customFormat="1" x14ac:dyDescent="0.3"/>
    <row r="8998" customFormat="1" x14ac:dyDescent="0.3"/>
    <row r="8999" customFormat="1" x14ac:dyDescent="0.3"/>
    <row r="9000" customFormat="1" x14ac:dyDescent="0.3"/>
    <row r="9001" customFormat="1" x14ac:dyDescent="0.3"/>
    <row r="9002" customFormat="1" x14ac:dyDescent="0.3"/>
    <row r="9003" customFormat="1" x14ac:dyDescent="0.3"/>
    <row r="9004" customFormat="1" x14ac:dyDescent="0.3"/>
    <row r="9005" customFormat="1" x14ac:dyDescent="0.3"/>
    <row r="9006" customFormat="1" x14ac:dyDescent="0.3"/>
    <row r="9007" customFormat="1" x14ac:dyDescent="0.3"/>
    <row r="9008" customFormat="1" x14ac:dyDescent="0.3"/>
    <row r="9009" customFormat="1" x14ac:dyDescent="0.3"/>
    <row r="9010" customFormat="1" x14ac:dyDescent="0.3"/>
    <row r="9011" customFormat="1" x14ac:dyDescent="0.3"/>
    <row r="9012" customFormat="1" x14ac:dyDescent="0.3"/>
    <row r="9013" customFormat="1" x14ac:dyDescent="0.3"/>
    <row r="9014" customFormat="1" x14ac:dyDescent="0.3"/>
    <row r="9015" customFormat="1" x14ac:dyDescent="0.3"/>
    <row r="9016" customFormat="1" x14ac:dyDescent="0.3"/>
    <row r="9017" customFormat="1" x14ac:dyDescent="0.3"/>
    <row r="9018" customFormat="1" x14ac:dyDescent="0.3"/>
    <row r="9019" customFormat="1" x14ac:dyDescent="0.3"/>
    <row r="9020" customFormat="1" x14ac:dyDescent="0.3"/>
    <row r="9021" customFormat="1" x14ac:dyDescent="0.3"/>
    <row r="9022" customFormat="1" x14ac:dyDescent="0.3"/>
    <row r="9023" customFormat="1" x14ac:dyDescent="0.3"/>
    <row r="9024" customFormat="1" x14ac:dyDescent="0.3"/>
    <row r="9025" customFormat="1" x14ac:dyDescent="0.3"/>
    <row r="9026" customFormat="1" x14ac:dyDescent="0.3"/>
    <row r="9027" customFormat="1" x14ac:dyDescent="0.3"/>
    <row r="9028" customFormat="1" x14ac:dyDescent="0.3"/>
    <row r="9029" customFormat="1" x14ac:dyDescent="0.3"/>
    <row r="9030" customFormat="1" x14ac:dyDescent="0.3"/>
    <row r="9031" customFormat="1" x14ac:dyDescent="0.3"/>
    <row r="9032" customFormat="1" x14ac:dyDescent="0.3"/>
    <row r="9033" customFormat="1" x14ac:dyDescent="0.3"/>
    <row r="9034" customFormat="1" x14ac:dyDescent="0.3"/>
    <row r="9035" customFormat="1" x14ac:dyDescent="0.3"/>
    <row r="9036" customFormat="1" x14ac:dyDescent="0.3"/>
    <row r="9037" customFormat="1" x14ac:dyDescent="0.3"/>
    <row r="9038" customFormat="1" x14ac:dyDescent="0.3"/>
    <row r="9039" customFormat="1" x14ac:dyDescent="0.3"/>
    <row r="9040" customFormat="1" x14ac:dyDescent="0.3"/>
    <row r="9041" customFormat="1" x14ac:dyDescent="0.3"/>
    <row r="9042" customFormat="1" x14ac:dyDescent="0.3"/>
    <row r="9043" customFormat="1" x14ac:dyDescent="0.3"/>
    <row r="9044" customFormat="1" x14ac:dyDescent="0.3"/>
    <row r="9045" customFormat="1" x14ac:dyDescent="0.3"/>
    <row r="9046" customFormat="1" x14ac:dyDescent="0.3"/>
    <row r="9047" customFormat="1" x14ac:dyDescent="0.3"/>
    <row r="9048" customFormat="1" x14ac:dyDescent="0.3"/>
    <row r="9049" customFormat="1" x14ac:dyDescent="0.3"/>
    <row r="9050" customFormat="1" x14ac:dyDescent="0.3"/>
    <row r="9051" customFormat="1" x14ac:dyDescent="0.3"/>
    <row r="9052" customFormat="1" x14ac:dyDescent="0.3"/>
    <row r="9053" customFormat="1" x14ac:dyDescent="0.3"/>
    <row r="9054" customFormat="1" x14ac:dyDescent="0.3"/>
    <row r="9055" customFormat="1" x14ac:dyDescent="0.3"/>
    <row r="9056" customFormat="1" x14ac:dyDescent="0.3"/>
    <row r="9057" customFormat="1" x14ac:dyDescent="0.3"/>
    <row r="9058" customFormat="1" x14ac:dyDescent="0.3"/>
    <row r="9059" customFormat="1" x14ac:dyDescent="0.3"/>
    <row r="9060" customFormat="1" x14ac:dyDescent="0.3"/>
    <row r="9061" customFormat="1" x14ac:dyDescent="0.3"/>
    <row r="9062" customFormat="1" x14ac:dyDescent="0.3"/>
    <row r="9063" customFormat="1" x14ac:dyDescent="0.3"/>
    <row r="9064" customFormat="1" x14ac:dyDescent="0.3"/>
    <row r="9065" customFormat="1" x14ac:dyDescent="0.3"/>
    <row r="9066" customFormat="1" x14ac:dyDescent="0.3"/>
    <row r="9067" customFormat="1" x14ac:dyDescent="0.3"/>
    <row r="9068" customFormat="1" x14ac:dyDescent="0.3"/>
    <row r="9069" customFormat="1" x14ac:dyDescent="0.3"/>
    <row r="9070" customFormat="1" x14ac:dyDescent="0.3"/>
    <row r="9071" customFormat="1" x14ac:dyDescent="0.3"/>
    <row r="9072" customFormat="1" x14ac:dyDescent="0.3"/>
    <row r="9073" customFormat="1" x14ac:dyDescent="0.3"/>
    <row r="9074" customFormat="1" x14ac:dyDescent="0.3"/>
    <row r="9075" customFormat="1" x14ac:dyDescent="0.3"/>
    <row r="9076" customFormat="1" x14ac:dyDescent="0.3"/>
    <row r="9077" customFormat="1" x14ac:dyDescent="0.3"/>
    <row r="9078" customFormat="1" x14ac:dyDescent="0.3"/>
    <row r="9079" customFormat="1" x14ac:dyDescent="0.3"/>
    <row r="9080" customFormat="1" x14ac:dyDescent="0.3"/>
    <row r="9081" customFormat="1" x14ac:dyDescent="0.3"/>
    <row r="9082" customFormat="1" x14ac:dyDescent="0.3"/>
    <row r="9083" customFormat="1" x14ac:dyDescent="0.3"/>
    <row r="9084" customFormat="1" x14ac:dyDescent="0.3"/>
    <row r="9085" customFormat="1" x14ac:dyDescent="0.3"/>
    <row r="9086" customFormat="1" x14ac:dyDescent="0.3"/>
    <row r="9087" customFormat="1" x14ac:dyDescent="0.3"/>
    <row r="9088" customFormat="1" x14ac:dyDescent="0.3"/>
    <row r="9089" customFormat="1" x14ac:dyDescent="0.3"/>
    <row r="9090" customFormat="1" x14ac:dyDescent="0.3"/>
    <row r="9091" customFormat="1" x14ac:dyDescent="0.3"/>
    <row r="9092" customFormat="1" x14ac:dyDescent="0.3"/>
    <row r="9093" customFormat="1" x14ac:dyDescent="0.3"/>
    <row r="9094" customFormat="1" x14ac:dyDescent="0.3"/>
    <row r="9095" customFormat="1" x14ac:dyDescent="0.3"/>
    <row r="9096" customFormat="1" x14ac:dyDescent="0.3"/>
    <row r="9097" customFormat="1" x14ac:dyDescent="0.3"/>
    <row r="9098" customFormat="1" x14ac:dyDescent="0.3"/>
    <row r="9099" customFormat="1" x14ac:dyDescent="0.3"/>
    <row r="9100" customFormat="1" x14ac:dyDescent="0.3"/>
    <row r="9101" customFormat="1" x14ac:dyDescent="0.3"/>
    <row r="9102" customFormat="1" x14ac:dyDescent="0.3"/>
    <row r="9103" customFormat="1" x14ac:dyDescent="0.3"/>
    <row r="9104" customFormat="1" x14ac:dyDescent="0.3"/>
    <row r="9105" customFormat="1" x14ac:dyDescent="0.3"/>
    <row r="9106" customFormat="1" x14ac:dyDescent="0.3"/>
    <row r="9107" customFormat="1" x14ac:dyDescent="0.3"/>
    <row r="9108" customFormat="1" x14ac:dyDescent="0.3"/>
    <row r="9109" customFormat="1" x14ac:dyDescent="0.3"/>
    <row r="9110" customFormat="1" x14ac:dyDescent="0.3"/>
    <row r="9111" customFormat="1" x14ac:dyDescent="0.3"/>
    <row r="9112" customFormat="1" x14ac:dyDescent="0.3"/>
    <row r="9113" customFormat="1" x14ac:dyDescent="0.3"/>
    <row r="9114" customFormat="1" x14ac:dyDescent="0.3"/>
    <row r="9115" customFormat="1" x14ac:dyDescent="0.3"/>
    <row r="9116" customFormat="1" x14ac:dyDescent="0.3"/>
    <row r="9117" customFormat="1" x14ac:dyDescent="0.3"/>
    <row r="9118" customFormat="1" x14ac:dyDescent="0.3"/>
    <row r="9119" customFormat="1" x14ac:dyDescent="0.3"/>
    <row r="9120" customFormat="1" x14ac:dyDescent="0.3"/>
    <row r="9121" customFormat="1" x14ac:dyDescent="0.3"/>
    <row r="9122" customFormat="1" x14ac:dyDescent="0.3"/>
    <row r="9123" customFormat="1" x14ac:dyDescent="0.3"/>
    <row r="9124" customFormat="1" x14ac:dyDescent="0.3"/>
    <row r="9125" customFormat="1" x14ac:dyDescent="0.3"/>
    <row r="9126" customFormat="1" x14ac:dyDescent="0.3"/>
    <row r="9127" customFormat="1" x14ac:dyDescent="0.3"/>
    <row r="9128" customFormat="1" x14ac:dyDescent="0.3"/>
    <row r="9129" customFormat="1" x14ac:dyDescent="0.3"/>
    <row r="9130" customFormat="1" x14ac:dyDescent="0.3"/>
    <row r="9131" customFormat="1" x14ac:dyDescent="0.3"/>
    <row r="9132" customFormat="1" x14ac:dyDescent="0.3"/>
    <row r="9133" customFormat="1" x14ac:dyDescent="0.3"/>
    <row r="9134" customFormat="1" x14ac:dyDescent="0.3"/>
    <row r="9135" customFormat="1" x14ac:dyDescent="0.3"/>
    <row r="9136" customFormat="1" x14ac:dyDescent="0.3"/>
    <row r="9137" customFormat="1" x14ac:dyDescent="0.3"/>
    <row r="9138" customFormat="1" x14ac:dyDescent="0.3"/>
    <row r="9139" customFormat="1" x14ac:dyDescent="0.3"/>
    <row r="9140" customFormat="1" x14ac:dyDescent="0.3"/>
    <row r="9141" customFormat="1" x14ac:dyDescent="0.3"/>
    <row r="9142" customFormat="1" x14ac:dyDescent="0.3"/>
    <row r="9143" customFormat="1" x14ac:dyDescent="0.3"/>
    <row r="9144" customFormat="1" x14ac:dyDescent="0.3"/>
    <row r="9145" customFormat="1" x14ac:dyDescent="0.3"/>
    <row r="9146" customFormat="1" x14ac:dyDescent="0.3"/>
    <row r="9147" customFormat="1" x14ac:dyDescent="0.3"/>
    <row r="9148" customFormat="1" x14ac:dyDescent="0.3"/>
    <row r="9149" customFormat="1" x14ac:dyDescent="0.3"/>
    <row r="9150" customFormat="1" x14ac:dyDescent="0.3"/>
    <row r="9151" customFormat="1" x14ac:dyDescent="0.3"/>
    <row r="9152" customFormat="1" x14ac:dyDescent="0.3"/>
    <row r="9153" customFormat="1" x14ac:dyDescent="0.3"/>
    <row r="9154" customFormat="1" x14ac:dyDescent="0.3"/>
    <row r="9155" customFormat="1" x14ac:dyDescent="0.3"/>
    <row r="9156" customFormat="1" x14ac:dyDescent="0.3"/>
    <row r="9157" customFormat="1" x14ac:dyDescent="0.3"/>
    <row r="9158" customFormat="1" x14ac:dyDescent="0.3"/>
    <row r="9159" customFormat="1" x14ac:dyDescent="0.3"/>
    <row r="9160" customFormat="1" x14ac:dyDescent="0.3"/>
    <row r="9161" customFormat="1" x14ac:dyDescent="0.3"/>
    <row r="9162" customFormat="1" x14ac:dyDescent="0.3"/>
    <row r="9163" customFormat="1" x14ac:dyDescent="0.3"/>
    <row r="9164" customFormat="1" x14ac:dyDescent="0.3"/>
    <row r="9165" customFormat="1" x14ac:dyDescent="0.3"/>
    <row r="9166" customFormat="1" x14ac:dyDescent="0.3"/>
    <row r="9167" customFormat="1" x14ac:dyDescent="0.3"/>
    <row r="9168" customFormat="1" x14ac:dyDescent="0.3"/>
    <row r="9169" customFormat="1" x14ac:dyDescent="0.3"/>
    <row r="9170" customFormat="1" x14ac:dyDescent="0.3"/>
    <row r="9171" customFormat="1" x14ac:dyDescent="0.3"/>
    <row r="9172" customFormat="1" x14ac:dyDescent="0.3"/>
    <row r="9173" customFormat="1" x14ac:dyDescent="0.3"/>
    <row r="9174" customFormat="1" x14ac:dyDescent="0.3"/>
    <row r="9175" customFormat="1" x14ac:dyDescent="0.3"/>
    <row r="9176" customFormat="1" x14ac:dyDescent="0.3"/>
    <row r="9177" customFormat="1" x14ac:dyDescent="0.3"/>
    <row r="9178" customFormat="1" x14ac:dyDescent="0.3"/>
    <row r="9179" customFormat="1" x14ac:dyDescent="0.3"/>
    <row r="9180" customFormat="1" x14ac:dyDescent="0.3"/>
    <row r="9181" customFormat="1" x14ac:dyDescent="0.3"/>
    <row r="9182" customFormat="1" x14ac:dyDescent="0.3"/>
    <row r="9183" customFormat="1" x14ac:dyDescent="0.3"/>
    <row r="9184" customFormat="1" x14ac:dyDescent="0.3"/>
    <row r="9185" customFormat="1" x14ac:dyDescent="0.3"/>
    <row r="9186" customFormat="1" x14ac:dyDescent="0.3"/>
    <row r="9187" customFormat="1" x14ac:dyDescent="0.3"/>
    <row r="9188" customFormat="1" x14ac:dyDescent="0.3"/>
    <row r="9189" customFormat="1" x14ac:dyDescent="0.3"/>
    <row r="9190" customFormat="1" x14ac:dyDescent="0.3"/>
    <row r="9191" customFormat="1" x14ac:dyDescent="0.3"/>
    <row r="9192" customFormat="1" x14ac:dyDescent="0.3"/>
    <row r="9193" customFormat="1" x14ac:dyDescent="0.3"/>
    <row r="9194" customFormat="1" x14ac:dyDescent="0.3"/>
    <row r="9195" customFormat="1" x14ac:dyDescent="0.3"/>
    <row r="9196" customFormat="1" x14ac:dyDescent="0.3"/>
    <row r="9197" customFormat="1" x14ac:dyDescent="0.3"/>
    <row r="9198" customFormat="1" x14ac:dyDescent="0.3"/>
    <row r="9199" customFormat="1" x14ac:dyDescent="0.3"/>
    <row r="9200" customFormat="1" x14ac:dyDescent="0.3"/>
    <row r="9201" customFormat="1" x14ac:dyDescent="0.3"/>
    <row r="9202" customFormat="1" x14ac:dyDescent="0.3"/>
    <row r="9203" customFormat="1" x14ac:dyDescent="0.3"/>
    <row r="9204" customFormat="1" x14ac:dyDescent="0.3"/>
    <row r="9205" customFormat="1" x14ac:dyDescent="0.3"/>
    <row r="9206" customFormat="1" x14ac:dyDescent="0.3"/>
    <row r="9207" customFormat="1" x14ac:dyDescent="0.3"/>
    <row r="9208" customFormat="1" x14ac:dyDescent="0.3"/>
    <row r="9209" customFormat="1" x14ac:dyDescent="0.3"/>
    <row r="9210" customFormat="1" x14ac:dyDescent="0.3"/>
    <row r="9211" customFormat="1" x14ac:dyDescent="0.3"/>
    <row r="9212" customFormat="1" x14ac:dyDescent="0.3"/>
    <row r="9213" customFormat="1" x14ac:dyDescent="0.3"/>
    <row r="9214" customFormat="1" x14ac:dyDescent="0.3"/>
    <row r="9215" customFormat="1" x14ac:dyDescent="0.3"/>
    <row r="9216" customFormat="1" x14ac:dyDescent="0.3"/>
    <row r="9217" customFormat="1" x14ac:dyDescent="0.3"/>
    <row r="9218" customFormat="1" x14ac:dyDescent="0.3"/>
    <row r="9219" customFormat="1" x14ac:dyDescent="0.3"/>
    <row r="9220" customFormat="1" x14ac:dyDescent="0.3"/>
    <row r="9221" customFormat="1" x14ac:dyDescent="0.3"/>
    <row r="9222" customFormat="1" x14ac:dyDescent="0.3"/>
    <row r="9223" customFormat="1" x14ac:dyDescent="0.3"/>
    <row r="9224" customFormat="1" x14ac:dyDescent="0.3"/>
    <row r="9225" customFormat="1" x14ac:dyDescent="0.3"/>
    <row r="9226" customFormat="1" x14ac:dyDescent="0.3"/>
    <row r="9227" customFormat="1" x14ac:dyDescent="0.3"/>
    <row r="9228" customFormat="1" x14ac:dyDescent="0.3"/>
    <row r="9229" customFormat="1" x14ac:dyDescent="0.3"/>
    <row r="9230" customFormat="1" x14ac:dyDescent="0.3"/>
    <row r="9231" customFormat="1" x14ac:dyDescent="0.3"/>
    <row r="9232" customFormat="1" x14ac:dyDescent="0.3"/>
    <row r="9233" customFormat="1" x14ac:dyDescent="0.3"/>
    <row r="9234" customFormat="1" x14ac:dyDescent="0.3"/>
    <row r="9235" customFormat="1" x14ac:dyDescent="0.3"/>
    <row r="9236" customFormat="1" x14ac:dyDescent="0.3"/>
    <row r="9237" customFormat="1" x14ac:dyDescent="0.3"/>
    <row r="9238" customFormat="1" x14ac:dyDescent="0.3"/>
    <row r="9239" customFormat="1" x14ac:dyDescent="0.3"/>
    <row r="9240" customFormat="1" x14ac:dyDescent="0.3"/>
    <row r="9241" customFormat="1" x14ac:dyDescent="0.3"/>
    <row r="9242" customFormat="1" x14ac:dyDescent="0.3"/>
    <row r="9243" customFormat="1" x14ac:dyDescent="0.3"/>
    <row r="9244" customFormat="1" x14ac:dyDescent="0.3"/>
    <row r="9245" customFormat="1" x14ac:dyDescent="0.3"/>
    <row r="9246" customFormat="1" x14ac:dyDescent="0.3"/>
    <row r="9247" customFormat="1" x14ac:dyDescent="0.3"/>
    <row r="9248" customFormat="1" x14ac:dyDescent="0.3"/>
    <row r="9249" customFormat="1" x14ac:dyDescent="0.3"/>
    <row r="9250" customFormat="1" x14ac:dyDescent="0.3"/>
    <row r="9251" customFormat="1" x14ac:dyDescent="0.3"/>
    <row r="9252" customFormat="1" x14ac:dyDescent="0.3"/>
    <row r="9253" customFormat="1" x14ac:dyDescent="0.3"/>
    <row r="9254" customFormat="1" x14ac:dyDescent="0.3"/>
    <row r="9255" customFormat="1" x14ac:dyDescent="0.3"/>
    <row r="9256" customFormat="1" x14ac:dyDescent="0.3"/>
    <row r="9257" customFormat="1" x14ac:dyDescent="0.3"/>
    <row r="9258" customFormat="1" x14ac:dyDescent="0.3"/>
    <row r="9259" customFormat="1" x14ac:dyDescent="0.3"/>
    <row r="9260" customFormat="1" x14ac:dyDescent="0.3"/>
    <row r="9261" customFormat="1" x14ac:dyDescent="0.3"/>
    <row r="9262" customFormat="1" x14ac:dyDescent="0.3"/>
    <row r="9263" customFormat="1" x14ac:dyDescent="0.3"/>
    <row r="9264" customFormat="1" x14ac:dyDescent="0.3"/>
    <row r="9265" customFormat="1" x14ac:dyDescent="0.3"/>
    <row r="9266" customFormat="1" x14ac:dyDescent="0.3"/>
    <row r="9267" customFormat="1" x14ac:dyDescent="0.3"/>
    <row r="9268" customFormat="1" x14ac:dyDescent="0.3"/>
    <row r="9269" customFormat="1" x14ac:dyDescent="0.3"/>
    <row r="9270" customFormat="1" x14ac:dyDescent="0.3"/>
    <row r="9271" customFormat="1" x14ac:dyDescent="0.3"/>
    <row r="9272" customFormat="1" x14ac:dyDescent="0.3"/>
    <row r="9273" customFormat="1" x14ac:dyDescent="0.3"/>
    <row r="9274" customFormat="1" x14ac:dyDescent="0.3"/>
    <row r="9275" customFormat="1" x14ac:dyDescent="0.3"/>
    <row r="9276" customFormat="1" x14ac:dyDescent="0.3"/>
    <row r="9277" customFormat="1" x14ac:dyDescent="0.3"/>
    <row r="9278" customFormat="1" x14ac:dyDescent="0.3"/>
    <row r="9279" customFormat="1" x14ac:dyDescent="0.3"/>
    <row r="9280" customFormat="1" x14ac:dyDescent="0.3"/>
    <row r="9281" customFormat="1" x14ac:dyDescent="0.3"/>
    <row r="9282" customFormat="1" x14ac:dyDescent="0.3"/>
    <row r="9283" customFormat="1" x14ac:dyDescent="0.3"/>
    <row r="9284" customFormat="1" x14ac:dyDescent="0.3"/>
    <row r="9285" customFormat="1" x14ac:dyDescent="0.3"/>
    <row r="9286" customFormat="1" x14ac:dyDescent="0.3"/>
    <row r="9287" customFormat="1" x14ac:dyDescent="0.3"/>
    <row r="9288" customFormat="1" x14ac:dyDescent="0.3"/>
    <row r="9289" customFormat="1" x14ac:dyDescent="0.3"/>
    <row r="9290" customFormat="1" x14ac:dyDescent="0.3"/>
    <row r="9291" customFormat="1" x14ac:dyDescent="0.3"/>
    <row r="9292" customFormat="1" x14ac:dyDescent="0.3"/>
    <row r="9293" customFormat="1" x14ac:dyDescent="0.3"/>
    <row r="9294" customFormat="1" x14ac:dyDescent="0.3"/>
    <row r="9295" customFormat="1" x14ac:dyDescent="0.3"/>
    <row r="9296" customFormat="1" x14ac:dyDescent="0.3"/>
    <row r="9297" customFormat="1" x14ac:dyDescent="0.3"/>
    <row r="9298" customFormat="1" x14ac:dyDescent="0.3"/>
    <row r="9299" customFormat="1" x14ac:dyDescent="0.3"/>
    <row r="9300" customFormat="1" x14ac:dyDescent="0.3"/>
    <row r="9301" customFormat="1" x14ac:dyDescent="0.3"/>
    <row r="9302" customFormat="1" x14ac:dyDescent="0.3"/>
    <row r="9303" customFormat="1" x14ac:dyDescent="0.3"/>
    <row r="9304" customFormat="1" x14ac:dyDescent="0.3"/>
    <row r="9305" customFormat="1" x14ac:dyDescent="0.3"/>
    <row r="9306" customFormat="1" x14ac:dyDescent="0.3"/>
    <row r="9307" customFormat="1" x14ac:dyDescent="0.3"/>
    <row r="9308" customFormat="1" x14ac:dyDescent="0.3"/>
    <row r="9309" customFormat="1" x14ac:dyDescent="0.3"/>
    <row r="9310" customFormat="1" x14ac:dyDescent="0.3"/>
    <row r="9311" customFormat="1" x14ac:dyDescent="0.3"/>
    <row r="9312" customFormat="1" x14ac:dyDescent="0.3"/>
    <row r="9313" customFormat="1" x14ac:dyDescent="0.3"/>
    <row r="9314" customFormat="1" x14ac:dyDescent="0.3"/>
    <row r="9315" customFormat="1" x14ac:dyDescent="0.3"/>
    <row r="9316" customFormat="1" x14ac:dyDescent="0.3"/>
    <row r="9317" customFormat="1" x14ac:dyDescent="0.3"/>
    <row r="9318" customFormat="1" x14ac:dyDescent="0.3"/>
    <row r="9319" customFormat="1" x14ac:dyDescent="0.3"/>
    <row r="9320" customFormat="1" x14ac:dyDescent="0.3"/>
    <row r="9321" customFormat="1" x14ac:dyDescent="0.3"/>
    <row r="9322" customFormat="1" x14ac:dyDescent="0.3"/>
    <row r="9323" customFormat="1" x14ac:dyDescent="0.3"/>
    <row r="9324" customFormat="1" x14ac:dyDescent="0.3"/>
    <row r="9325" customFormat="1" x14ac:dyDescent="0.3"/>
    <row r="9326" customFormat="1" x14ac:dyDescent="0.3"/>
    <row r="9327" customFormat="1" x14ac:dyDescent="0.3"/>
    <row r="9328" customFormat="1" x14ac:dyDescent="0.3"/>
    <row r="9329" customFormat="1" x14ac:dyDescent="0.3"/>
    <row r="9330" customFormat="1" x14ac:dyDescent="0.3"/>
    <row r="9331" customFormat="1" x14ac:dyDescent="0.3"/>
    <row r="9332" customFormat="1" x14ac:dyDescent="0.3"/>
    <row r="9333" customFormat="1" x14ac:dyDescent="0.3"/>
    <row r="9334" customFormat="1" x14ac:dyDescent="0.3"/>
    <row r="9335" customFormat="1" x14ac:dyDescent="0.3"/>
    <row r="9336" customFormat="1" x14ac:dyDescent="0.3"/>
    <row r="9337" customFormat="1" x14ac:dyDescent="0.3"/>
    <row r="9338" customFormat="1" x14ac:dyDescent="0.3"/>
    <row r="9339" customFormat="1" x14ac:dyDescent="0.3"/>
    <row r="9340" customFormat="1" x14ac:dyDescent="0.3"/>
    <row r="9341" customFormat="1" x14ac:dyDescent="0.3"/>
    <row r="9342" customFormat="1" x14ac:dyDescent="0.3"/>
    <row r="9343" customFormat="1" x14ac:dyDescent="0.3"/>
    <row r="9344" customFormat="1" x14ac:dyDescent="0.3"/>
    <row r="9345" customFormat="1" x14ac:dyDescent="0.3"/>
    <row r="9346" customFormat="1" x14ac:dyDescent="0.3"/>
    <row r="9347" customFormat="1" x14ac:dyDescent="0.3"/>
    <row r="9348" customFormat="1" x14ac:dyDescent="0.3"/>
    <row r="9349" customFormat="1" x14ac:dyDescent="0.3"/>
    <row r="9350" customFormat="1" x14ac:dyDescent="0.3"/>
    <row r="9351" customFormat="1" x14ac:dyDescent="0.3"/>
    <row r="9352" customFormat="1" x14ac:dyDescent="0.3"/>
    <row r="9353" customFormat="1" x14ac:dyDescent="0.3"/>
    <row r="9354" customFormat="1" x14ac:dyDescent="0.3"/>
    <row r="9355" customFormat="1" x14ac:dyDescent="0.3"/>
    <row r="9356" customFormat="1" x14ac:dyDescent="0.3"/>
    <row r="9357" customFormat="1" x14ac:dyDescent="0.3"/>
    <row r="9358" customFormat="1" x14ac:dyDescent="0.3"/>
    <row r="9359" customFormat="1" x14ac:dyDescent="0.3"/>
    <row r="9360" customFormat="1" x14ac:dyDescent="0.3"/>
    <row r="9361" customFormat="1" x14ac:dyDescent="0.3"/>
    <row r="9362" customFormat="1" x14ac:dyDescent="0.3"/>
    <row r="9363" customFormat="1" x14ac:dyDescent="0.3"/>
    <row r="9364" customFormat="1" x14ac:dyDescent="0.3"/>
    <row r="9365" customFormat="1" x14ac:dyDescent="0.3"/>
    <row r="9366" customFormat="1" x14ac:dyDescent="0.3"/>
    <row r="9367" customFormat="1" x14ac:dyDescent="0.3"/>
    <row r="9368" customFormat="1" x14ac:dyDescent="0.3"/>
    <row r="9369" customFormat="1" x14ac:dyDescent="0.3"/>
    <row r="9370" customFormat="1" x14ac:dyDescent="0.3"/>
    <row r="9371" customFormat="1" x14ac:dyDescent="0.3"/>
    <row r="9372" customFormat="1" x14ac:dyDescent="0.3"/>
    <row r="9373" customFormat="1" x14ac:dyDescent="0.3"/>
    <row r="9374" customFormat="1" x14ac:dyDescent="0.3"/>
    <row r="9375" customFormat="1" x14ac:dyDescent="0.3"/>
    <row r="9376" customFormat="1" x14ac:dyDescent="0.3"/>
    <row r="9377" customFormat="1" x14ac:dyDescent="0.3"/>
    <row r="9378" customFormat="1" x14ac:dyDescent="0.3"/>
    <row r="9379" customFormat="1" x14ac:dyDescent="0.3"/>
    <row r="9380" customFormat="1" x14ac:dyDescent="0.3"/>
    <row r="9381" customFormat="1" x14ac:dyDescent="0.3"/>
    <row r="9382" customFormat="1" x14ac:dyDescent="0.3"/>
    <row r="9383" customFormat="1" x14ac:dyDescent="0.3"/>
    <row r="9384" customFormat="1" x14ac:dyDescent="0.3"/>
    <row r="9385" customFormat="1" x14ac:dyDescent="0.3"/>
    <row r="9386" customFormat="1" x14ac:dyDescent="0.3"/>
    <row r="9387" customFormat="1" x14ac:dyDescent="0.3"/>
    <row r="9388" customFormat="1" x14ac:dyDescent="0.3"/>
    <row r="9389" customFormat="1" x14ac:dyDescent="0.3"/>
    <row r="9390" customFormat="1" x14ac:dyDescent="0.3"/>
    <row r="9391" customFormat="1" x14ac:dyDescent="0.3"/>
    <row r="9392" customFormat="1" x14ac:dyDescent="0.3"/>
    <row r="9393" customFormat="1" x14ac:dyDescent="0.3"/>
    <row r="9394" customFormat="1" x14ac:dyDescent="0.3"/>
    <row r="9395" customFormat="1" x14ac:dyDescent="0.3"/>
    <row r="9396" customFormat="1" x14ac:dyDescent="0.3"/>
    <row r="9397" customFormat="1" x14ac:dyDescent="0.3"/>
    <row r="9398" customFormat="1" x14ac:dyDescent="0.3"/>
    <row r="9399" customFormat="1" x14ac:dyDescent="0.3"/>
    <row r="9400" customFormat="1" x14ac:dyDescent="0.3"/>
    <row r="9401" customFormat="1" x14ac:dyDescent="0.3"/>
    <row r="9402" customFormat="1" x14ac:dyDescent="0.3"/>
    <row r="9403" customFormat="1" x14ac:dyDescent="0.3"/>
    <row r="9404" customFormat="1" x14ac:dyDescent="0.3"/>
    <row r="9405" customFormat="1" x14ac:dyDescent="0.3"/>
    <row r="9406" customFormat="1" x14ac:dyDescent="0.3"/>
    <row r="9407" customFormat="1" x14ac:dyDescent="0.3"/>
    <row r="9408" customFormat="1" x14ac:dyDescent="0.3"/>
    <row r="9409" customFormat="1" x14ac:dyDescent="0.3"/>
    <row r="9410" customFormat="1" x14ac:dyDescent="0.3"/>
    <row r="9411" customFormat="1" x14ac:dyDescent="0.3"/>
    <row r="9412" customFormat="1" x14ac:dyDescent="0.3"/>
    <row r="9413" customFormat="1" x14ac:dyDescent="0.3"/>
    <row r="9414" customFormat="1" x14ac:dyDescent="0.3"/>
    <row r="9415" customFormat="1" x14ac:dyDescent="0.3"/>
    <row r="9416" customFormat="1" x14ac:dyDescent="0.3"/>
    <row r="9417" customFormat="1" x14ac:dyDescent="0.3"/>
    <row r="9418" customFormat="1" x14ac:dyDescent="0.3"/>
    <row r="9419" customFormat="1" x14ac:dyDescent="0.3"/>
    <row r="9420" customFormat="1" x14ac:dyDescent="0.3"/>
    <row r="9421" customFormat="1" x14ac:dyDescent="0.3"/>
    <row r="9422" customFormat="1" x14ac:dyDescent="0.3"/>
    <row r="9423" customFormat="1" x14ac:dyDescent="0.3"/>
    <row r="9424" customFormat="1" x14ac:dyDescent="0.3"/>
    <row r="9425" customFormat="1" x14ac:dyDescent="0.3"/>
    <row r="9426" customFormat="1" x14ac:dyDescent="0.3"/>
    <row r="9427" customFormat="1" x14ac:dyDescent="0.3"/>
    <row r="9428" customFormat="1" x14ac:dyDescent="0.3"/>
    <row r="9429" customFormat="1" x14ac:dyDescent="0.3"/>
    <row r="9430" customFormat="1" x14ac:dyDescent="0.3"/>
    <row r="9431" customFormat="1" x14ac:dyDescent="0.3"/>
    <row r="9432" customFormat="1" x14ac:dyDescent="0.3"/>
    <row r="9433" customFormat="1" x14ac:dyDescent="0.3"/>
    <row r="9434" customFormat="1" x14ac:dyDescent="0.3"/>
    <row r="9435" customFormat="1" x14ac:dyDescent="0.3"/>
    <row r="9436" customFormat="1" x14ac:dyDescent="0.3"/>
    <row r="9437" customFormat="1" x14ac:dyDescent="0.3"/>
    <row r="9438" customFormat="1" x14ac:dyDescent="0.3"/>
    <row r="9439" customFormat="1" x14ac:dyDescent="0.3"/>
    <row r="9440" customFormat="1" x14ac:dyDescent="0.3"/>
    <row r="9441" customFormat="1" x14ac:dyDescent="0.3"/>
    <row r="9442" customFormat="1" x14ac:dyDescent="0.3"/>
    <row r="9443" customFormat="1" x14ac:dyDescent="0.3"/>
    <row r="9444" customFormat="1" x14ac:dyDescent="0.3"/>
    <row r="9445" customFormat="1" x14ac:dyDescent="0.3"/>
    <row r="9446" customFormat="1" x14ac:dyDescent="0.3"/>
    <row r="9447" customFormat="1" x14ac:dyDescent="0.3"/>
    <row r="9448" customFormat="1" x14ac:dyDescent="0.3"/>
    <row r="9449" customFormat="1" x14ac:dyDescent="0.3"/>
    <row r="9450" customFormat="1" x14ac:dyDescent="0.3"/>
    <row r="9451" customFormat="1" x14ac:dyDescent="0.3"/>
    <row r="9452" customFormat="1" x14ac:dyDescent="0.3"/>
    <row r="9453" customFormat="1" x14ac:dyDescent="0.3"/>
    <row r="9454" customFormat="1" x14ac:dyDescent="0.3"/>
    <row r="9455" customFormat="1" x14ac:dyDescent="0.3"/>
    <row r="9456" customFormat="1" x14ac:dyDescent="0.3"/>
    <row r="9457" customFormat="1" x14ac:dyDescent="0.3"/>
    <row r="9458" customFormat="1" x14ac:dyDescent="0.3"/>
    <row r="9459" customFormat="1" x14ac:dyDescent="0.3"/>
    <row r="9460" customFormat="1" x14ac:dyDescent="0.3"/>
    <row r="9461" customFormat="1" x14ac:dyDescent="0.3"/>
    <row r="9462" customFormat="1" x14ac:dyDescent="0.3"/>
    <row r="9463" customFormat="1" x14ac:dyDescent="0.3"/>
    <row r="9464" customFormat="1" x14ac:dyDescent="0.3"/>
    <row r="9465" customFormat="1" x14ac:dyDescent="0.3"/>
    <row r="9466" customFormat="1" x14ac:dyDescent="0.3"/>
    <row r="9467" customFormat="1" x14ac:dyDescent="0.3"/>
    <row r="9468" customFormat="1" x14ac:dyDescent="0.3"/>
    <row r="9469" customFormat="1" x14ac:dyDescent="0.3"/>
    <row r="9470" customFormat="1" x14ac:dyDescent="0.3"/>
    <row r="9471" customFormat="1" x14ac:dyDescent="0.3"/>
    <row r="9472" customFormat="1" x14ac:dyDescent="0.3"/>
    <row r="9473" customFormat="1" x14ac:dyDescent="0.3"/>
    <row r="9474" customFormat="1" x14ac:dyDescent="0.3"/>
    <row r="9475" customFormat="1" x14ac:dyDescent="0.3"/>
    <row r="9476" customFormat="1" x14ac:dyDescent="0.3"/>
    <row r="9477" customFormat="1" x14ac:dyDescent="0.3"/>
    <row r="9478" customFormat="1" x14ac:dyDescent="0.3"/>
    <row r="9479" customFormat="1" x14ac:dyDescent="0.3"/>
    <row r="9480" customFormat="1" x14ac:dyDescent="0.3"/>
    <row r="9481" customFormat="1" x14ac:dyDescent="0.3"/>
    <row r="9482" customFormat="1" x14ac:dyDescent="0.3"/>
    <row r="9483" customFormat="1" x14ac:dyDescent="0.3"/>
    <row r="9484" customFormat="1" x14ac:dyDescent="0.3"/>
    <row r="9485" customFormat="1" x14ac:dyDescent="0.3"/>
    <row r="9486" customFormat="1" x14ac:dyDescent="0.3"/>
    <row r="9487" customFormat="1" x14ac:dyDescent="0.3"/>
    <row r="9488" customFormat="1" x14ac:dyDescent="0.3"/>
    <row r="9489" customFormat="1" x14ac:dyDescent="0.3"/>
    <row r="9490" customFormat="1" x14ac:dyDescent="0.3"/>
    <row r="9491" customFormat="1" x14ac:dyDescent="0.3"/>
    <row r="9492" customFormat="1" x14ac:dyDescent="0.3"/>
    <row r="9493" customFormat="1" x14ac:dyDescent="0.3"/>
    <row r="9494" customFormat="1" x14ac:dyDescent="0.3"/>
    <row r="9495" customFormat="1" x14ac:dyDescent="0.3"/>
    <row r="9496" customFormat="1" x14ac:dyDescent="0.3"/>
    <row r="9497" customFormat="1" x14ac:dyDescent="0.3"/>
    <row r="9498" customFormat="1" x14ac:dyDescent="0.3"/>
    <row r="9499" customFormat="1" x14ac:dyDescent="0.3"/>
    <row r="9500" customFormat="1" x14ac:dyDescent="0.3"/>
    <row r="9501" customFormat="1" x14ac:dyDescent="0.3"/>
    <row r="9502" customFormat="1" x14ac:dyDescent="0.3"/>
    <row r="9503" customFormat="1" x14ac:dyDescent="0.3"/>
    <row r="9504" customFormat="1" x14ac:dyDescent="0.3"/>
    <row r="9505" customFormat="1" x14ac:dyDescent="0.3"/>
    <row r="9506" customFormat="1" x14ac:dyDescent="0.3"/>
    <row r="9507" customFormat="1" x14ac:dyDescent="0.3"/>
    <row r="9508" customFormat="1" x14ac:dyDescent="0.3"/>
    <row r="9509" customFormat="1" x14ac:dyDescent="0.3"/>
    <row r="9510" customFormat="1" x14ac:dyDescent="0.3"/>
    <row r="9511" customFormat="1" x14ac:dyDescent="0.3"/>
    <row r="9512" customFormat="1" x14ac:dyDescent="0.3"/>
    <row r="9513" customFormat="1" x14ac:dyDescent="0.3"/>
    <row r="9514" customFormat="1" x14ac:dyDescent="0.3"/>
    <row r="9515" customFormat="1" x14ac:dyDescent="0.3"/>
    <row r="9516" customFormat="1" x14ac:dyDescent="0.3"/>
    <row r="9517" customFormat="1" x14ac:dyDescent="0.3"/>
    <row r="9518" customFormat="1" x14ac:dyDescent="0.3"/>
    <row r="9519" customFormat="1" x14ac:dyDescent="0.3"/>
    <row r="9520" customFormat="1" x14ac:dyDescent="0.3"/>
    <row r="9521" customFormat="1" x14ac:dyDescent="0.3"/>
    <row r="9522" customFormat="1" x14ac:dyDescent="0.3"/>
    <row r="9523" customFormat="1" x14ac:dyDescent="0.3"/>
    <row r="9524" customFormat="1" x14ac:dyDescent="0.3"/>
    <row r="9525" customFormat="1" x14ac:dyDescent="0.3"/>
    <row r="9526" customFormat="1" x14ac:dyDescent="0.3"/>
    <row r="9527" customFormat="1" x14ac:dyDescent="0.3"/>
    <row r="9528" customFormat="1" x14ac:dyDescent="0.3"/>
    <row r="9529" customFormat="1" x14ac:dyDescent="0.3"/>
    <row r="9530" customFormat="1" x14ac:dyDescent="0.3"/>
    <row r="9531" customFormat="1" x14ac:dyDescent="0.3"/>
    <row r="9532" customFormat="1" x14ac:dyDescent="0.3"/>
    <row r="9533" customFormat="1" x14ac:dyDescent="0.3"/>
    <row r="9534" customFormat="1" x14ac:dyDescent="0.3"/>
    <row r="9535" customFormat="1" x14ac:dyDescent="0.3"/>
    <row r="9536" customFormat="1" x14ac:dyDescent="0.3"/>
    <row r="9537" customFormat="1" x14ac:dyDescent="0.3"/>
    <row r="9538" customFormat="1" x14ac:dyDescent="0.3"/>
    <row r="9539" customFormat="1" x14ac:dyDescent="0.3"/>
    <row r="9540" customFormat="1" x14ac:dyDescent="0.3"/>
    <row r="9541" customFormat="1" x14ac:dyDescent="0.3"/>
    <row r="9542" customFormat="1" x14ac:dyDescent="0.3"/>
    <row r="9543" customFormat="1" x14ac:dyDescent="0.3"/>
    <row r="9544" customFormat="1" x14ac:dyDescent="0.3"/>
    <row r="9545" customFormat="1" x14ac:dyDescent="0.3"/>
    <row r="9546" customFormat="1" x14ac:dyDescent="0.3"/>
    <row r="9547" customFormat="1" x14ac:dyDescent="0.3"/>
    <row r="9548" customFormat="1" x14ac:dyDescent="0.3"/>
    <row r="9549" customFormat="1" x14ac:dyDescent="0.3"/>
    <row r="9550" customFormat="1" x14ac:dyDescent="0.3"/>
    <row r="9551" customFormat="1" x14ac:dyDescent="0.3"/>
    <row r="9552" customFormat="1" x14ac:dyDescent="0.3"/>
    <row r="9553" customFormat="1" x14ac:dyDescent="0.3"/>
    <row r="9554" customFormat="1" x14ac:dyDescent="0.3"/>
    <row r="9555" customFormat="1" x14ac:dyDescent="0.3"/>
    <row r="9556" customFormat="1" x14ac:dyDescent="0.3"/>
    <row r="9557" customFormat="1" x14ac:dyDescent="0.3"/>
    <row r="9558" customFormat="1" x14ac:dyDescent="0.3"/>
    <row r="9559" customFormat="1" x14ac:dyDescent="0.3"/>
    <row r="9560" customFormat="1" x14ac:dyDescent="0.3"/>
    <row r="9561" customFormat="1" x14ac:dyDescent="0.3"/>
    <row r="9562" customFormat="1" x14ac:dyDescent="0.3"/>
    <row r="9563" customFormat="1" x14ac:dyDescent="0.3"/>
    <row r="9564" customFormat="1" x14ac:dyDescent="0.3"/>
    <row r="9565" customFormat="1" x14ac:dyDescent="0.3"/>
    <row r="9566" customFormat="1" x14ac:dyDescent="0.3"/>
    <row r="9567" customFormat="1" x14ac:dyDescent="0.3"/>
    <row r="9568" customFormat="1" x14ac:dyDescent="0.3"/>
    <row r="9569" customFormat="1" x14ac:dyDescent="0.3"/>
    <row r="9570" customFormat="1" x14ac:dyDescent="0.3"/>
    <row r="9571" customFormat="1" x14ac:dyDescent="0.3"/>
    <row r="9572" customFormat="1" x14ac:dyDescent="0.3"/>
    <row r="9573" customFormat="1" x14ac:dyDescent="0.3"/>
    <row r="9574" customFormat="1" x14ac:dyDescent="0.3"/>
    <row r="9575" customFormat="1" x14ac:dyDescent="0.3"/>
    <row r="9576" customFormat="1" x14ac:dyDescent="0.3"/>
    <row r="9577" customFormat="1" x14ac:dyDescent="0.3"/>
    <row r="9578" customFormat="1" x14ac:dyDescent="0.3"/>
    <row r="9579" customFormat="1" x14ac:dyDescent="0.3"/>
    <row r="9580" customFormat="1" x14ac:dyDescent="0.3"/>
    <row r="9581" customFormat="1" x14ac:dyDescent="0.3"/>
    <row r="9582" customFormat="1" x14ac:dyDescent="0.3"/>
    <row r="9583" customFormat="1" x14ac:dyDescent="0.3"/>
    <row r="9584" customFormat="1" x14ac:dyDescent="0.3"/>
    <row r="9585" customFormat="1" x14ac:dyDescent="0.3"/>
    <row r="9586" customFormat="1" x14ac:dyDescent="0.3"/>
    <row r="9587" customFormat="1" x14ac:dyDescent="0.3"/>
    <row r="9588" customFormat="1" x14ac:dyDescent="0.3"/>
    <row r="9589" customFormat="1" x14ac:dyDescent="0.3"/>
    <row r="9590" customFormat="1" x14ac:dyDescent="0.3"/>
    <row r="9591" customFormat="1" x14ac:dyDescent="0.3"/>
    <row r="9592" customFormat="1" x14ac:dyDescent="0.3"/>
    <row r="9593" customFormat="1" x14ac:dyDescent="0.3"/>
    <row r="9594" customFormat="1" x14ac:dyDescent="0.3"/>
    <row r="9595" customFormat="1" x14ac:dyDescent="0.3"/>
    <row r="9596" customFormat="1" x14ac:dyDescent="0.3"/>
    <row r="9597" customFormat="1" x14ac:dyDescent="0.3"/>
    <row r="9598" customFormat="1" x14ac:dyDescent="0.3"/>
    <row r="9599" customFormat="1" x14ac:dyDescent="0.3"/>
    <row r="9600" customFormat="1" x14ac:dyDescent="0.3"/>
    <row r="9601" customFormat="1" x14ac:dyDescent="0.3"/>
    <row r="9602" customFormat="1" x14ac:dyDescent="0.3"/>
    <row r="9603" customFormat="1" x14ac:dyDescent="0.3"/>
    <row r="9604" customFormat="1" x14ac:dyDescent="0.3"/>
    <row r="9605" customFormat="1" x14ac:dyDescent="0.3"/>
    <row r="9606" customFormat="1" x14ac:dyDescent="0.3"/>
    <row r="9607" customFormat="1" x14ac:dyDescent="0.3"/>
    <row r="9608" customFormat="1" x14ac:dyDescent="0.3"/>
    <row r="9609" customFormat="1" x14ac:dyDescent="0.3"/>
    <row r="9610" customFormat="1" x14ac:dyDescent="0.3"/>
    <row r="9611" customFormat="1" x14ac:dyDescent="0.3"/>
    <row r="9612" customFormat="1" x14ac:dyDescent="0.3"/>
    <row r="9613" customFormat="1" x14ac:dyDescent="0.3"/>
    <row r="9614" customFormat="1" x14ac:dyDescent="0.3"/>
    <row r="9615" customFormat="1" x14ac:dyDescent="0.3"/>
    <row r="9616" customFormat="1" x14ac:dyDescent="0.3"/>
    <row r="9617" customFormat="1" x14ac:dyDescent="0.3"/>
    <row r="9618" customFormat="1" x14ac:dyDescent="0.3"/>
    <row r="9619" customFormat="1" x14ac:dyDescent="0.3"/>
    <row r="9620" customFormat="1" x14ac:dyDescent="0.3"/>
    <row r="9621" customFormat="1" x14ac:dyDescent="0.3"/>
    <row r="9622" customFormat="1" x14ac:dyDescent="0.3"/>
    <row r="9623" customFormat="1" x14ac:dyDescent="0.3"/>
    <row r="9624" customFormat="1" x14ac:dyDescent="0.3"/>
    <row r="9625" customFormat="1" x14ac:dyDescent="0.3"/>
    <row r="9626" customFormat="1" x14ac:dyDescent="0.3"/>
    <row r="9627" customFormat="1" x14ac:dyDescent="0.3"/>
    <row r="9628" customFormat="1" x14ac:dyDescent="0.3"/>
    <row r="9629" customFormat="1" x14ac:dyDescent="0.3"/>
    <row r="9630" customFormat="1" x14ac:dyDescent="0.3"/>
    <row r="9631" customFormat="1" x14ac:dyDescent="0.3"/>
    <row r="9632" customFormat="1" x14ac:dyDescent="0.3"/>
    <row r="9633" customFormat="1" x14ac:dyDescent="0.3"/>
    <row r="9634" customFormat="1" x14ac:dyDescent="0.3"/>
    <row r="9635" customFormat="1" x14ac:dyDescent="0.3"/>
    <row r="9636" customFormat="1" x14ac:dyDescent="0.3"/>
    <row r="9637" customFormat="1" x14ac:dyDescent="0.3"/>
    <row r="9638" customFormat="1" x14ac:dyDescent="0.3"/>
    <row r="9639" customFormat="1" x14ac:dyDescent="0.3"/>
    <row r="9640" customFormat="1" x14ac:dyDescent="0.3"/>
    <row r="9641" customFormat="1" x14ac:dyDescent="0.3"/>
    <row r="9642" customFormat="1" x14ac:dyDescent="0.3"/>
    <row r="9643" customFormat="1" x14ac:dyDescent="0.3"/>
    <row r="9644" customFormat="1" x14ac:dyDescent="0.3"/>
    <row r="9645" customFormat="1" x14ac:dyDescent="0.3"/>
    <row r="9646" customFormat="1" x14ac:dyDescent="0.3"/>
    <row r="9647" customFormat="1" x14ac:dyDescent="0.3"/>
    <row r="9648" customFormat="1" x14ac:dyDescent="0.3"/>
    <row r="9649" customFormat="1" x14ac:dyDescent="0.3"/>
    <row r="9650" customFormat="1" x14ac:dyDescent="0.3"/>
    <row r="9651" customFormat="1" x14ac:dyDescent="0.3"/>
    <row r="9652" customFormat="1" x14ac:dyDescent="0.3"/>
    <row r="9653" customFormat="1" x14ac:dyDescent="0.3"/>
    <row r="9654" customFormat="1" x14ac:dyDescent="0.3"/>
    <row r="9655" customFormat="1" x14ac:dyDescent="0.3"/>
    <row r="9656" customFormat="1" x14ac:dyDescent="0.3"/>
    <row r="9657" customFormat="1" x14ac:dyDescent="0.3"/>
    <row r="9658" customFormat="1" x14ac:dyDescent="0.3"/>
    <row r="9659" customFormat="1" x14ac:dyDescent="0.3"/>
    <row r="9660" customFormat="1" x14ac:dyDescent="0.3"/>
    <row r="9661" customFormat="1" x14ac:dyDescent="0.3"/>
    <row r="9662" customFormat="1" x14ac:dyDescent="0.3"/>
    <row r="9663" customFormat="1" x14ac:dyDescent="0.3"/>
    <row r="9664" customFormat="1" x14ac:dyDescent="0.3"/>
    <row r="9665" customFormat="1" x14ac:dyDescent="0.3"/>
    <row r="9666" customFormat="1" x14ac:dyDescent="0.3"/>
    <row r="9667" customFormat="1" x14ac:dyDescent="0.3"/>
    <row r="9668" customFormat="1" x14ac:dyDescent="0.3"/>
    <row r="9669" customFormat="1" x14ac:dyDescent="0.3"/>
    <row r="9670" customFormat="1" x14ac:dyDescent="0.3"/>
    <row r="9671" customFormat="1" x14ac:dyDescent="0.3"/>
    <row r="9672" customFormat="1" x14ac:dyDescent="0.3"/>
    <row r="9673" customFormat="1" x14ac:dyDescent="0.3"/>
    <row r="9674" customFormat="1" x14ac:dyDescent="0.3"/>
    <row r="9675" customFormat="1" x14ac:dyDescent="0.3"/>
    <row r="9676" customFormat="1" x14ac:dyDescent="0.3"/>
    <row r="9677" customFormat="1" x14ac:dyDescent="0.3"/>
    <row r="9678" customFormat="1" x14ac:dyDescent="0.3"/>
    <row r="9679" customFormat="1" x14ac:dyDescent="0.3"/>
    <row r="9680" customFormat="1" x14ac:dyDescent="0.3"/>
    <row r="9681" customFormat="1" x14ac:dyDescent="0.3"/>
    <row r="9682" customFormat="1" x14ac:dyDescent="0.3"/>
    <row r="9683" customFormat="1" x14ac:dyDescent="0.3"/>
    <row r="9684" customFormat="1" x14ac:dyDescent="0.3"/>
    <row r="9685" customFormat="1" x14ac:dyDescent="0.3"/>
    <row r="9686" customFormat="1" x14ac:dyDescent="0.3"/>
    <row r="9687" customFormat="1" x14ac:dyDescent="0.3"/>
    <row r="9688" customFormat="1" x14ac:dyDescent="0.3"/>
    <row r="9689" customFormat="1" x14ac:dyDescent="0.3"/>
    <row r="9690" customFormat="1" x14ac:dyDescent="0.3"/>
    <row r="9691" customFormat="1" x14ac:dyDescent="0.3"/>
    <row r="9692" customFormat="1" x14ac:dyDescent="0.3"/>
    <row r="9693" customFormat="1" x14ac:dyDescent="0.3"/>
    <row r="9694" customFormat="1" x14ac:dyDescent="0.3"/>
    <row r="9695" customFormat="1" x14ac:dyDescent="0.3"/>
    <row r="9696" customFormat="1" x14ac:dyDescent="0.3"/>
    <row r="9697" customFormat="1" x14ac:dyDescent="0.3"/>
    <row r="9698" customFormat="1" x14ac:dyDescent="0.3"/>
    <row r="9699" customFormat="1" x14ac:dyDescent="0.3"/>
    <row r="9700" customFormat="1" x14ac:dyDescent="0.3"/>
    <row r="9701" customFormat="1" x14ac:dyDescent="0.3"/>
    <row r="9702" customFormat="1" x14ac:dyDescent="0.3"/>
    <row r="9703" customFormat="1" x14ac:dyDescent="0.3"/>
    <row r="9704" customFormat="1" x14ac:dyDescent="0.3"/>
    <row r="9705" customFormat="1" x14ac:dyDescent="0.3"/>
    <row r="9706" customFormat="1" x14ac:dyDescent="0.3"/>
    <row r="9707" customFormat="1" x14ac:dyDescent="0.3"/>
    <row r="9708" customFormat="1" x14ac:dyDescent="0.3"/>
    <row r="9709" customFormat="1" x14ac:dyDescent="0.3"/>
    <row r="9710" customFormat="1" x14ac:dyDescent="0.3"/>
    <row r="9711" customFormat="1" x14ac:dyDescent="0.3"/>
    <row r="9712" customFormat="1" x14ac:dyDescent="0.3"/>
    <row r="9713" customFormat="1" x14ac:dyDescent="0.3"/>
    <row r="9714" customFormat="1" x14ac:dyDescent="0.3"/>
    <row r="9715" customFormat="1" x14ac:dyDescent="0.3"/>
    <row r="9716" customFormat="1" x14ac:dyDescent="0.3"/>
    <row r="9717" customFormat="1" x14ac:dyDescent="0.3"/>
    <row r="9718" customFormat="1" x14ac:dyDescent="0.3"/>
    <row r="9719" customFormat="1" x14ac:dyDescent="0.3"/>
    <row r="9720" customFormat="1" x14ac:dyDescent="0.3"/>
    <row r="9721" customFormat="1" x14ac:dyDescent="0.3"/>
    <row r="9722" customFormat="1" x14ac:dyDescent="0.3"/>
    <row r="9723" customFormat="1" x14ac:dyDescent="0.3"/>
    <row r="9724" customFormat="1" x14ac:dyDescent="0.3"/>
    <row r="9725" customFormat="1" x14ac:dyDescent="0.3"/>
    <row r="9726" customFormat="1" x14ac:dyDescent="0.3"/>
    <row r="9727" customFormat="1" x14ac:dyDescent="0.3"/>
    <row r="9728" customFormat="1" x14ac:dyDescent="0.3"/>
    <row r="9729" customFormat="1" x14ac:dyDescent="0.3"/>
    <row r="9730" customFormat="1" x14ac:dyDescent="0.3"/>
    <row r="9731" customFormat="1" x14ac:dyDescent="0.3"/>
    <row r="9732" customFormat="1" x14ac:dyDescent="0.3"/>
    <row r="9733" customFormat="1" x14ac:dyDescent="0.3"/>
    <row r="9734" customFormat="1" x14ac:dyDescent="0.3"/>
    <row r="9735" customFormat="1" x14ac:dyDescent="0.3"/>
    <row r="9736" customFormat="1" x14ac:dyDescent="0.3"/>
    <row r="9737" customFormat="1" x14ac:dyDescent="0.3"/>
    <row r="9738" customFormat="1" x14ac:dyDescent="0.3"/>
    <row r="9739" customFormat="1" x14ac:dyDescent="0.3"/>
    <row r="9740" customFormat="1" x14ac:dyDescent="0.3"/>
    <row r="9741" customFormat="1" x14ac:dyDescent="0.3"/>
    <row r="9742" customFormat="1" x14ac:dyDescent="0.3"/>
    <row r="9743" customFormat="1" x14ac:dyDescent="0.3"/>
    <row r="9744" customFormat="1" x14ac:dyDescent="0.3"/>
    <row r="9745" customFormat="1" x14ac:dyDescent="0.3"/>
    <row r="9746" customFormat="1" x14ac:dyDescent="0.3"/>
    <row r="9747" customFormat="1" x14ac:dyDescent="0.3"/>
    <row r="9748" customFormat="1" x14ac:dyDescent="0.3"/>
    <row r="9749" customFormat="1" x14ac:dyDescent="0.3"/>
    <row r="9750" customFormat="1" x14ac:dyDescent="0.3"/>
    <row r="9751" customFormat="1" x14ac:dyDescent="0.3"/>
    <row r="9752" customFormat="1" x14ac:dyDescent="0.3"/>
    <row r="9753" customFormat="1" x14ac:dyDescent="0.3"/>
    <row r="9754" customFormat="1" x14ac:dyDescent="0.3"/>
    <row r="9755" customFormat="1" x14ac:dyDescent="0.3"/>
    <row r="9756" customFormat="1" x14ac:dyDescent="0.3"/>
    <row r="9757" customFormat="1" x14ac:dyDescent="0.3"/>
    <row r="9758" customFormat="1" x14ac:dyDescent="0.3"/>
    <row r="9759" customFormat="1" x14ac:dyDescent="0.3"/>
    <row r="9760" customFormat="1" x14ac:dyDescent="0.3"/>
    <row r="9761" customFormat="1" x14ac:dyDescent="0.3"/>
    <row r="9762" customFormat="1" x14ac:dyDescent="0.3"/>
    <row r="9763" customFormat="1" x14ac:dyDescent="0.3"/>
    <row r="9764" customFormat="1" x14ac:dyDescent="0.3"/>
    <row r="9765" customFormat="1" x14ac:dyDescent="0.3"/>
    <row r="9766" customFormat="1" x14ac:dyDescent="0.3"/>
    <row r="9767" customFormat="1" x14ac:dyDescent="0.3"/>
    <row r="9768" customFormat="1" x14ac:dyDescent="0.3"/>
    <row r="9769" customFormat="1" x14ac:dyDescent="0.3"/>
    <row r="9770" customFormat="1" x14ac:dyDescent="0.3"/>
    <row r="9771" customFormat="1" x14ac:dyDescent="0.3"/>
    <row r="9772" customFormat="1" x14ac:dyDescent="0.3"/>
    <row r="9773" customFormat="1" x14ac:dyDescent="0.3"/>
    <row r="9774" customFormat="1" x14ac:dyDescent="0.3"/>
    <row r="9775" customFormat="1" x14ac:dyDescent="0.3"/>
    <row r="9776" customFormat="1" x14ac:dyDescent="0.3"/>
    <row r="9777" customFormat="1" x14ac:dyDescent="0.3"/>
    <row r="9778" customFormat="1" x14ac:dyDescent="0.3"/>
    <row r="9779" customFormat="1" x14ac:dyDescent="0.3"/>
    <row r="9780" customFormat="1" x14ac:dyDescent="0.3"/>
    <row r="9781" customFormat="1" x14ac:dyDescent="0.3"/>
    <row r="9782" customFormat="1" x14ac:dyDescent="0.3"/>
    <row r="9783" customFormat="1" x14ac:dyDescent="0.3"/>
    <row r="9784" customFormat="1" x14ac:dyDescent="0.3"/>
    <row r="9785" customFormat="1" x14ac:dyDescent="0.3"/>
    <row r="9786" customFormat="1" x14ac:dyDescent="0.3"/>
    <row r="9787" customFormat="1" x14ac:dyDescent="0.3"/>
    <row r="9788" customFormat="1" x14ac:dyDescent="0.3"/>
    <row r="9789" customFormat="1" x14ac:dyDescent="0.3"/>
    <row r="9790" customFormat="1" x14ac:dyDescent="0.3"/>
    <row r="9791" customFormat="1" x14ac:dyDescent="0.3"/>
    <row r="9792" customFormat="1" x14ac:dyDescent="0.3"/>
    <row r="9793" customFormat="1" x14ac:dyDescent="0.3"/>
    <row r="9794" customFormat="1" x14ac:dyDescent="0.3"/>
    <row r="9795" customFormat="1" x14ac:dyDescent="0.3"/>
    <row r="9796" customFormat="1" x14ac:dyDescent="0.3"/>
    <row r="9797" customFormat="1" x14ac:dyDescent="0.3"/>
    <row r="9798" customFormat="1" x14ac:dyDescent="0.3"/>
    <row r="9799" customFormat="1" x14ac:dyDescent="0.3"/>
    <row r="9800" customFormat="1" x14ac:dyDescent="0.3"/>
    <row r="9801" customFormat="1" x14ac:dyDescent="0.3"/>
    <row r="9802" customFormat="1" x14ac:dyDescent="0.3"/>
    <row r="9803" customFormat="1" x14ac:dyDescent="0.3"/>
    <row r="9804" customFormat="1" x14ac:dyDescent="0.3"/>
    <row r="9805" customFormat="1" x14ac:dyDescent="0.3"/>
    <row r="9806" customFormat="1" x14ac:dyDescent="0.3"/>
    <row r="9807" customFormat="1" x14ac:dyDescent="0.3"/>
    <row r="9808" customFormat="1" x14ac:dyDescent="0.3"/>
    <row r="9809" customFormat="1" x14ac:dyDescent="0.3"/>
    <row r="9810" customFormat="1" x14ac:dyDescent="0.3"/>
    <row r="9811" customFormat="1" x14ac:dyDescent="0.3"/>
    <row r="9812" customFormat="1" x14ac:dyDescent="0.3"/>
    <row r="9813" customFormat="1" x14ac:dyDescent="0.3"/>
    <row r="9814" customFormat="1" x14ac:dyDescent="0.3"/>
    <row r="9815" customFormat="1" x14ac:dyDescent="0.3"/>
    <row r="9816" customFormat="1" x14ac:dyDescent="0.3"/>
    <row r="9817" customFormat="1" x14ac:dyDescent="0.3"/>
    <row r="9818" customFormat="1" x14ac:dyDescent="0.3"/>
    <row r="9819" customFormat="1" x14ac:dyDescent="0.3"/>
    <row r="9820" customFormat="1" x14ac:dyDescent="0.3"/>
    <row r="9821" customFormat="1" x14ac:dyDescent="0.3"/>
    <row r="9822" customFormat="1" x14ac:dyDescent="0.3"/>
    <row r="9823" customFormat="1" x14ac:dyDescent="0.3"/>
    <row r="9824" customFormat="1" x14ac:dyDescent="0.3"/>
    <row r="9825" customFormat="1" x14ac:dyDescent="0.3"/>
    <row r="9826" customFormat="1" x14ac:dyDescent="0.3"/>
    <row r="9827" customFormat="1" x14ac:dyDescent="0.3"/>
    <row r="9828" customFormat="1" x14ac:dyDescent="0.3"/>
    <row r="9829" customFormat="1" x14ac:dyDescent="0.3"/>
    <row r="9830" customFormat="1" x14ac:dyDescent="0.3"/>
    <row r="9831" customFormat="1" x14ac:dyDescent="0.3"/>
    <row r="9832" customFormat="1" x14ac:dyDescent="0.3"/>
    <row r="9833" customFormat="1" x14ac:dyDescent="0.3"/>
    <row r="9834" customFormat="1" x14ac:dyDescent="0.3"/>
    <row r="9835" customFormat="1" x14ac:dyDescent="0.3"/>
    <row r="9836" customFormat="1" x14ac:dyDescent="0.3"/>
    <row r="9837" customFormat="1" x14ac:dyDescent="0.3"/>
    <row r="9838" customFormat="1" x14ac:dyDescent="0.3"/>
    <row r="9839" customFormat="1" x14ac:dyDescent="0.3"/>
    <row r="9840" customFormat="1" x14ac:dyDescent="0.3"/>
    <row r="9841" customFormat="1" x14ac:dyDescent="0.3"/>
    <row r="9842" customFormat="1" x14ac:dyDescent="0.3"/>
    <row r="9843" customFormat="1" x14ac:dyDescent="0.3"/>
    <row r="9844" customFormat="1" x14ac:dyDescent="0.3"/>
    <row r="9845" customFormat="1" x14ac:dyDescent="0.3"/>
    <row r="9846" customFormat="1" x14ac:dyDescent="0.3"/>
    <row r="9847" customFormat="1" x14ac:dyDescent="0.3"/>
    <row r="9848" customFormat="1" x14ac:dyDescent="0.3"/>
    <row r="9849" customFormat="1" x14ac:dyDescent="0.3"/>
    <row r="9850" customFormat="1" x14ac:dyDescent="0.3"/>
    <row r="9851" customFormat="1" x14ac:dyDescent="0.3"/>
    <row r="9852" customFormat="1" x14ac:dyDescent="0.3"/>
    <row r="9853" customFormat="1" x14ac:dyDescent="0.3"/>
    <row r="9854" customFormat="1" x14ac:dyDescent="0.3"/>
    <row r="9855" customFormat="1" x14ac:dyDescent="0.3"/>
    <row r="9856" customFormat="1" x14ac:dyDescent="0.3"/>
    <row r="9857" customFormat="1" x14ac:dyDescent="0.3"/>
    <row r="9858" customFormat="1" x14ac:dyDescent="0.3"/>
    <row r="9859" customFormat="1" x14ac:dyDescent="0.3"/>
    <row r="9860" customFormat="1" x14ac:dyDescent="0.3"/>
    <row r="9861" customFormat="1" x14ac:dyDescent="0.3"/>
    <row r="9862" customFormat="1" x14ac:dyDescent="0.3"/>
    <row r="9863" customFormat="1" x14ac:dyDescent="0.3"/>
    <row r="9864" customFormat="1" x14ac:dyDescent="0.3"/>
    <row r="9865" customFormat="1" x14ac:dyDescent="0.3"/>
    <row r="9866" customFormat="1" x14ac:dyDescent="0.3"/>
    <row r="9867" customFormat="1" x14ac:dyDescent="0.3"/>
    <row r="9868" customFormat="1" x14ac:dyDescent="0.3"/>
    <row r="9869" customFormat="1" x14ac:dyDescent="0.3"/>
    <row r="9870" customFormat="1" x14ac:dyDescent="0.3"/>
    <row r="9871" customFormat="1" x14ac:dyDescent="0.3"/>
    <row r="9872" customFormat="1" x14ac:dyDescent="0.3"/>
    <row r="9873" customFormat="1" x14ac:dyDescent="0.3"/>
    <row r="9874" customFormat="1" x14ac:dyDescent="0.3"/>
    <row r="9875" customFormat="1" x14ac:dyDescent="0.3"/>
    <row r="9876" customFormat="1" x14ac:dyDescent="0.3"/>
    <row r="9877" customFormat="1" x14ac:dyDescent="0.3"/>
    <row r="9878" customFormat="1" x14ac:dyDescent="0.3"/>
    <row r="9879" customFormat="1" x14ac:dyDescent="0.3"/>
    <row r="9880" customFormat="1" x14ac:dyDescent="0.3"/>
    <row r="9881" customFormat="1" x14ac:dyDescent="0.3"/>
    <row r="9882" customFormat="1" x14ac:dyDescent="0.3"/>
    <row r="9883" customFormat="1" x14ac:dyDescent="0.3"/>
    <row r="9884" customFormat="1" x14ac:dyDescent="0.3"/>
    <row r="9885" customFormat="1" x14ac:dyDescent="0.3"/>
    <row r="9886" customFormat="1" x14ac:dyDescent="0.3"/>
    <row r="9887" customFormat="1" x14ac:dyDescent="0.3"/>
    <row r="9888" customFormat="1" x14ac:dyDescent="0.3"/>
    <row r="9889" customFormat="1" x14ac:dyDescent="0.3"/>
    <row r="9890" customFormat="1" x14ac:dyDescent="0.3"/>
    <row r="9891" customFormat="1" x14ac:dyDescent="0.3"/>
    <row r="9892" customFormat="1" x14ac:dyDescent="0.3"/>
    <row r="9893" customFormat="1" x14ac:dyDescent="0.3"/>
    <row r="9894" customFormat="1" x14ac:dyDescent="0.3"/>
    <row r="9895" customFormat="1" x14ac:dyDescent="0.3"/>
    <row r="9896" customFormat="1" x14ac:dyDescent="0.3"/>
    <row r="9897" customFormat="1" x14ac:dyDescent="0.3"/>
    <row r="9898" customFormat="1" x14ac:dyDescent="0.3"/>
    <row r="9899" customFormat="1" x14ac:dyDescent="0.3"/>
    <row r="9900" customFormat="1" x14ac:dyDescent="0.3"/>
    <row r="9901" customFormat="1" x14ac:dyDescent="0.3"/>
    <row r="9902" customFormat="1" x14ac:dyDescent="0.3"/>
    <row r="9903" customFormat="1" x14ac:dyDescent="0.3"/>
    <row r="9904" customFormat="1" x14ac:dyDescent="0.3"/>
    <row r="9905" customFormat="1" x14ac:dyDescent="0.3"/>
    <row r="9906" customFormat="1" x14ac:dyDescent="0.3"/>
    <row r="9907" customFormat="1" x14ac:dyDescent="0.3"/>
    <row r="9908" customFormat="1" x14ac:dyDescent="0.3"/>
    <row r="9909" customFormat="1" x14ac:dyDescent="0.3"/>
    <row r="9910" customFormat="1" x14ac:dyDescent="0.3"/>
    <row r="9911" customFormat="1" x14ac:dyDescent="0.3"/>
    <row r="9912" customFormat="1" x14ac:dyDescent="0.3"/>
    <row r="9913" customFormat="1" x14ac:dyDescent="0.3"/>
    <row r="9914" customFormat="1" x14ac:dyDescent="0.3"/>
    <row r="9915" customFormat="1" x14ac:dyDescent="0.3"/>
    <row r="9916" customFormat="1" x14ac:dyDescent="0.3"/>
    <row r="9917" customFormat="1" x14ac:dyDescent="0.3"/>
    <row r="9918" customFormat="1" x14ac:dyDescent="0.3"/>
    <row r="9919" customFormat="1" x14ac:dyDescent="0.3"/>
    <row r="9920" customFormat="1" x14ac:dyDescent="0.3"/>
    <row r="9921" customFormat="1" x14ac:dyDescent="0.3"/>
    <row r="9922" customFormat="1" x14ac:dyDescent="0.3"/>
    <row r="9923" customFormat="1" x14ac:dyDescent="0.3"/>
    <row r="9924" customFormat="1" x14ac:dyDescent="0.3"/>
    <row r="9925" customFormat="1" x14ac:dyDescent="0.3"/>
    <row r="9926" customFormat="1" x14ac:dyDescent="0.3"/>
    <row r="9927" customFormat="1" x14ac:dyDescent="0.3"/>
    <row r="9928" customFormat="1" x14ac:dyDescent="0.3"/>
    <row r="9929" customFormat="1" x14ac:dyDescent="0.3"/>
    <row r="9930" customFormat="1" x14ac:dyDescent="0.3"/>
    <row r="9931" customFormat="1" x14ac:dyDescent="0.3"/>
    <row r="9932" customFormat="1" x14ac:dyDescent="0.3"/>
    <row r="9933" customFormat="1" x14ac:dyDescent="0.3"/>
    <row r="9934" customFormat="1" x14ac:dyDescent="0.3"/>
    <row r="9935" customFormat="1" x14ac:dyDescent="0.3"/>
    <row r="9936" customFormat="1" x14ac:dyDescent="0.3"/>
    <row r="9937" customFormat="1" x14ac:dyDescent="0.3"/>
    <row r="9938" customFormat="1" x14ac:dyDescent="0.3"/>
    <row r="9939" customFormat="1" x14ac:dyDescent="0.3"/>
    <row r="9940" customFormat="1" x14ac:dyDescent="0.3"/>
    <row r="9941" customFormat="1" x14ac:dyDescent="0.3"/>
    <row r="9942" customFormat="1" x14ac:dyDescent="0.3"/>
    <row r="9943" customFormat="1" x14ac:dyDescent="0.3"/>
    <row r="9944" customFormat="1" x14ac:dyDescent="0.3"/>
    <row r="9945" customFormat="1" x14ac:dyDescent="0.3"/>
    <row r="9946" customFormat="1" x14ac:dyDescent="0.3"/>
    <row r="9947" customFormat="1" x14ac:dyDescent="0.3"/>
    <row r="9948" customFormat="1" x14ac:dyDescent="0.3"/>
    <row r="9949" customFormat="1" x14ac:dyDescent="0.3"/>
    <row r="9950" customFormat="1" x14ac:dyDescent="0.3"/>
    <row r="9951" customFormat="1" x14ac:dyDescent="0.3"/>
    <row r="9952" customFormat="1" x14ac:dyDescent="0.3"/>
    <row r="9953" customFormat="1" x14ac:dyDescent="0.3"/>
    <row r="9954" customFormat="1" x14ac:dyDescent="0.3"/>
    <row r="9955" customFormat="1" x14ac:dyDescent="0.3"/>
    <row r="9956" customFormat="1" x14ac:dyDescent="0.3"/>
    <row r="9957" customFormat="1" x14ac:dyDescent="0.3"/>
    <row r="9958" customFormat="1" x14ac:dyDescent="0.3"/>
    <row r="9959" customFormat="1" x14ac:dyDescent="0.3"/>
    <row r="9960" customFormat="1" x14ac:dyDescent="0.3"/>
    <row r="9961" customFormat="1" x14ac:dyDescent="0.3"/>
    <row r="9962" customFormat="1" x14ac:dyDescent="0.3"/>
    <row r="9963" customFormat="1" x14ac:dyDescent="0.3"/>
    <row r="9964" customFormat="1" x14ac:dyDescent="0.3"/>
    <row r="9965" customFormat="1" x14ac:dyDescent="0.3"/>
    <row r="9966" customFormat="1" x14ac:dyDescent="0.3"/>
    <row r="9967" customFormat="1" x14ac:dyDescent="0.3"/>
    <row r="9968" customFormat="1" x14ac:dyDescent="0.3"/>
    <row r="9969" customFormat="1" x14ac:dyDescent="0.3"/>
    <row r="9970" customFormat="1" x14ac:dyDescent="0.3"/>
    <row r="9971" customFormat="1" x14ac:dyDescent="0.3"/>
    <row r="9972" customFormat="1" x14ac:dyDescent="0.3"/>
    <row r="9973" customFormat="1" x14ac:dyDescent="0.3"/>
    <row r="9974" customFormat="1" x14ac:dyDescent="0.3"/>
    <row r="9975" customFormat="1" x14ac:dyDescent="0.3"/>
    <row r="9976" customFormat="1" x14ac:dyDescent="0.3"/>
    <row r="9977" customFormat="1" x14ac:dyDescent="0.3"/>
    <row r="9978" customFormat="1" x14ac:dyDescent="0.3"/>
    <row r="9979" customFormat="1" x14ac:dyDescent="0.3"/>
    <row r="9980" customFormat="1" x14ac:dyDescent="0.3"/>
    <row r="9981" customFormat="1" x14ac:dyDescent="0.3"/>
    <row r="9982" customFormat="1" x14ac:dyDescent="0.3"/>
    <row r="9983" customFormat="1" x14ac:dyDescent="0.3"/>
    <row r="9984" customFormat="1" x14ac:dyDescent="0.3"/>
    <row r="9985" customFormat="1" x14ac:dyDescent="0.3"/>
    <row r="9986" customFormat="1" x14ac:dyDescent="0.3"/>
    <row r="9987" customFormat="1" x14ac:dyDescent="0.3"/>
    <row r="9988" customFormat="1" x14ac:dyDescent="0.3"/>
    <row r="9989" customFormat="1" x14ac:dyDescent="0.3"/>
    <row r="9990" customFormat="1" x14ac:dyDescent="0.3"/>
    <row r="9991" customFormat="1" x14ac:dyDescent="0.3"/>
    <row r="9992" customFormat="1" x14ac:dyDescent="0.3"/>
    <row r="9993" customFormat="1" x14ac:dyDescent="0.3"/>
    <row r="9994" customFormat="1" x14ac:dyDescent="0.3"/>
    <row r="9995" customFormat="1" x14ac:dyDescent="0.3"/>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51403-BEA2-4F12-B84C-CA34A1E6D17F}">
  <dimension ref="A1:G1851"/>
  <sheetViews>
    <sheetView workbookViewId="0">
      <selection activeCell="F9" sqref="F9:G13"/>
    </sheetView>
  </sheetViews>
  <sheetFormatPr defaultRowHeight="14.4" x14ac:dyDescent="0.3"/>
  <cols>
    <col min="2" max="2" width="8.88671875" customWidth="1"/>
    <col min="6" max="6" width="12.44140625" customWidth="1"/>
    <col min="7" max="7" width="21.88671875" customWidth="1"/>
  </cols>
  <sheetData>
    <row r="1" spans="1:7" x14ac:dyDescent="0.3">
      <c r="A1" s="21" t="s">
        <v>2743</v>
      </c>
      <c r="B1" s="4" t="s">
        <v>1</v>
      </c>
    </row>
    <row r="2" spans="1:7" x14ac:dyDescent="0.3">
      <c r="A2" s="22">
        <f>YEAR(Table1[[#This Row],[Order Date]])</f>
        <v>2014</v>
      </c>
      <c r="B2" s="5" t="s">
        <v>151</v>
      </c>
    </row>
    <row r="3" spans="1:7" x14ac:dyDescent="0.3">
      <c r="A3" s="23">
        <f>YEAR(Table1[[#This Row],[Order Date]])</f>
        <v>2014</v>
      </c>
      <c r="B3" s="6" t="s">
        <v>219</v>
      </c>
    </row>
    <row r="4" spans="1:7" x14ac:dyDescent="0.3">
      <c r="A4" s="22">
        <f>YEAR(Table1[[#This Row],[Order Date]])</f>
        <v>2014</v>
      </c>
      <c r="B4" s="5" t="s">
        <v>220</v>
      </c>
    </row>
    <row r="5" spans="1:7" x14ac:dyDescent="0.3">
      <c r="A5" s="23">
        <f>YEAR(Table1[[#This Row],[Order Date]])</f>
        <v>2014</v>
      </c>
      <c r="B5" s="6" t="s">
        <v>222</v>
      </c>
    </row>
    <row r="6" spans="1:7" x14ac:dyDescent="0.3">
      <c r="A6" s="22">
        <f>YEAR(Table1[[#This Row],[Order Date]])</f>
        <v>2014</v>
      </c>
      <c r="B6" s="5" t="s">
        <v>222</v>
      </c>
    </row>
    <row r="7" spans="1:7" x14ac:dyDescent="0.3">
      <c r="A7" s="23">
        <f>YEAR(Table1[[#This Row],[Order Date]])</f>
        <v>2014</v>
      </c>
      <c r="B7" s="6" t="s">
        <v>225</v>
      </c>
    </row>
    <row r="8" spans="1:7" x14ac:dyDescent="0.3">
      <c r="A8" s="22">
        <f>YEAR(Table1[[#This Row],[Order Date]])</f>
        <v>2014</v>
      </c>
      <c r="B8" s="5" t="s">
        <v>225</v>
      </c>
    </row>
    <row r="9" spans="1:7" x14ac:dyDescent="0.3">
      <c r="A9" s="23">
        <f>YEAR(Table1[[#This Row],[Order Date]])</f>
        <v>2014</v>
      </c>
      <c r="B9" s="6" t="s">
        <v>225</v>
      </c>
      <c r="F9" s="19" t="s">
        <v>2745</v>
      </c>
      <c r="G9" t="s">
        <v>2753</v>
      </c>
    </row>
    <row r="10" spans="1:7" x14ac:dyDescent="0.3">
      <c r="A10" s="22">
        <f>YEAR(Table1[[#This Row],[Order Date]])</f>
        <v>2014</v>
      </c>
      <c r="B10" s="5" t="s">
        <v>225</v>
      </c>
      <c r="F10" s="3">
        <v>2014</v>
      </c>
      <c r="G10" s="20">
        <v>649</v>
      </c>
    </row>
    <row r="11" spans="1:7" x14ac:dyDescent="0.3">
      <c r="A11" s="23">
        <f>YEAR(Table1[[#This Row],[Order Date]])</f>
        <v>2014</v>
      </c>
      <c r="B11" s="6" t="s">
        <v>229</v>
      </c>
      <c r="F11" s="3">
        <v>2015</v>
      </c>
      <c r="G11" s="20">
        <v>398</v>
      </c>
    </row>
    <row r="12" spans="1:7" x14ac:dyDescent="0.3">
      <c r="A12" s="22">
        <f>YEAR(Table1[[#This Row],[Order Date]])</f>
        <v>2014</v>
      </c>
      <c r="B12" s="5" t="s">
        <v>229</v>
      </c>
      <c r="F12" s="3">
        <v>2016</v>
      </c>
      <c r="G12" s="20">
        <v>329</v>
      </c>
    </row>
    <row r="13" spans="1:7" x14ac:dyDescent="0.3">
      <c r="A13" s="23">
        <f>YEAR(Table1[[#This Row],[Order Date]])</f>
        <v>2014</v>
      </c>
      <c r="B13" s="6" t="s">
        <v>395</v>
      </c>
      <c r="F13" s="3">
        <v>2017</v>
      </c>
      <c r="G13" s="20">
        <v>232</v>
      </c>
    </row>
    <row r="14" spans="1:7" x14ac:dyDescent="0.3">
      <c r="A14" s="22">
        <f>YEAR(Table1[[#This Row],[Order Date]])</f>
        <v>2014</v>
      </c>
      <c r="B14" s="5" t="s">
        <v>395</v>
      </c>
    </row>
    <row r="15" spans="1:7" x14ac:dyDescent="0.3">
      <c r="A15" s="23">
        <f>YEAR(Table1[[#This Row],[Order Date]])</f>
        <v>2014</v>
      </c>
      <c r="B15" s="6" t="s">
        <v>421</v>
      </c>
    </row>
    <row r="16" spans="1:7" x14ac:dyDescent="0.3">
      <c r="A16" s="22">
        <f>YEAR(Table1[[#This Row],[Order Date]])</f>
        <v>2014</v>
      </c>
      <c r="B16" s="5" t="s">
        <v>421</v>
      </c>
    </row>
    <row r="17" spans="1:2" x14ac:dyDescent="0.3">
      <c r="A17" s="23">
        <f>YEAR(Table1[[#This Row],[Order Date]])</f>
        <v>2014</v>
      </c>
      <c r="B17" s="6" t="s">
        <v>733</v>
      </c>
    </row>
    <row r="18" spans="1:2" x14ac:dyDescent="0.3">
      <c r="A18" s="22">
        <f>YEAR(Table1[[#This Row],[Order Date]])</f>
        <v>2014</v>
      </c>
      <c r="B18" s="5" t="s">
        <v>733</v>
      </c>
    </row>
    <row r="19" spans="1:2" x14ac:dyDescent="0.3">
      <c r="A19" s="23">
        <f>YEAR(Table1[[#This Row],[Order Date]])</f>
        <v>2014</v>
      </c>
      <c r="B19" s="6" t="s">
        <v>733</v>
      </c>
    </row>
    <row r="20" spans="1:2" x14ac:dyDescent="0.3">
      <c r="A20" s="22">
        <f>YEAR(Table1[[#This Row],[Order Date]])</f>
        <v>2014</v>
      </c>
      <c r="B20" s="5" t="s">
        <v>733</v>
      </c>
    </row>
    <row r="21" spans="1:2" x14ac:dyDescent="0.3">
      <c r="A21" s="23">
        <f>YEAR(Table1[[#This Row],[Order Date]])</f>
        <v>2014</v>
      </c>
      <c r="B21" s="6" t="s">
        <v>738</v>
      </c>
    </row>
    <row r="22" spans="1:2" x14ac:dyDescent="0.3">
      <c r="A22" s="22">
        <f>YEAR(Table1[[#This Row],[Order Date]])</f>
        <v>2014</v>
      </c>
      <c r="B22" s="5" t="s">
        <v>738</v>
      </c>
    </row>
    <row r="23" spans="1:2" x14ac:dyDescent="0.3">
      <c r="A23" s="23">
        <f>YEAR(Table1[[#This Row],[Order Date]])</f>
        <v>2014</v>
      </c>
      <c r="B23" s="6" t="s">
        <v>741</v>
      </c>
    </row>
    <row r="24" spans="1:2" x14ac:dyDescent="0.3">
      <c r="A24" s="22">
        <f>YEAR(Table1[[#This Row],[Order Date]])</f>
        <v>2014</v>
      </c>
      <c r="B24" s="5" t="s">
        <v>741</v>
      </c>
    </row>
    <row r="25" spans="1:2" x14ac:dyDescent="0.3">
      <c r="A25" s="23">
        <f>YEAR(Table1[[#This Row],[Order Date]])</f>
        <v>2014</v>
      </c>
      <c r="B25" s="6" t="s">
        <v>327</v>
      </c>
    </row>
    <row r="26" spans="1:2" x14ac:dyDescent="0.3">
      <c r="A26" s="22">
        <f>YEAR(Table1[[#This Row],[Order Date]])</f>
        <v>2014</v>
      </c>
      <c r="B26" s="5" t="s">
        <v>327</v>
      </c>
    </row>
    <row r="27" spans="1:2" x14ac:dyDescent="0.3">
      <c r="A27" s="23">
        <f>YEAR(Table1[[#This Row],[Order Date]])</f>
        <v>2014</v>
      </c>
      <c r="B27" s="6" t="s">
        <v>397</v>
      </c>
    </row>
    <row r="28" spans="1:2" x14ac:dyDescent="0.3">
      <c r="A28" s="22">
        <f>YEAR(Table1[[#This Row],[Order Date]])</f>
        <v>2014</v>
      </c>
      <c r="B28" s="5" t="s">
        <v>724</v>
      </c>
    </row>
    <row r="29" spans="1:2" x14ac:dyDescent="0.3">
      <c r="A29" s="23">
        <f>YEAR(Table1[[#This Row],[Order Date]])</f>
        <v>2014</v>
      </c>
      <c r="B29" s="6" t="s">
        <v>724</v>
      </c>
    </row>
    <row r="30" spans="1:2" x14ac:dyDescent="0.3">
      <c r="A30" s="22">
        <f>YEAR(Table1[[#This Row],[Order Date]])</f>
        <v>2014</v>
      </c>
      <c r="B30" s="5" t="s">
        <v>937</v>
      </c>
    </row>
    <row r="31" spans="1:2" x14ac:dyDescent="0.3">
      <c r="A31" s="23">
        <f>YEAR(Table1[[#This Row],[Order Date]])</f>
        <v>2014</v>
      </c>
      <c r="B31" s="6" t="s">
        <v>937</v>
      </c>
    </row>
    <row r="32" spans="1:2" x14ac:dyDescent="0.3">
      <c r="A32" s="22">
        <f>YEAR(Table1[[#This Row],[Order Date]])</f>
        <v>2014</v>
      </c>
      <c r="B32" s="5" t="s">
        <v>937</v>
      </c>
    </row>
    <row r="33" spans="1:2" x14ac:dyDescent="0.3">
      <c r="A33" s="23">
        <f>YEAR(Table1[[#This Row],[Order Date]])</f>
        <v>2014</v>
      </c>
      <c r="B33" s="6" t="s">
        <v>937</v>
      </c>
    </row>
    <row r="34" spans="1:2" x14ac:dyDescent="0.3">
      <c r="A34" s="22">
        <f>YEAR(Table1[[#This Row],[Order Date]])</f>
        <v>2014</v>
      </c>
      <c r="B34" s="5" t="s">
        <v>1018</v>
      </c>
    </row>
    <row r="35" spans="1:2" x14ac:dyDescent="0.3">
      <c r="A35" s="23">
        <f>YEAR(Table1[[#This Row],[Order Date]])</f>
        <v>2014</v>
      </c>
      <c r="B35" s="6" t="s">
        <v>1020</v>
      </c>
    </row>
    <row r="36" spans="1:2" x14ac:dyDescent="0.3">
      <c r="A36" s="22">
        <f>YEAR(Table1[[#This Row],[Order Date]])</f>
        <v>2014</v>
      </c>
      <c r="B36" s="5" t="s">
        <v>1172</v>
      </c>
    </row>
    <row r="37" spans="1:2" x14ac:dyDescent="0.3">
      <c r="A37" s="23">
        <f>YEAR(Table1[[#This Row],[Order Date]])</f>
        <v>2014</v>
      </c>
      <c r="B37" s="6" t="s">
        <v>942</v>
      </c>
    </row>
    <row r="38" spans="1:2" x14ac:dyDescent="0.3">
      <c r="A38" s="22">
        <f>YEAR(Table1[[#This Row],[Order Date]])</f>
        <v>2014</v>
      </c>
      <c r="B38" s="5" t="s">
        <v>942</v>
      </c>
    </row>
    <row r="39" spans="1:2" x14ac:dyDescent="0.3">
      <c r="A39" s="23">
        <f>YEAR(Table1[[#This Row],[Order Date]])</f>
        <v>2014</v>
      </c>
      <c r="B39" s="6" t="s">
        <v>1112</v>
      </c>
    </row>
    <row r="40" spans="1:2" x14ac:dyDescent="0.3">
      <c r="A40" s="22">
        <f>YEAR(Table1[[#This Row],[Order Date]])</f>
        <v>2014</v>
      </c>
      <c r="B40" s="5" t="s">
        <v>1112</v>
      </c>
    </row>
    <row r="41" spans="1:2" x14ac:dyDescent="0.3">
      <c r="A41" s="23">
        <f>YEAR(Table1[[#This Row],[Order Date]])</f>
        <v>2014</v>
      </c>
      <c r="B41" s="6" t="s">
        <v>296</v>
      </c>
    </row>
    <row r="42" spans="1:2" x14ac:dyDescent="0.3">
      <c r="A42" s="22">
        <f>YEAR(Table1[[#This Row],[Order Date]])</f>
        <v>2014</v>
      </c>
      <c r="B42" s="5" t="s">
        <v>868</v>
      </c>
    </row>
    <row r="43" spans="1:2" x14ac:dyDescent="0.3">
      <c r="A43" s="23">
        <f>YEAR(Table1[[#This Row],[Order Date]])</f>
        <v>2014</v>
      </c>
      <c r="B43" s="6" t="s">
        <v>868</v>
      </c>
    </row>
    <row r="44" spans="1:2" x14ac:dyDescent="0.3">
      <c r="A44" s="22">
        <f>YEAR(Table1[[#This Row],[Order Date]])</f>
        <v>2014</v>
      </c>
      <c r="B44" s="5" t="s">
        <v>69</v>
      </c>
    </row>
    <row r="45" spans="1:2" x14ac:dyDescent="0.3">
      <c r="A45" s="23">
        <f>YEAR(Table1[[#This Row],[Order Date]])</f>
        <v>2014</v>
      </c>
      <c r="B45" s="6" t="s">
        <v>69</v>
      </c>
    </row>
    <row r="46" spans="1:2" x14ac:dyDescent="0.3">
      <c r="A46" s="22">
        <f>YEAR(Table1[[#This Row],[Order Date]])</f>
        <v>2014</v>
      </c>
      <c r="B46" s="5" t="s">
        <v>1502</v>
      </c>
    </row>
    <row r="47" spans="1:2" x14ac:dyDescent="0.3">
      <c r="A47" s="23">
        <f>YEAR(Table1[[#This Row],[Order Date]])</f>
        <v>2014</v>
      </c>
      <c r="B47" s="6" t="s">
        <v>1502</v>
      </c>
    </row>
    <row r="48" spans="1:2" x14ac:dyDescent="0.3">
      <c r="A48" s="22">
        <f>YEAR(Table1[[#This Row],[Order Date]])</f>
        <v>2014</v>
      </c>
      <c r="B48" s="5" t="s">
        <v>1502</v>
      </c>
    </row>
    <row r="49" spans="1:2" x14ac:dyDescent="0.3">
      <c r="A49" s="23">
        <f>YEAR(Table1[[#This Row],[Order Date]])</f>
        <v>2014</v>
      </c>
      <c r="B49" s="6" t="s">
        <v>1502</v>
      </c>
    </row>
    <row r="50" spans="1:2" x14ac:dyDescent="0.3">
      <c r="A50" s="22">
        <f>YEAR(Table1[[#This Row],[Order Date]])</f>
        <v>2014</v>
      </c>
      <c r="B50" s="5" t="s">
        <v>1368</v>
      </c>
    </row>
    <row r="51" spans="1:2" x14ac:dyDescent="0.3">
      <c r="A51" s="23">
        <f>YEAR(Table1[[#This Row],[Order Date]])</f>
        <v>2014</v>
      </c>
      <c r="B51" s="6" t="s">
        <v>29</v>
      </c>
    </row>
    <row r="52" spans="1:2" x14ac:dyDescent="0.3">
      <c r="A52" s="22">
        <f>YEAR(Table1[[#This Row],[Order Date]])</f>
        <v>2014</v>
      </c>
      <c r="B52" s="5" t="s">
        <v>29</v>
      </c>
    </row>
    <row r="53" spans="1:2" x14ac:dyDescent="0.3">
      <c r="A53" s="23">
        <f>YEAR(Table1[[#This Row],[Order Date]])</f>
        <v>2014</v>
      </c>
      <c r="B53" s="6" t="s">
        <v>1505</v>
      </c>
    </row>
    <row r="54" spans="1:2" x14ac:dyDescent="0.3">
      <c r="A54" s="22">
        <f>YEAR(Table1[[#This Row],[Order Date]])</f>
        <v>2014</v>
      </c>
      <c r="B54" s="5" t="s">
        <v>1505</v>
      </c>
    </row>
    <row r="55" spans="1:2" x14ac:dyDescent="0.3">
      <c r="A55" s="23">
        <f>YEAR(Table1[[#This Row],[Order Date]])</f>
        <v>2014</v>
      </c>
      <c r="B55" s="6" t="s">
        <v>1239</v>
      </c>
    </row>
    <row r="56" spans="1:2" x14ac:dyDescent="0.3">
      <c r="A56" s="22">
        <f>YEAR(Table1[[#This Row],[Order Date]])</f>
        <v>2014</v>
      </c>
      <c r="B56" s="5" t="s">
        <v>1239</v>
      </c>
    </row>
    <row r="57" spans="1:2" x14ac:dyDescent="0.3">
      <c r="A57" s="23">
        <f>YEAR(Table1[[#This Row],[Order Date]])</f>
        <v>2014</v>
      </c>
      <c r="B57" s="6" t="s">
        <v>1239</v>
      </c>
    </row>
    <row r="58" spans="1:2" x14ac:dyDescent="0.3">
      <c r="A58" s="22">
        <f>YEAR(Table1[[#This Row],[Order Date]])</f>
        <v>2014</v>
      </c>
      <c r="B58" s="5" t="s">
        <v>1508</v>
      </c>
    </row>
    <row r="59" spans="1:2" x14ac:dyDescent="0.3">
      <c r="A59" s="23">
        <f>YEAR(Table1[[#This Row],[Order Date]])</f>
        <v>2014</v>
      </c>
      <c r="B59" s="6" t="s">
        <v>1260</v>
      </c>
    </row>
    <row r="60" spans="1:2" x14ac:dyDescent="0.3">
      <c r="A60" s="22">
        <f>YEAR(Table1[[#This Row],[Order Date]])</f>
        <v>2014</v>
      </c>
      <c r="B60" s="5" t="s">
        <v>1260</v>
      </c>
    </row>
    <row r="61" spans="1:2" x14ac:dyDescent="0.3">
      <c r="A61" s="23">
        <f>YEAR(Table1[[#This Row],[Order Date]])</f>
        <v>2014</v>
      </c>
      <c r="B61" s="6" t="s">
        <v>1260</v>
      </c>
    </row>
    <row r="62" spans="1:2" x14ac:dyDescent="0.3">
      <c r="A62" s="22">
        <f>YEAR(Table1[[#This Row],[Order Date]])</f>
        <v>2014</v>
      </c>
      <c r="B62" s="5" t="s">
        <v>697</v>
      </c>
    </row>
    <row r="63" spans="1:2" x14ac:dyDescent="0.3">
      <c r="A63" s="23">
        <f>YEAR(Table1[[#This Row],[Order Date]])</f>
        <v>2014</v>
      </c>
      <c r="B63" s="6" t="s">
        <v>697</v>
      </c>
    </row>
    <row r="64" spans="1:2" x14ac:dyDescent="0.3">
      <c r="A64" s="22">
        <f>YEAR(Table1[[#This Row],[Order Date]])</f>
        <v>2014</v>
      </c>
      <c r="B64" s="5" t="s">
        <v>1681</v>
      </c>
    </row>
    <row r="65" spans="1:2" x14ac:dyDescent="0.3">
      <c r="A65" s="23">
        <f>YEAR(Table1[[#This Row],[Order Date]])</f>
        <v>2014</v>
      </c>
      <c r="B65" s="6" t="s">
        <v>833</v>
      </c>
    </row>
    <row r="66" spans="1:2" x14ac:dyDescent="0.3">
      <c r="A66" s="22">
        <f>YEAR(Table1[[#This Row],[Order Date]])</f>
        <v>2014</v>
      </c>
      <c r="B66" s="5" t="s">
        <v>1612</v>
      </c>
    </row>
    <row r="67" spans="1:2" x14ac:dyDescent="0.3">
      <c r="A67" s="23">
        <f>YEAR(Table1[[#This Row],[Order Date]])</f>
        <v>2014</v>
      </c>
      <c r="B67" s="6" t="s">
        <v>1612</v>
      </c>
    </row>
    <row r="68" spans="1:2" x14ac:dyDescent="0.3">
      <c r="A68" s="22">
        <f>YEAR(Table1[[#This Row],[Order Date]])</f>
        <v>2014</v>
      </c>
      <c r="B68" s="5" t="s">
        <v>1612</v>
      </c>
    </row>
    <row r="69" spans="1:2" x14ac:dyDescent="0.3">
      <c r="A69" s="23">
        <f>YEAR(Table1[[#This Row],[Order Date]])</f>
        <v>2014</v>
      </c>
      <c r="B69" s="6" t="s">
        <v>1612</v>
      </c>
    </row>
    <row r="70" spans="1:2" x14ac:dyDescent="0.3">
      <c r="A70" s="22">
        <f>YEAR(Table1[[#This Row],[Order Date]])</f>
        <v>2014</v>
      </c>
      <c r="B70" s="5" t="s">
        <v>341</v>
      </c>
    </row>
    <row r="71" spans="1:2" x14ac:dyDescent="0.3">
      <c r="A71" s="23">
        <f>YEAR(Table1[[#This Row],[Order Date]])</f>
        <v>2014</v>
      </c>
      <c r="B71" s="6" t="s">
        <v>841</v>
      </c>
    </row>
    <row r="72" spans="1:2" x14ac:dyDescent="0.3">
      <c r="A72" s="22">
        <f>YEAR(Table1[[#This Row],[Order Date]])</f>
        <v>2014</v>
      </c>
      <c r="B72" s="5" t="s">
        <v>841</v>
      </c>
    </row>
    <row r="73" spans="1:2" x14ac:dyDescent="0.3">
      <c r="A73" s="23">
        <f>YEAR(Table1[[#This Row],[Order Date]])</f>
        <v>2014</v>
      </c>
      <c r="B73" s="6" t="s">
        <v>155</v>
      </c>
    </row>
    <row r="74" spans="1:2" x14ac:dyDescent="0.3">
      <c r="A74" s="22">
        <f>YEAR(Table1[[#This Row],[Order Date]])</f>
        <v>2014</v>
      </c>
      <c r="B74" s="5" t="s">
        <v>155</v>
      </c>
    </row>
    <row r="75" spans="1:2" x14ac:dyDescent="0.3">
      <c r="A75" s="23">
        <f>YEAR(Table1[[#This Row],[Order Date]])</f>
        <v>2014</v>
      </c>
      <c r="B75" s="6" t="s">
        <v>231</v>
      </c>
    </row>
    <row r="76" spans="1:2" x14ac:dyDescent="0.3">
      <c r="A76" s="22">
        <f>YEAR(Table1[[#This Row],[Order Date]])</f>
        <v>2014</v>
      </c>
      <c r="B76" s="5" t="s">
        <v>231</v>
      </c>
    </row>
    <row r="77" spans="1:2" x14ac:dyDescent="0.3">
      <c r="A77" s="23">
        <f>YEAR(Table1[[#This Row],[Order Date]])</f>
        <v>2014</v>
      </c>
      <c r="B77" s="6" t="s">
        <v>233</v>
      </c>
    </row>
    <row r="78" spans="1:2" x14ac:dyDescent="0.3">
      <c r="A78" s="22">
        <f>YEAR(Table1[[#This Row],[Order Date]])</f>
        <v>2014</v>
      </c>
      <c r="B78" s="5" t="s">
        <v>233</v>
      </c>
    </row>
    <row r="79" spans="1:2" x14ac:dyDescent="0.3">
      <c r="A79" s="23">
        <f>YEAR(Table1[[#This Row],[Order Date]])</f>
        <v>2014</v>
      </c>
      <c r="B79" s="6" t="s">
        <v>425</v>
      </c>
    </row>
    <row r="80" spans="1:2" x14ac:dyDescent="0.3">
      <c r="A80" s="22">
        <f>YEAR(Table1[[#This Row],[Order Date]])</f>
        <v>2014</v>
      </c>
      <c r="B80" s="5" t="s">
        <v>425</v>
      </c>
    </row>
    <row r="81" spans="1:2" x14ac:dyDescent="0.3">
      <c r="A81" s="23">
        <f>YEAR(Table1[[#This Row],[Order Date]])</f>
        <v>2014</v>
      </c>
      <c r="B81" s="6" t="s">
        <v>425</v>
      </c>
    </row>
    <row r="82" spans="1:2" x14ac:dyDescent="0.3">
      <c r="A82" s="22">
        <f>YEAR(Table1[[#This Row],[Order Date]])</f>
        <v>2014</v>
      </c>
      <c r="B82" s="5" t="s">
        <v>244</v>
      </c>
    </row>
    <row r="83" spans="1:2" x14ac:dyDescent="0.3">
      <c r="A83" s="23">
        <f>YEAR(Table1[[#This Row],[Order Date]])</f>
        <v>2014</v>
      </c>
      <c r="B83" s="6" t="s">
        <v>244</v>
      </c>
    </row>
    <row r="84" spans="1:2" x14ac:dyDescent="0.3">
      <c r="A84" s="22">
        <f>YEAR(Table1[[#This Row],[Order Date]])</f>
        <v>2014</v>
      </c>
      <c r="B84" s="5" t="s">
        <v>431</v>
      </c>
    </row>
    <row r="85" spans="1:2" x14ac:dyDescent="0.3">
      <c r="A85" s="23">
        <f>YEAR(Table1[[#This Row],[Order Date]])</f>
        <v>2014</v>
      </c>
      <c r="B85" s="6" t="s">
        <v>588</v>
      </c>
    </row>
    <row r="86" spans="1:2" x14ac:dyDescent="0.3">
      <c r="A86" s="22">
        <f>YEAR(Table1[[#This Row],[Order Date]])</f>
        <v>2014</v>
      </c>
      <c r="B86" s="5" t="s">
        <v>589</v>
      </c>
    </row>
    <row r="87" spans="1:2" x14ac:dyDescent="0.3">
      <c r="A87" s="23">
        <f>YEAR(Table1[[#This Row],[Order Date]])</f>
        <v>2014</v>
      </c>
      <c r="B87" s="6" t="s">
        <v>284</v>
      </c>
    </row>
    <row r="88" spans="1:2" x14ac:dyDescent="0.3">
      <c r="A88" s="22">
        <f>YEAR(Table1[[#This Row],[Order Date]])</f>
        <v>2014</v>
      </c>
      <c r="B88" s="5" t="s">
        <v>508</v>
      </c>
    </row>
    <row r="89" spans="1:2" x14ac:dyDescent="0.3">
      <c r="A89" s="23">
        <f>YEAR(Table1[[#This Row],[Order Date]])</f>
        <v>2014</v>
      </c>
      <c r="B89" s="6" t="s">
        <v>508</v>
      </c>
    </row>
    <row r="90" spans="1:2" x14ac:dyDescent="0.3">
      <c r="A90" s="22">
        <f>YEAR(Table1[[#This Row],[Order Date]])</f>
        <v>2014</v>
      </c>
      <c r="B90" s="5" t="s">
        <v>508</v>
      </c>
    </row>
    <row r="91" spans="1:2" x14ac:dyDescent="0.3">
      <c r="A91" s="23">
        <f>YEAR(Table1[[#This Row],[Order Date]])</f>
        <v>2014</v>
      </c>
      <c r="B91" s="6" t="s">
        <v>878</v>
      </c>
    </row>
    <row r="92" spans="1:2" x14ac:dyDescent="0.3">
      <c r="A92" s="22">
        <f>YEAR(Table1[[#This Row],[Order Date]])</f>
        <v>2014</v>
      </c>
      <c r="B92" s="5" t="s">
        <v>878</v>
      </c>
    </row>
    <row r="93" spans="1:2" x14ac:dyDescent="0.3">
      <c r="A93" s="23">
        <f>YEAR(Table1[[#This Row],[Order Date]])</f>
        <v>2014</v>
      </c>
      <c r="B93" s="6" t="s">
        <v>1022</v>
      </c>
    </row>
    <row r="94" spans="1:2" x14ac:dyDescent="0.3">
      <c r="A94" s="22">
        <f>YEAR(Table1[[#This Row],[Order Date]])</f>
        <v>2014</v>
      </c>
      <c r="B94" s="5" t="s">
        <v>1022</v>
      </c>
    </row>
    <row r="95" spans="1:2" x14ac:dyDescent="0.3">
      <c r="A95" s="23">
        <f>YEAR(Table1[[#This Row],[Order Date]])</f>
        <v>2014</v>
      </c>
      <c r="B95" s="6" t="s">
        <v>1022</v>
      </c>
    </row>
    <row r="96" spans="1:2" x14ac:dyDescent="0.3">
      <c r="A96" s="22">
        <f>YEAR(Table1[[#This Row],[Order Date]])</f>
        <v>2014</v>
      </c>
      <c r="B96" s="5" t="s">
        <v>586</v>
      </c>
    </row>
    <row r="97" spans="1:2" x14ac:dyDescent="0.3">
      <c r="A97" s="23">
        <f>YEAR(Table1[[#This Row],[Order Date]])</f>
        <v>2014</v>
      </c>
      <c r="B97" s="6" t="s">
        <v>586</v>
      </c>
    </row>
    <row r="98" spans="1:2" x14ac:dyDescent="0.3">
      <c r="A98" s="22">
        <f>YEAR(Table1[[#This Row],[Order Date]])</f>
        <v>2014</v>
      </c>
      <c r="B98" s="5" t="s">
        <v>248</v>
      </c>
    </row>
    <row r="99" spans="1:2" x14ac:dyDescent="0.3">
      <c r="A99" s="23">
        <f>YEAR(Table1[[#This Row],[Order Date]])</f>
        <v>2014</v>
      </c>
      <c r="B99" s="6" t="s">
        <v>1179</v>
      </c>
    </row>
    <row r="100" spans="1:2" x14ac:dyDescent="0.3">
      <c r="A100" s="22">
        <f>YEAR(Table1[[#This Row],[Order Date]])</f>
        <v>2014</v>
      </c>
      <c r="B100" s="5" t="s">
        <v>385</v>
      </c>
    </row>
    <row r="101" spans="1:2" x14ac:dyDescent="0.3">
      <c r="A101" s="23">
        <f>YEAR(Table1[[#This Row],[Order Date]])</f>
        <v>2014</v>
      </c>
      <c r="B101" s="6" t="s">
        <v>1071</v>
      </c>
    </row>
    <row r="102" spans="1:2" x14ac:dyDescent="0.3">
      <c r="A102" s="22">
        <f>YEAR(Table1[[#This Row],[Order Date]])</f>
        <v>2014</v>
      </c>
      <c r="B102" s="5" t="s">
        <v>186</v>
      </c>
    </row>
    <row r="103" spans="1:2" x14ac:dyDescent="0.3">
      <c r="A103" s="23">
        <f>YEAR(Table1[[#This Row],[Order Date]])</f>
        <v>2014</v>
      </c>
      <c r="B103" s="6" t="s">
        <v>759</v>
      </c>
    </row>
    <row r="104" spans="1:2" x14ac:dyDescent="0.3">
      <c r="A104" s="22">
        <f>YEAR(Table1[[#This Row],[Order Date]])</f>
        <v>2014</v>
      </c>
      <c r="B104" s="5" t="s">
        <v>1384</v>
      </c>
    </row>
    <row r="105" spans="1:2" x14ac:dyDescent="0.3">
      <c r="A105" s="23">
        <f>YEAR(Table1[[#This Row],[Order Date]])</f>
        <v>2014</v>
      </c>
      <c r="B105" s="6" t="s">
        <v>1384</v>
      </c>
    </row>
    <row r="106" spans="1:2" x14ac:dyDescent="0.3">
      <c r="A106" s="22">
        <f>YEAR(Table1[[#This Row],[Order Date]])</f>
        <v>2014</v>
      </c>
      <c r="B106" s="5" t="s">
        <v>1384</v>
      </c>
    </row>
    <row r="107" spans="1:2" x14ac:dyDescent="0.3">
      <c r="A107" s="23">
        <f>YEAR(Table1[[#This Row],[Order Date]])</f>
        <v>2014</v>
      </c>
      <c r="B107" s="6" t="s">
        <v>1384</v>
      </c>
    </row>
    <row r="108" spans="1:2" x14ac:dyDescent="0.3">
      <c r="A108" s="22">
        <f>YEAR(Table1[[#This Row],[Order Date]])</f>
        <v>2014</v>
      </c>
      <c r="B108" s="5" t="s">
        <v>1384</v>
      </c>
    </row>
    <row r="109" spans="1:2" x14ac:dyDescent="0.3">
      <c r="A109" s="23">
        <f>YEAR(Table1[[#This Row],[Order Date]])</f>
        <v>2014</v>
      </c>
      <c r="B109" s="6" t="s">
        <v>1384</v>
      </c>
    </row>
    <row r="110" spans="1:2" x14ac:dyDescent="0.3">
      <c r="A110" s="22">
        <f>YEAR(Table1[[#This Row],[Order Date]])</f>
        <v>2014</v>
      </c>
      <c r="B110" s="5" t="s">
        <v>960</v>
      </c>
    </row>
    <row r="111" spans="1:2" x14ac:dyDescent="0.3">
      <c r="A111" s="23">
        <f>YEAR(Table1[[#This Row],[Order Date]])</f>
        <v>2014</v>
      </c>
      <c r="B111" s="6" t="s">
        <v>960</v>
      </c>
    </row>
    <row r="112" spans="1:2" x14ac:dyDescent="0.3">
      <c r="A112" s="22">
        <f>YEAR(Table1[[#This Row],[Order Date]])</f>
        <v>2014</v>
      </c>
      <c r="B112" s="5" t="s">
        <v>149</v>
      </c>
    </row>
    <row r="113" spans="1:2" x14ac:dyDescent="0.3">
      <c r="A113" s="23">
        <f>YEAR(Table1[[#This Row],[Order Date]])</f>
        <v>2014</v>
      </c>
      <c r="B113" s="6" t="s">
        <v>149</v>
      </c>
    </row>
    <row r="114" spans="1:2" x14ac:dyDescent="0.3">
      <c r="A114" s="22">
        <f>YEAR(Table1[[#This Row],[Order Date]])</f>
        <v>2014</v>
      </c>
      <c r="B114" s="5" t="s">
        <v>149</v>
      </c>
    </row>
    <row r="115" spans="1:2" x14ac:dyDescent="0.3">
      <c r="A115" s="23">
        <f>YEAR(Table1[[#This Row],[Order Date]])</f>
        <v>2014</v>
      </c>
      <c r="B115" s="6" t="s">
        <v>1511</v>
      </c>
    </row>
    <row r="116" spans="1:2" x14ac:dyDescent="0.3">
      <c r="A116" s="22">
        <f>YEAR(Table1[[#This Row],[Order Date]])</f>
        <v>2014</v>
      </c>
      <c r="B116" s="5" t="s">
        <v>1512</v>
      </c>
    </row>
    <row r="117" spans="1:2" x14ac:dyDescent="0.3">
      <c r="A117" s="23">
        <f>YEAR(Table1[[#This Row],[Order Date]])</f>
        <v>2014</v>
      </c>
      <c r="B117" s="6" t="s">
        <v>1512</v>
      </c>
    </row>
    <row r="118" spans="1:2" x14ac:dyDescent="0.3">
      <c r="A118" s="22">
        <f>YEAR(Table1[[#This Row],[Order Date]])</f>
        <v>2014</v>
      </c>
      <c r="B118" s="5" t="s">
        <v>1514</v>
      </c>
    </row>
    <row r="119" spans="1:2" x14ac:dyDescent="0.3">
      <c r="A119" s="23">
        <f>YEAR(Table1[[#This Row],[Order Date]])</f>
        <v>2014</v>
      </c>
      <c r="B119" s="6" t="s">
        <v>1514</v>
      </c>
    </row>
    <row r="120" spans="1:2" x14ac:dyDescent="0.3">
      <c r="A120" s="22">
        <f>YEAR(Table1[[#This Row],[Order Date]])</f>
        <v>2014</v>
      </c>
      <c r="B120" s="5" t="s">
        <v>1687</v>
      </c>
    </row>
    <row r="121" spans="1:2" x14ac:dyDescent="0.3">
      <c r="A121" s="23">
        <f>YEAR(Table1[[#This Row],[Order Date]])</f>
        <v>2014</v>
      </c>
      <c r="B121" s="6" t="s">
        <v>1687</v>
      </c>
    </row>
    <row r="122" spans="1:2" x14ac:dyDescent="0.3">
      <c r="A122" s="22">
        <f>YEAR(Table1[[#This Row],[Order Date]])</f>
        <v>2014</v>
      </c>
      <c r="B122" s="5" t="s">
        <v>1687</v>
      </c>
    </row>
    <row r="123" spans="1:2" x14ac:dyDescent="0.3">
      <c r="A123" s="23">
        <f>YEAR(Table1[[#This Row],[Order Date]])</f>
        <v>2014</v>
      </c>
      <c r="B123" s="6" t="s">
        <v>1688</v>
      </c>
    </row>
    <row r="124" spans="1:2" x14ac:dyDescent="0.3">
      <c r="A124" s="22">
        <f>YEAR(Table1[[#This Row],[Order Date]])</f>
        <v>2014</v>
      </c>
      <c r="B124" s="5" t="s">
        <v>1688</v>
      </c>
    </row>
    <row r="125" spans="1:2" x14ac:dyDescent="0.3">
      <c r="A125" s="23">
        <f>YEAR(Table1[[#This Row],[Order Date]])</f>
        <v>2014</v>
      </c>
      <c r="B125" s="6" t="s">
        <v>1688</v>
      </c>
    </row>
    <row r="126" spans="1:2" x14ac:dyDescent="0.3">
      <c r="A126" s="22">
        <f>YEAR(Table1[[#This Row],[Order Date]])</f>
        <v>2014</v>
      </c>
      <c r="B126" s="5" t="s">
        <v>1690</v>
      </c>
    </row>
    <row r="127" spans="1:2" x14ac:dyDescent="0.3">
      <c r="A127" s="23">
        <f>YEAR(Table1[[#This Row],[Order Date]])</f>
        <v>2014</v>
      </c>
      <c r="B127" s="6" t="s">
        <v>1692</v>
      </c>
    </row>
    <row r="128" spans="1:2" x14ac:dyDescent="0.3">
      <c r="A128" s="22">
        <f>YEAR(Table1[[#This Row],[Order Date]])</f>
        <v>2014</v>
      </c>
      <c r="B128" s="5" t="s">
        <v>1262</v>
      </c>
    </row>
    <row r="129" spans="1:2" x14ac:dyDescent="0.3">
      <c r="A129" s="23">
        <f>YEAR(Table1[[#This Row],[Order Date]])</f>
        <v>2014</v>
      </c>
      <c r="B129" s="6" t="s">
        <v>1262</v>
      </c>
    </row>
    <row r="130" spans="1:2" x14ac:dyDescent="0.3">
      <c r="A130" s="22">
        <f>YEAR(Table1[[#This Row],[Order Date]])</f>
        <v>2014</v>
      </c>
      <c r="B130" s="5" t="s">
        <v>1262</v>
      </c>
    </row>
    <row r="131" spans="1:2" x14ac:dyDescent="0.3">
      <c r="A131" s="23">
        <f>YEAR(Table1[[#This Row],[Order Date]])</f>
        <v>2014</v>
      </c>
      <c r="B131" s="6" t="s">
        <v>1262</v>
      </c>
    </row>
    <row r="132" spans="1:2" x14ac:dyDescent="0.3">
      <c r="A132" s="22">
        <f>YEAR(Table1[[#This Row],[Order Date]])</f>
        <v>2014</v>
      </c>
      <c r="B132" s="5" t="s">
        <v>1695</v>
      </c>
    </row>
    <row r="133" spans="1:2" x14ac:dyDescent="0.3">
      <c r="A133" s="23">
        <f>YEAR(Table1[[#This Row],[Order Date]])</f>
        <v>2014</v>
      </c>
      <c r="B133" s="6" t="s">
        <v>1695</v>
      </c>
    </row>
    <row r="134" spans="1:2" x14ac:dyDescent="0.3">
      <c r="A134" s="22">
        <f>YEAR(Table1[[#This Row],[Order Date]])</f>
        <v>2014</v>
      </c>
      <c r="B134" s="5" t="s">
        <v>9</v>
      </c>
    </row>
    <row r="135" spans="1:2" x14ac:dyDescent="0.3">
      <c r="A135" s="23">
        <f>YEAR(Table1[[#This Row],[Order Date]])</f>
        <v>2014</v>
      </c>
      <c r="B135" s="6" t="s">
        <v>119</v>
      </c>
    </row>
    <row r="136" spans="1:2" x14ac:dyDescent="0.3">
      <c r="A136" s="22">
        <f>YEAR(Table1[[#This Row],[Order Date]])</f>
        <v>2014</v>
      </c>
      <c r="B136" s="5" t="s">
        <v>119</v>
      </c>
    </row>
    <row r="137" spans="1:2" x14ac:dyDescent="0.3">
      <c r="A137" s="23">
        <f>YEAR(Table1[[#This Row],[Order Date]])</f>
        <v>2014</v>
      </c>
      <c r="B137" s="6" t="s">
        <v>236</v>
      </c>
    </row>
    <row r="138" spans="1:2" x14ac:dyDescent="0.3">
      <c r="A138" s="22">
        <f>YEAR(Table1[[#This Row],[Order Date]])</f>
        <v>2014</v>
      </c>
      <c r="B138" s="5" t="s">
        <v>238</v>
      </c>
    </row>
    <row r="139" spans="1:2" x14ac:dyDescent="0.3">
      <c r="A139" s="23">
        <f>YEAR(Table1[[#This Row],[Order Date]])</f>
        <v>2014</v>
      </c>
      <c r="B139" s="6" t="s">
        <v>238</v>
      </c>
    </row>
    <row r="140" spans="1:2" x14ac:dyDescent="0.3">
      <c r="A140" s="22">
        <f>YEAR(Table1[[#This Row],[Order Date]])</f>
        <v>2014</v>
      </c>
      <c r="B140" s="5" t="s">
        <v>241</v>
      </c>
    </row>
    <row r="141" spans="1:2" x14ac:dyDescent="0.3">
      <c r="A141" s="23">
        <f>YEAR(Table1[[#This Row],[Order Date]])</f>
        <v>2014</v>
      </c>
      <c r="B141" s="6" t="s">
        <v>241</v>
      </c>
    </row>
    <row r="142" spans="1:2" x14ac:dyDescent="0.3">
      <c r="A142" s="22">
        <f>YEAR(Table1[[#This Row],[Order Date]])</f>
        <v>2014</v>
      </c>
      <c r="B142" s="5" t="s">
        <v>241</v>
      </c>
    </row>
    <row r="143" spans="1:2" x14ac:dyDescent="0.3">
      <c r="A143" s="23">
        <f>YEAR(Table1[[#This Row],[Order Date]])</f>
        <v>2014</v>
      </c>
      <c r="B143" s="6" t="s">
        <v>244</v>
      </c>
    </row>
    <row r="144" spans="1:2" x14ac:dyDescent="0.3">
      <c r="A144" s="22">
        <f>YEAR(Table1[[#This Row],[Order Date]])</f>
        <v>2014</v>
      </c>
      <c r="B144" s="5" t="s">
        <v>246</v>
      </c>
    </row>
    <row r="145" spans="1:2" x14ac:dyDescent="0.3">
      <c r="A145" s="23">
        <f>YEAR(Table1[[#This Row],[Order Date]])</f>
        <v>2014</v>
      </c>
      <c r="B145" s="6" t="s">
        <v>433</v>
      </c>
    </row>
    <row r="146" spans="1:2" x14ac:dyDescent="0.3">
      <c r="A146" s="22">
        <f>YEAR(Table1[[#This Row],[Order Date]])</f>
        <v>2014</v>
      </c>
      <c r="B146" s="5" t="s">
        <v>433</v>
      </c>
    </row>
    <row r="147" spans="1:2" x14ac:dyDescent="0.3">
      <c r="A147" s="23">
        <f>YEAR(Table1[[#This Row],[Order Date]])</f>
        <v>2014</v>
      </c>
      <c r="B147" s="6" t="s">
        <v>592</v>
      </c>
    </row>
    <row r="148" spans="1:2" x14ac:dyDescent="0.3">
      <c r="A148" s="22">
        <f>YEAR(Table1[[#This Row],[Order Date]])</f>
        <v>2014</v>
      </c>
      <c r="B148" s="5" t="s">
        <v>594</v>
      </c>
    </row>
    <row r="149" spans="1:2" x14ac:dyDescent="0.3">
      <c r="A149" s="23">
        <f>YEAR(Table1[[#This Row],[Order Date]])</f>
        <v>2014</v>
      </c>
      <c r="B149" s="6" t="s">
        <v>594</v>
      </c>
    </row>
    <row r="150" spans="1:2" x14ac:dyDescent="0.3">
      <c r="A150" s="22">
        <f>YEAR(Table1[[#This Row],[Order Date]])</f>
        <v>2014</v>
      </c>
      <c r="B150" s="5" t="s">
        <v>749</v>
      </c>
    </row>
    <row r="151" spans="1:2" x14ac:dyDescent="0.3">
      <c r="A151" s="23">
        <f>YEAR(Table1[[#This Row],[Order Date]])</f>
        <v>2014</v>
      </c>
      <c r="B151" s="6" t="s">
        <v>750</v>
      </c>
    </row>
    <row r="152" spans="1:2" x14ac:dyDescent="0.3">
      <c r="A152" s="22">
        <f>YEAR(Table1[[#This Row],[Order Date]])</f>
        <v>2014</v>
      </c>
      <c r="B152" s="5" t="s">
        <v>752</v>
      </c>
    </row>
    <row r="153" spans="1:2" x14ac:dyDescent="0.3">
      <c r="A153" s="23">
        <f>YEAR(Table1[[#This Row],[Order Date]])</f>
        <v>2014</v>
      </c>
      <c r="B153" s="6" t="s">
        <v>752</v>
      </c>
    </row>
    <row r="154" spans="1:2" x14ac:dyDescent="0.3">
      <c r="A154" s="22">
        <f>YEAR(Table1[[#This Row],[Order Date]])</f>
        <v>2014</v>
      </c>
      <c r="B154" s="5" t="s">
        <v>662</v>
      </c>
    </row>
    <row r="155" spans="1:2" x14ac:dyDescent="0.3">
      <c r="A155" s="23">
        <f>YEAR(Table1[[#This Row],[Order Date]])</f>
        <v>2014</v>
      </c>
      <c r="B155" s="6" t="s">
        <v>662</v>
      </c>
    </row>
    <row r="156" spans="1:2" x14ac:dyDescent="0.3">
      <c r="A156" s="22">
        <f>YEAR(Table1[[#This Row],[Order Date]])</f>
        <v>2014</v>
      </c>
      <c r="B156" s="5" t="s">
        <v>1027</v>
      </c>
    </row>
    <row r="157" spans="1:2" x14ac:dyDescent="0.3">
      <c r="A157" s="23">
        <f>YEAR(Table1[[#This Row],[Order Date]])</f>
        <v>2014</v>
      </c>
      <c r="B157" s="6" t="s">
        <v>1027</v>
      </c>
    </row>
    <row r="158" spans="1:2" x14ac:dyDescent="0.3">
      <c r="A158" s="22">
        <f>YEAR(Table1[[#This Row],[Order Date]])</f>
        <v>2014</v>
      </c>
      <c r="B158" s="5" t="s">
        <v>1027</v>
      </c>
    </row>
    <row r="159" spans="1:2" x14ac:dyDescent="0.3">
      <c r="A159" s="23">
        <f>YEAR(Table1[[#This Row],[Order Date]])</f>
        <v>2014</v>
      </c>
      <c r="B159" s="6" t="s">
        <v>903</v>
      </c>
    </row>
    <row r="160" spans="1:2" x14ac:dyDescent="0.3">
      <c r="A160" s="22">
        <f>YEAR(Table1[[#This Row],[Order Date]])</f>
        <v>2014</v>
      </c>
      <c r="B160" s="5" t="s">
        <v>534</v>
      </c>
    </row>
    <row r="161" spans="1:2" x14ac:dyDescent="0.3">
      <c r="A161" s="23">
        <f>YEAR(Table1[[#This Row],[Order Date]])</f>
        <v>2014</v>
      </c>
      <c r="B161" s="6" t="s">
        <v>1181</v>
      </c>
    </row>
    <row r="162" spans="1:2" x14ac:dyDescent="0.3">
      <c r="A162" s="22">
        <f>YEAR(Table1[[#This Row],[Order Date]])</f>
        <v>2014</v>
      </c>
      <c r="B162" s="5" t="s">
        <v>1390</v>
      </c>
    </row>
    <row r="163" spans="1:2" x14ac:dyDescent="0.3">
      <c r="A163" s="23">
        <f>YEAR(Table1[[#This Row],[Order Date]])</f>
        <v>2014</v>
      </c>
      <c r="B163" s="6" t="s">
        <v>1391</v>
      </c>
    </row>
    <row r="164" spans="1:2" x14ac:dyDescent="0.3">
      <c r="A164" s="22">
        <f>YEAR(Table1[[#This Row],[Order Date]])</f>
        <v>2014</v>
      </c>
      <c r="B164" s="5" t="s">
        <v>1327</v>
      </c>
    </row>
    <row r="165" spans="1:2" x14ac:dyDescent="0.3">
      <c r="A165" s="23">
        <f>YEAR(Table1[[#This Row],[Order Date]])</f>
        <v>2014</v>
      </c>
      <c r="B165" s="6" t="s">
        <v>1327</v>
      </c>
    </row>
    <row r="166" spans="1:2" x14ac:dyDescent="0.3">
      <c r="A166" s="22">
        <f>YEAR(Table1[[#This Row],[Order Date]])</f>
        <v>2014</v>
      </c>
      <c r="B166" s="5" t="s">
        <v>1393</v>
      </c>
    </row>
    <row r="167" spans="1:2" x14ac:dyDescent="0.3">
      <c r="A167" s="23">
        <f>YEAR(Table1[[#This Row],[Order Date]])</f>
        <v>2014</v>
      </c>
      <c r="B167" s="6" t="s">
        <v>1393</v>
      </c>
    </row>
    <row r="168" spans="1:2" x14ac:dyDescent="0.3">
      <c r="A168" s="22">
        <f>YEAR(Table1[[#This Row],[Order Date]])</f>
        <v>2014</v>
      </c>
      <c r="B168" s="5" t="s">
        <v>1393</v>
      </c>
    </row>
    <row r="169" spans="1:2" x14ac:dyDescent="0.3">
      <c r="A169" s="23">
        <f>YEAR(Table1[[#This Row],[Order Date]])</f>
        <v>2014</v>
      </c>
      <c r="B169" s="6" t="s">
        <v>1396</v>
      </c>
    </row>
    <row r="170" spans="1:2" x14ac:dyDescent="0.3">
      <c r="A170" s="22">
        <f>YEAR(Table1[[#This Row],[Order Date]])</f>
        <v>2014</v>
      </c>
      <c r="B170" s="5" t="s">
        <v>1396</v>
      </c>
    </row>
    <row r="171" spans="1:2" x14ac:dyDescent="0.3">
      <c r="A171" s="23">
        <f>YEAR(Table1[[#This Row],[Order Date]])</f>
        <v>2014</v>
      </c>
      <c r="B171" s="6" t="s">
        <v>1396</v>
      </c>
    </row>
    <row r="172" spans="1:2" x14ac:dyDescent="0.3">
      <c r="A172" s="22">
        <f>YEAR(Table1[[#This Row],[Order Date]])</f>
        <v>2014</v>
      </c>
      <c r="B172" s="5" t="s">
        <v>1396</v>
      </c>
    </row>
    <row r="173" spans="1:2" x14ac:dyDescent="0.3">
      <c r="A173" s="23">
        <f>YEAR(Table1[[#This Row],[Order Date]])</f>
        <v>2014</v>
      </c>
      <c r="B173" s="6" t="s">
        <v>880</v>
      </c>
    </row>
    <row r="174" spans="1:2" x14ac:dyDescent="0.3">
      <c r="A174" s="22">
        <f>YEAR(Table1[[#This Row],[Order Date]])</f>
        <v>2014</v>
      </c>
      <c r="B174" s="5" t="s">
        <v>125</v>
      </c>
    </row>
    <row r="175" spans="1:2" x14ac:dyDescent="0.3">
      <c r="A175" s="23">
        <f>YEAR(Table1[[#This Row],[Order Date]])</f>
        <v>2014</v>
      </c>
      <c r="B175" s="6" t="s">
        <v>125</v>
      </c>
    </row>
    <row r="176" spans="1:2" x14ac:dyDescent="0.3">
      <c r="A176" s="22">
        <f>YEAR(Table1[[#This Row],[Order Date]])</f>
        <v>2014</v>
      </c>
      <c r="B176" s="5" t="s">
        <v>697</v>
      </c>
    </row>
    <row r="177" spans="1:2" x14ac:dyDescent="0.3">
      <c r="A177" s="23">
        <f>YEAR(Table1[[#This Row],[Order Date]])</f>
        <v>2014</v>
      </c>
      <c r="B177" s="6" t="s">
        <v>1168</v>
      </c>
    </row>
    <row r="178" spans="1:2" x14ac:dyDescent="0.3">
      <c r="A178" s="22">
        <f>YEAR(Table1[[#This Row],[Order Date]])</f>
        <v>2014</v>
      </c>
      <c r="B178" s="5" t="s">
        <v>1512</v>
      </c>
    </row>
    <row r="179" spans="1:2" x14ac:dyDescent="0.3">
      <c r="A179" s="23">
        <f>YEAR(Table1[[#This Row],[Order Date]])</f>
        <v>2014</v>
      </c>
      <c r="B179" s="6" t="s">
        <v>1512</v>
      </c>
    </row>
    <row r="180" spans="1:2" x14ac:dyDescent="0.3">
      <c r="A180" s="22">
        <f>YEAR(Table1[[#This Row],[Order Date]])</f>
        <v>2014</v>
      </c>
      <c r="B180" s="5" t="s">
        <v>1512</v>
      </c>
    </row>
    <row r="181" spans="1:2" x14ac:dyDescent="0.3">
      <c r="A181" s="23">
        <f>YEAR(Table1[[#This Row],[Order Date]])</f>
        <v>2014</v>
      </c>
      <c r="B181" s="6" t="s">
        <v>1512</v>
      </c>
    </row>
    <row r="182" spans="1:2" x14ac:dyDescent="0.3">
      <c r="A182" s="22">
        <f>YEAR(Table1[[#This Row],[Order Date]])</f>
        <v>2014</v>
      </c>
      <c r="B182" s="5" t="s">
        <v>522</v>
      </c>
    </row>
    <row r="183" spans="1:2" x14ac:dyDescent="0.3">
      <c r="A183" s="23">
        <f>YEAR(Table1[[#This Row],[Order Date]])</f>
        <v>2014</v>
      </c>
      <c r="B183" s="6" t="s">
        <v>1521</v>
      </c>
    </row>
    <row r="184" spans="1:2" x14ac:dyDescent="0.3">
      <c r="A184" s="22">
        <f>YEAR(Table1[[#This Row],[Order Date]])</f>
        <v>2014</v>
      </c>
      <c r="B184" s="5" t="s">
        <v>1643</v>
      </c>
    </row>
    <row r="185" spans="1:2" x14ac:dyDescent="0.3">
      <c r="A185" s="23">
        <f>YEAR(Table1[[#This Row],[Order Date]])</f>
        <v>2014</v>
      </c>
      <c r="B185" s="6" t="s">
        <v>14</v>
      </c>
    </row>
    <row r="186" spans="1:2" x14ac:dyDescent="0.3">
      <c r="A186" s="22">
        <f>YEAR(Table1[[#This Row],[Order Date]])</f>
        <v>2014</v>
      </c>
      <c r="B186" s="5" t="s">
        <v>14</v>
      </c>
    </row>
    <row r="187" spans="1:2" x14ac:dyDescent="0.3">
      <c r="A187" s="23">
        <f>YEAR(Table1[[#This Row],[Order Date]])</f>
        <v>2014</v>
      </c>
      <c r="B187" s="6" t="s">
        <v>14</v>
      </c>
    </row>
    <row r="188" spans="1:2" x14ac:dyDescent="0.3">
      <c r="A188" s="22">
        <f>YEAR(Table1[[#This Row],[Order Date]])</f>
        <v>2014</v>
      </c>
      <c r="B188" s="5" t="s">
        <v>161</v>
      </c>
    </row>
    <row r="189" spans="1:2" x14ac:dyDescent="0.3">
      <c r="A189" s="23">
        <f>YEAR(Table1[[#This Row],[Order Date]])</f>
        <v>2014</v>
      </c>
      <c r="B189" s="6" t="s">
        <v>161</v>
      </c>
    </row>
    <row r="190" spans="1:2" x14ac:dyDescent="0.3">
      <c r="A190" s="22">
        <f>YEAR(Table1[[#This Row],[Order Date]])</f>
        <v>2014</v>
      </c>
      <c r="B190" s="5" t="s">
        <v>164</v>
      </c>
    </row>
    <row r="191" spans="1:2" x14ac:dyDescent="0.3">
      <c r="A191" s="23">
        <f>YEAR(Table1[[#This Row],[Order Date]])</f>
        <v>2014</v>
      </c>
      <c r="B191" s="6" t="s">
        <v>248</v>
      </c>
    </row>
    <row r="192" spans="1:2" x14ac:dyDescent="0.3">
      <c r="A192" s="22">
        <f>YEAR(Table1[[#This Row],[Order Date]])</f>
        <v>2014</v>
      </c>
      <c r="B192" s="5" t="s">
        <v>186</v>
      </c>
    </row>
    <row r="193" spans="1:2" x14ac:dyDescent="0.3">
      <c r="A193" s="23">
        <f>YEAR(Table1[[#This Row],[Order Date]])</f>
        <v>2014</v>
      </c>
      <c r="B193" s="6" t="s">
        <v>434</v>
      </c>
    </row>
    <row r="194" spans="1:2" x14ac:dyDescent="0.3">
      <c r="A194" s="22">
        <f>YEAR(Table1[[#This Row],[Order Date]])</f>
        <v>2014</v>
      </c>
      <c r="B194" s="5" t="s">
        <v>370</v>
      </c>
    </row>
    <row r="195" spans="1:2" x14ac:dyDescent="0.3">
      <c r="A195" s="23">
        <f>YEAR(Table1[[#This Row],[Order Date]])</f>
        <v>2014</v>
      </c>
      <c r="B195" s="6" t="s">
        <v>370</v>
      </c>
    </row>
    <row r="196" spans="1:2" x14ac:dyDescent="0.3">
      <c r="A196" s="22">
        <f>YEAR(Table1[[#This Row],[Order Date]])</f>
        <v>2014</v>
      </c>
      <c r="B196" s="5" t="s">
        <v>438</v>
      </c>
    </row>
    <row r="197" spans="1:2" x14ac:dyDescent="0.3">
      <c r="A197" s="23">
        <f>YEAR(Table1[[#This Row],[Order Date]])</f>
        <v>2014</v>
      </c>
      <c r="B197" s="6" t="s">
        <v>440</v>
      </c>
    </row>
    <row r="198" spans="1:2" x14ac:dyDescent="0.3">
      <c r="A198" s="22">
        <f>YEAR(Table1[[#This Row],[Order Date]])</f>
        <v>2014</v>
      </c>
      <c r="B198" s="5" t="s">
        <v>440</v>
      </c>
    </row>
    <row r="199" spans="1:2" x14ac:dyDescent="0.3">
      <c r="A199" s="23">
        <f>YEAR(Table1[[#This Row],[Order Date]])</f>
        <v>2014</v>
      </c>
      <c r="B199" s="6" t="s">
        <v>440</v>
      </c>
    </row>
    <row r="200" spans="1:2" x14ac:dyDescent="0.3">
      <c r="A200" s="22">
        <f>YEAR(Table1[[#This Row],[Order Date]])</f>
        <v>2014</v>
      </c>
      <c r="B200" s="5" t="s">
        <v>440</v>
      </c>
    </row>
    <row r="201" spans="1:2" x14ac:dyDescent="0.3">
      <c r="A201" s="23">
        <f>YEAR(Table1[[#This Row],[Order Date]])</f>
        <v>2014</v>
      </c>
      <c r="B201" s="6" t="s">
        <v>597</v>
      </c>
    </row>
    <row r="202" spans="1:2" x14ac:dyDescent="0.3">
      <c r="A202" s="22">
        <f>YEAR(Table1[[#This Row],[Order Date]])</f>
        <v>2014</v>
      </c>
      <c r="B202" s="5" t="s">
        <v>599</v>
      </c>
    </row>
    <row r="203" spans="1:2" x14ac:dyDescent="0.3">
      <c r="A203" s="23">
        <f>YEAR(Table1[[#This Row],[Order Date]])</f>
        <v>2014</v>
      </c>
      <c r="B203" s="6" t="s">
        <v>406</v>
      </c>
    </row>
    <row r="204" spans="1:2" x14ac:dyDescent="0.3">
      <c r="A204" s="22">
        <f>YEAR(Table1[[#This Row],[Order Date]])</f>
        <v>2014</v>
      </c>
      <c r="B204" s="5" t="s">
        <v>406</v>
      </c>
    </row>
    <row r="205" spans="1:2" x14ac:dyDescent="0.3">
      <c r="A205" s="23">
        <f>YEAR(Table1[[#This Row],[Order Date]])</f>
        <v>2014</v>
      </c>
      <c r="B205" s="6" t="s">
        <v>602</v>
      </c>
    </row>
    <row r="206" spans="1:2" x14ac:dyDescent="0.3">
      <c r="A206" s="22">
        <f>YEAR(Table1[[#This Row],[Order Date]])</f>
        <v>2014</v>
      </c>
      <c r="B206" s="5" t="s">
        <v>602</v>
      </c>
    </row>
    <row r="207" spans="1:2" x14ac:dyDescent="0.3">
      <c r="A207" s="23">
        <f>YEAR(Table1[[#This Row],[Order Date]])</f>
        <v>2014</v>
      </c>
      <c r="B207" s="6" t="s">
        <v>755</v>
      </c>
    </row>
    <row r="208" spans="1:2" x14ac:dyDescent="0.3">
      <c r="A208" s="22">
        <f>YEAR(Table1[[#This Row],[Order Date]])</f>
        <v>2014</v>
      </c>
      <c r="B208" s="5" t="s">
        <v>755</v>
      </c>
    </row>
    <row r="209" spans="1:2" x14ac:dyDescent="0.3">
      <c r="A209" s="23">
        <f>YEAR(Table1[[#This Row],[Order Date]])</f>
        <v>2014</v>
      </c>
      <c r="B209" s="6" t="s">
        <v>755</v>
      </c>
    </row>
    <row r="210" spans="1:2" x14ac:dyDescent="0.3">
      <c r="A210" s="22">
        <f>YEAR(Table1[[#This Row],[Order Date]])</f>
        <v>2014</v>
      </c>
      <c r="B210" s="5" t="s">
        <v>433</v>
      </c>
    </row>
    <row r="211" spans="1:2" x14ac:dyDescent="0.3">
      <c r="A211" s="23">
        <f>YEAR(Table1[[#This Row],[Order Date]])</f>
        <v>2014</v>
      </c>
      <c r="B211" s="6" t="s">
        <v>433</v>
      </c>
    </row>
    <row r="212" spans="1:2" x14ac:dyDescent="0.3">
      <c r="A212" s="22">
        <f>YEAR(Table1[[#This Row],[Order Date]])</f>
        <v>2014</v>
      </c>
      <c r="B212" s="5" t="s">
        <v>880</v>
      </c>
    </row>
    <row r="213" spans="1:2" x14ac:dyDescent="0.3">
      <c r="A213" s="23">
        <f>YEAR(Table1[[#This Row],[Order Date]])</f>
        <v>2014</v>
      </c>
      <c r="B213" s="6" t="s">
        <v>1031</v>
      </c>
    </row>
    <row r="214" spans="1:2" x14ac:dyDescent="0.3">
      <c r="A214" s="22">
        <f>YEAR(Table1[[#This Row],[Order Date]])</f>
        <v>2014</v>
      </c>
      <c r="B214" s="5" t="s">
        <v>1031</v>
      </c>
    </row>
    <row r="215" spans="1:2" x14ac:dyDescent="0.3">
      <c r="A215" s="23">
        <f>YEAR(Table1[[#This Row],[Order Date]])</f>
        <v>2014</v>
      </c>
      <c r="B215" s="6" t="s">
        <v>1031</v>
      </c>
    </row>
    <row r="216" spans="1:2" x14ac:dyDescent="0.3">
      <c r="A216" s="22">
        <f>YEAR(Table1[[#This Row],[Order Date]])</f>
        <v>2014</v>
      </c>
      <c r="B216" s="5" t="s">
        <v>1031</v>
      </c>
    </row>
    <row r="217" spans="1:2" x14ac:dyDescent="0.3">
      <c r="A217" s="23">
        <f>YEAR(Table1[[#This Row],[Order Date]])</f>
        <v>2014</v>
      </c>
      <c r="B217" s="6" t="s">
        <v>1031</v>
      </c>
    </row>
    <row r="218" spans="1:2" x14ac:dyDescent="0.3">
      <c r="A218" s="22">
        <f>YEAR(Table1[[#This Row],[Order Date]])</f>
        <v>2014</v>
      </c>
      <c r="B218" s="5" t="s">
        <v>191</v>
      </c>
    </row>
    <row r="219" spans="1:2" x14ac:dyDescent="0.3">
      <c r="A219" s="23">
        <f>YEAR(Table1[[#This Row],[Order Date]])</f>
        <v>2014</v>
      </c>
      <c r="B219" s="6" t="s">
        <v>191</v>
      </c>
    </row>
    <row r="220" spans="1:2" x14ac:dyDescent="0.3">
      <c r="A220" s="22">
        <f>YEAR(Table1[[#This Row],[Order Date]])</f>
        <v>2014</v>
      </c>
      <c r="B220" s="5" t="s">
        <v>191</v>
      </c>
    </row>
    <row r="221" spans="1:2" x14ac:dyDescent="0.3">
      <c r="A221" s="23">
        <f>YEAR(Table1[[#This Row],[Order Date]])</f>
        <v>2014</v>
      </c>
      <c r="B221" s="6" t="s">
        <v>1398</v>
      </c>
    </row>
    <row r="222" spans="1:2" x14ac:dyDescent="0.3">
      <c r="A222" s="22">
        <f>YEAR(Table1[[#This Row],[Order Date]])</f>
        <v>2014</v>
      </c>
      <c r="B222" s="5" t="s">
        <v>1398</v>
      </c>
    </row>
    <row r="223" spans="1:2" x14ac:dyDescent="0.3">
      <c r="A223" s="23">
        <f>YEAR(Table1[[#This Row],[Order Date]])</f>
        <v>2014</v>
      </c>
      <c r="B223" s="6" t="s">
        <v>1400</v>
      </c>
    </row>
    <row r="224" spans="1:2" x14ac:dyDescent="0.3">
      <c r="A224" s="22">
        <f>YEAR(Table1[[#This Row],[Order Date]])</f>
        <v>2014</v>
      </c>
      <c r="B224" s="5" t="s">
        <v>1243</v>
      </c>
    </row>
    <row r="225" spans="1:2" x14ac:dyDescent="0.3">
      <c r="A225" s="23">
        <f>YEAR(Table1[[#This Row],[Order Date]])</f>
        <v>2014</v>
      </c>
      <c r="B225" s="6" t="s">
        <v>174</v>
      </c>
    </row>
    <row r="226" spans="1:2" x14ac:dyDescent="0.3">
      <c r="A226" s="22">
        <f>YEAR(Table1[[#This Row],[Order Date]])</f>
        <v>2014</v>
      </c>
      <c r="B226" s="5" t="s">
        <v>174</v>
      </c>
    </row>
    <row r="227" spans="1:2" x14ac:dyDescent="0.3">
      <c r="A227" s="23">
        <f>YEAR(Table1[[#This Row],[Order Date]])</f>
        <v>2014</v>
      </c>
      <c r="B227" s="6" t="s">
        <v>174</v>
      </c>
    </row>
    <row r="228" spans="1:2" x14ac:dyDescent="0.3">
      <c r="A228" s="22">
        <f>YEAR(Table1[[#This Row],[Order Date]])</f>
        <v>2014</v>
      </c>
      <c r="B228" s="5" t="s">
        <v>174</v>
      </c>
    </row>
    <row r="229" spans="1:2" x14ac:dyDescent="0.3">
      <c r="A229" s="23">
        <f>YEAR(Table1[[#This Row],[Order Date]])</f>
        <v>2014</v>
      </c>
      <c r="B229" s="6" t="s">
        <v>174</v>
      </c>
    </row>
    <row r="230" spans="1:2" x14ac:dyDescent="0.3">
      <c r="A230" s="22">
        <f>YEAR(Table1[[#This Row],[Order Date]])</f>
        <v>2014</v>
      </c>
      <c r="B230" s="5" t="s">
        <v>1262</v>
      </c>
    </row>
    <row r="231" spans="1:2" x14ac:dyDescent="0.3">
      <c r="A231" s="23">
        <f>YEAR(Table1[[#This Row],[Order Date]])</f>
        <v>2014</v>
      </c>
      <c r="B231" s="6" t="s">
        <v>1526</v>
      </c>
    </row>
    <row r="232" spans="1:2" x14ac:dyDescent="0.3">
      <c r="A232" s="22">
        <f>YEAR(Table1[[#This Row],[Order Date]])</f>
        <v>2014</v>
      </c>
      <c r="B232" s="5" t="s">
        <v>1527</v>
      </c>
    </row>
    <row r="233" spans="1:2" x14ac:dyDescent="0.3">
      <c r="A233" s="23">
        <f>YEAR(Table1[[#This Row],[Order Date]])</f>
        <v>2014</v>
      </c>
      <c r="B233" s="6" t="s">
        <v>1527</v>
      </c>
    </row>
    <row r="234" spans="1:2" x14ac:dyDescent="0.3">
      <c r="A234" s="22">
        <f>YEAR(Table1[[#This Row],[Order Date]])</f>
        <v>2014</v>
      </c>
      <c r="B234" s="5" t="s">
        <v>1527</v>
      </c>
    </row>
    <row r="235" spans="1:2" x14ac:dyDescent="0.3">
      <c r="A235" s="23">
        <f>YEAR(Table1[[#This Row],[Order Date]])</f>
        <v>2014</v>
      </c>
      <c r="B235" s="6" t="s">
        <v>1527</v>
      </c>
    </row>
    <row r="236" spans="1:2" x14ac:dyDescent="0.3">
      <c r="A236" s="22">
        <f>YEAR(Table1[[#This Row],[Order Date]])</f>
        <v>2014</v>
      </c>
      <c r="B236" s="5" t="s">
        <v>1527</v>
      </c>
    </row>
    <row r="237" spans="1:2" x14ac:dyDescent="0.3">
      <c r="A237" s="23">
        <f>YEAR(Table1[[#This Row],[Order Date]])</f>
        <v>2014</v>
      </c>
      <c r="B237" s="6" t="s">
        <v>1195</v>
      </c>
    </row>
    <row r="238" spans="1:2" x14ac:dyDescent="0.3">
      <c r="A238" s="22">
        <f>YEAR(Table1[[#This Row],[Order Date]])</f>
        <v>2014</v>
      </c>
      <c r="B238" s="5" t="s">
        <v>22</v>
      </c>
    </row>
    <row r="239" spans="1:2" x14ac:dyDescent="0.3">
      <c r="A239" s="23">
        <f>YEAR(Table1[[#This Row],[Order Date]])</f>
        <v>2014</v>
      </c>
      <c r="B239" s="6" t="s">
        <v>251</v>
      </c>
    </row>
    <row r="240" spans="1:2" x14ac:dyDescent="0.3">
      <c r="A240" s="22">
        <f>YEAR(Table1[[#This Row],[Order Date]])</f>
        <v>2014</v>
      </c>
      <c r="B240" s="5" t="s">
        <v>251</v>
      </c>
    </row>
    <row r="241" spans="1:2" x14ac:dyDescent="0.3">
      <c r="A241" s="23">
        <f>YEAR(Table1[[#This Row],[Order Date]])</f>
        <v>2014</v>
      </c>
      <c r="B241" s="6" t="s">
        <v>251</v>
      </c>
    </row>
    <row r="242" spans="1:2" x14ac:dyDescent="0.3">
      <c r="A242" s="22">
        <f>YEAR(Table1[[#This Row],[Order Date]])</f>
        <v>2014</v>
      </c>
      <c r="B242" s="5" t="s">
        <v>251</v>
      </c>
    </row>
    <row r="243" spans="1:2" x14ac:dyDescent="0.3">
      <c r="A243" s="23">
        <f>YEAR(Table1[[#This Row],[Order Date]])</f>
        <v>2014</v>
      </c>
      <c r="B243" s="6" t="s">
        <v>251</v>
      </c>
    </row>
    <row r="244" spans="1:2" x14ac:dyDescent="0.3">
      <c r="A244" s="22">
        <f>YEAR(Table1[[#This Row],[Order Date]])</f>
        <v>2014</v>
      </c>
      <c r="B244" s="5" t="s">
        <v>444</v>
      </c>
    </row>
    <row r="245" spans="1:2" x14ac:dyDescent="0.3">
      <c r="A245" s="23">
        <f>YEAR(Table1[[#This Row],[Order Date]])</f>
        <v>2014</v>
      </c>
      <c r="B245" s="6" t="s">
        <v>446</v>
      </c>
    </row>
    <row r="246" spans="1:2" x14ac:dyDescent="0.3">
      <c r="A246" s="22">
        <f>YEAR(Table1[[#This Row],[Order Date]])</f>
        <v>2014</v>
      </c>
      <c r="B246" s="5" t="s">
        <v>446</v>
      </c>
    </row>
    <row r="247" spans="1:2" x14ac:dyDescent="0.3">
      <c r="A247" s="23">
        <f>YEAR(Table1[[#This Row],[Order Date]])</f>
        <v>2014</v>
      </c>
      <c r="B247" s="6" t="s">
        <v>446</v>
      </c>
    </row>
    <row r="248" spans="1:2" x14ac:dyDescent="0.3">
      <c r="A248" s="22">
        <f>YEAR(Table1[[#This Row],[Order Date]])</f>
        <v>2014</v>
      </c>
      <c r="B248" s="5" t="s">
        <v>446</v>
      </c>
    </row>
    <row r="249" spans="1:2" x14ac:dyDescent="0.3">
      <c r="A249" s="23">
        <f>YEAR(Table1[[#This Row],[Order Date]])</f>
        <v>2014</v>
      </c>
      <c r="B249" s="6" t="s">
        <v>450</v>
      </c>
    </row>
    <row r="250" spans="1:2" x14ac:dyDescent="0.3">
      <c r="A250" s="22">
        <f>YEAR(Table1[[#This Row],[Order Date]])</f>
        <v>2014</v>
      </c>
      <c r="B250" s="5" t="s">
        <v>450</v>
      </c>
    </row>
    <row r="251" spans="1:2" x14ac:dyDescent="0.3">
      <c r="A251" s="23">
        <f>YEAR(Table1[[#This Row],[Order Date]])</f>
        <v>2014</v>
      </c>
      <c r="B251" s="6" t="s">
        <v>453</v>
      </c>
    </row>
    <row r="252" spans="1:2" x14ac:dyDescent="0.3">
      <c r="A252" s="22">
        <f>YEAR(Table1[[#This Row],[Order Date]])</f>
        <v>2014</v>
      </c>
      <c r="B252" s="5" t="s">
        <v>453</v>
      </c>
    </row>
    <row r="253" spans="1:2" x14ac:dyDescent="0.3">
      <c r="A253" s="23">
        <f>YEAR(Table1[[#This Row],[Order Date]])</f>
        <v>2014</v>
      </c>
      <c r="B253" s="6" t="s">
        <v>453</v>
      </c>
    </row>
    <row r="254" spans="1:2" x14ac:dyDescent="0.3">
      <c r="A254" s="22">
        <f>YEAR(Table1[[#This Row],[Order Date]])</f>
        <v>2014</v>
      </c>
      <c r="B254" s="5" t="s">
        <v>453</v>
      </c>
    </row>
    <row r="255" spans="1:2" x14ac:dyDescent="0.3">
      <c r="A255" s="23">
        <f>YEAR(Table1[[#This Row],[Order Date]])</f>
        <v>2014</v>
      </c>
      <c r="B255" s="6" t="s">
        <v>605</v>
      </c>
    </row>
    <row r="256" spans="1:2" x14ac:dyDescent="0.3">
      <c r="A256" s="22">
        <f>YEAR(Table1[[#This Row],[Order Date]])</f>
        <v>2014</v>
      </c>
      <c r="B256" s="5" t="s">
        <v>605</v>
      </c>
    </row>
    <row r="257" spans="1:2" x14ac:dyDescent="0.3">
      <c r="A257" s="23">
        <f>YEAR(Table1[[#This Row],[Order Date]])</f>
        <v>2014</v>
      </c>
      <c r="B257" s="6" t="s">
        <v>605</v>
      </c>
    </row>
    <row r="258" spans="1:2" x14ac:dyDescent="0.3">
      <c r="A258" s="22">
        <f>YEAR(Table1[[#This Row],[Order Date]])</f>
        <v>2014</v>
      </c>
      <c r="B258" s="5" t="s">
        <v>609</v>
      </c>
    </row>
    <row r="259" spans="1:2" x14ac:dyDescent="0.3">
      <c r="A259" s="23">
        <f>YEAR(Table1[[#This Row],[Order Date]])</f>
        <v>2014</v>
      </c>
      <c r="B259" s="6" t="s">
        <v>421</v>
      </c>
    </row>
    <row r="260" spans="1:2" x14ac:dyDescent="0.3">
      <c r="A260" s="22">
        <f>YEAR(Table1[[#This Row],[Order Date]])</f>
        <v>2014</v>
      </c>
      <c r="B260" s="5" t="s">
        <v>611</v>
      </c>
    </row>
    <row r="261" spans="1:2" x14ac:dyDescent="0.3">
      <c r="A261" s="23">
        <f>YEAR(Table1[[#This Row],[Order Date]])</f>
        <v>2014</v>
      </c>
      <c r="B261" s="6" t="s">
        <v>882</v>
      </c>
    </row>
    <row r="262" spans="1:2" x14ac:dyDescent="0.3">
      <c r="A262" s="22">
        <f>YEAR(Table1[[#This Row],[Order Date]])</f>
        <v>2014</v>
      </c>
      <c r="B262" s="5" t="s">
        <v>882</v>
      </c>
    </row>
    <row r="263" spans="1:2" x14ac:dyDescent="0.3">
      <c r="A263" s="23">
        <f>YEAR(Table1[[#This Row],[Order Date]])</f>
        <v>2014</v>
      </c>
      <c r="B263" s="6" t="s">
        <v>882</v>
      </c>
    </row>
    <row r="264" spans="1:2" x14ac:dyDescent="0.3">
      <c r="A264" s="22">
        <f>YEAR(Table1[[#This Row],[Order Date]])</f>
        <v>2014</v>
      </c>
      <c r="B264" s="5" t="s">
        <v>885</v>
      </c>
    </row>
    <row r="265" spans="1:2" x14ac:dyDescent="0.3">
      <c r="A265" s="23">
        <f>YEAR(Table1[[#This Row],[Order Date]])</f>
        <v>2014</v>
      </c>
      <c r="B265" s="6" t="s">
        <v>885</v>
      </c>
    </row>
    <row r="266" spans="1:2" x14ac:dyDescent="0.3">
      <c r="A266" s="22">
        <f>YEAR(Table1[[#This Row],[Order Date]])</f>
        <v>2014</v>
      </c>
      <c r="B266" s="5" t="s">
        <v>888</v>
      </c>
    </row>
    <row r="267" spans="1:2" x14ac:dyDescent="0.3">
      <c r="A267" s="23">
        <f>YEAR(Table1[[#This Row],[Order Date]])</f>
        <v>2014</v>
      </c>
      <c r="B267" s="6" t="s">
        <v>90</v>
      </c>
    </row>
    <row r="268" spans="1:2" x14ac:dyDescent="0.3">
      <c r="A268" s="22">
        <f>YEAR(Table1[[#This Row],[Order Date]])</f>
        <v>2014</v>
      </c>
      <c r="B268" s="5" t="s">
        <v>890</v>
      </c>
    </row>
    <row r="269" spans="1:2" x14ac:dyDescent="0.3">
      <c r="A269" s="23">
        <f>YEAR(Table1[[#This Row],[Order Date]])</f>
        <v>2014</v>
      </c>
      <c r="B269" s="6" t="s">
        <v>890</v>
      </c>
    </row>
    <row r="270" spans="1:2" x14ac:dyDescent="0.3">
      <c r="A270" s="22">
        <f>YEAR(Table1[[#This Row],[Order Date]])</f>
        <v>2014</v>
      </c>
      <c r="B270" s="5" t="s">
        <v>1040</v>
      </c>
    </row>
    <row r="271" spans="1:2" x14ac:dyDescent="0.3">
      <c r="A271" s="23">
        <f>YEAR(Table1[[#This Row],[Order Date]])</f>
        <v>2014</v>
      </c>
      <c r="B271" s="6" t="s">
        <v>1040</v>
      </c>
    </row>
    <row r="272" spans="1:2" x14ac:dyDescent="0.3">
      <c r="A272" s="22">
        <f>YEAR(Table1[[#This Row],[Order Date]])</f>
        <v>2014</v>
      </c>
      <c r="B272" s="5" t="s">
        <v>1040</v>
      </c>
    </row>
    <row r="273" spans="1:2" x14ac:dyDescent="0.3">
      <c r="A273" s="23">
        <f>YEAR(Table1[[#This Row],[Order Date]])</f>
        <v>2014</v>
      </c>
      <c r="B273" s="6" t="s">
        <v>1043</v>
      </c>
    </row>
    <row r="274" spans="1:2" x14ac:dyDescent="0.3">
      <c r="A274" s="22">
        <f>YEAR(Table1[[#This Row],[Order Date]])</f>
        <v>2014</v>
      </c>
      <c r="B274" s="5" t="s">
        <v>1043</v>
      </c>
    </row>
    <row r="275" spans="1:2" x14ac:dyDescent="0.3">
      <c r="A275" s="23">
        <f>YEAR(Table1[[#This Row],[Order Date]])</f>
        <v>2014</v>
      </c>
      <c r="B275" s="6" t="s">
        <v>1043</v>
      </c>
    </row>
    <row r="276" spans="1:2" x14ac:dyDescent="0.3">
      <c r="A276" s="22">
        <f>YEAR(Table1[[#This Row],[Order Date]])</f>
        <v>2014</v>
      </c>
      <c r="B276" s="5" t="s">
        <v>1046</v>
      </c>
    </row>
    <row r="277" spans="1:2" x14ac:dyDescent="0.3">
      <c r="A277" s="23">
        <f>YEAR(Table1[[#This Row],[Order Date]])</f>
        <v>2014</v>
      </c>
      <c r="B277" s="6" t="s">
        <v>1046</v>
      </c>
    </row>
    <row r="278" spans="1:2" x14ac:dyDescent="0.3">
      <c r="A278" s="22">
        <f>YEAR(Table1[[#This Row],[Order Date]])</f>
        <v>2014</v>
      </c>
      <c r="B278" s="5" t="s">
        <v>1046</v>
      </c>
    </row>
    <row r="279" spans="1:2" x14ac:dyDescent="0.3">
      <c r="A279" s="23">
        <f>YEAR(Table1[[#This Row],[Order Date]])</f>
        <v>2014</v>
      </c>
      <c r="B279" s="6" t="s">
        <v>522</v>
      </c>
    </row>
    <row r="280" spans="1:2" x14ac:dyDescent="0.3">
      <c r="A280" s="22">
        <f>YEAR(Table1[[#This Row],[Order Date]])</f>
        <v>2014</v>
      </c>
      <c r="B280" s="5" t="s">
        <v>1050</v>
      </c>
    </row>
    <row r="281" spans="1:2" x14ac:dyDescent="0.3">
      <c r="A281" s="23">
        <f>YEAR(Table1[[#This Row],[Order Date]])</f>
        <v>2014</v>
      </c>
      <c r="B281" s="6" t="s">
        <v>1183</v>
      </c>
    </row>
    <row r="282" spans="1:2" x14ac:dyDescent="0.3">
      <c r="A282" s="22">
        <f>YEAR(Table1[[#This Row],[Order Date]])</f>
        <v>2014</v>
      </c>
      <c r="B282" s="5" t="s">
        <v>1184</v>
      </c>
    </row>
    <row r="283" spans="1:2" x14ac:dyDescent="0.3">
      <c r="A283" s="23">
        <f>YEAR(Table1[[#This Row],[Order Date]])</f>
        <v>2014</v>
      </c>
      <c r="B283" s="6" t="s">
        <v>1403</v>
      </c>
    </row>
    <row r="284" spans="1:2" x14ac:dyDescent="0.3">
      <c r="A284" s="22">
        <f>YEAR(Table1[[#This Row],[Order Date]])</f>
        <v>2014</v>
      </c>
      <c r="B284" s="5" t="s">
        <v>1097</v>
      </c>
    </row>
    <row r="285" spans="1:2" x14ac:dyDescent="0.3">
      <c r="A285" s="23">
        <f>YEAR(Table1[[#This Row],[Order Date]])</f>
        <v>2014</v>
      </c>
      <c r="B285" s="6" t="s">
        <v>1117</v>
      </c>
    </row>
    <row r="286" spans="1:2" x14ac:dyDescent="0.3">
      <c r="A286" s="22">
        <f>YEAR(Table1[[#This Row],[Order Date]])</f>
        <v>2014</v>
      </c>
      <c r="B286" s="5" t="s">
        <v>209</v>
      </c>
    </row>
    <row r="287" spans="1:2" x14ac:dyDescent="0.3">
      <c r="A287" s="23">
        <f>YEAR(Table1[[#This Row],[Order Date]])</f>
        <v>2014</v>
      </c>
      <c r="B287" s="6" t="s">
        <v>1535</v>
      </c>
    </row>
    <row r="288" spans="1:2" x14ac:dyDescent="0.3">
      <c r="A288" s="22">
        <f>YEAR(Table1[[#This Row],[Order Date]])</f>
        <v>2014</v>
      </c>
      <c r="B288" s="5" t="s">
        <v>1535</v>
      </c>
    </row>
    <row r="289" spans="1:2" x14ac:dyDescent="0.3">
      <c r="A289" s="23">
        <f>YEAR(Table1[[#This Row],[Order Date]])</f>
        <v>2014</v>
      </c>
      <c r="B289" s="6" t="s">
        <v>1535</v>
      </c>
    </row>
    <row r="290" spans="1:2" x14ac:dyDescent="0.3">
      <c r="A290" s="22">
        <f>YEAR(Table1[[#This Row],[Order Date]])</f>
        <v>2014</v>
      </c>
      <c r="B290" s="5" t="s">
        <v>1535</v>
      </c>
    </row>
    <row r="291" spans="1:2" x14ac:dyDescent="0.3">
      <c r="A291" s="23">
        <f>YEAR(Table1[[#This Row],[Order Date]])</f>
        <v>2014</v>
      </c>
      <c r="B291" s="6" t="s">
        <v>82</v>
      </c>
    </row>
    <row r="292" spans="1:2" x14ac:dyDescent="0.3">
      <c r="A292" s="22">
        <f>YEAR(Table1[[#This Row],[Order Date]])</f>
        <v>2014</v>
      </c>
      <c r="B292" s="5" t="s">
        <v>82</v>
      </c>
    </row>
    <row r="293" spans="1:2" x14ac:dyDescent="0.3">
      <c r="A293" s="23">
        <f>YEAR(Table1[[#This Row],[Order Date]])</f>
        <v>2014</v>
      </c>
      <c r="B293" s="6" t="s">
        <v>1700</v>
      </c>
    </row>
    <row r="294" spans="1:2" x14ac:dyDescent="0.3">
      <c r="A294" s="22">
        <f>YEAR(Table1[[#This Row],[Order Date]])</f>
        <v>2014</v>
      </c>
      <c r="B294" s="5" t="s">
        <v>1701</v>
      </c>
    </row>
    <row r="295" spans="1:2" x14ac:dyDescent="0.3">
      <c r="A295" s="23">
        <f>YEAR(Table1[[#This Row],[Order Date]])</f>
        <v>2014</v>
      </c>
      <c r="B295" s="6" t="s">
        <v>1702</v>
      </c>
    </row>
    <row r="296" spans="1:2" x14ac:dyDescent="0.3">
      <c r="A296" s="22">
        <f>YEAR(Table1[[#This Row],[Order Date]])</f>
        <v>2014</v>
      </c>
      <c r="B296" s="5" t="s">
        <v>1260</v>
      </c>
    </row>
    <row r="297" spans="1:2" x14ac:dyDescent="0.3">
      <c r="A297" s="23">
        <f>YEAR(Table1[[#This Row],[Order Date]])</f>
        <v>2014</v>
      </c>
      <c r="B297" s="6" t="s">
        <v>1260</v>
      </c>
    </row>
    <row r="298" spans="1:2" x14ac:dyDescent="0.3">
      <c r="A298" s="22">
        <f>YEAR(Table1[[#This Row],[Order Date]])</f>
        <v>2014</v>
      </c>
      <c r="B298" s="5" t="s">
        <v>1260</v>
      </c>
    </row>
    <row r="299" spans="1:2" x14ac:dyDescent="0.3">
      <c r="A299" s="23">
        <f>YEAR(Table1[[#This Row],[Order Date]])</f>
        <v>2014</v>
      </c>
      <c r="B299" s="6" t="s">
        <v>1260</v>
      </c>
    </row>
    <row r="300" spans="1:2" x14ac:dyDescent="0.3">
      <c r="A300" s="22">
        <f>YEAR(Table1[[#This Row],[Order Date]])</f>
        <v>2014</v>
      </c>
      <c r="B300" s="5" t="s">
        <v>1705</v>
      </c>
    </row>
    <row r="301" spans="1:2" x14ac:dyDescent="0.3">
      <c r="A301" s="23">
        <f>YEAR(Table1[[#This Row],[Order Date]])</f>
        <v>2014</v>
      </c>
      <c r="B301" s="6" t="s">
        <v>1705</v>
      </c>
    </row>
    <row r="302" spans="1:2" x14ac:dyDescent="0.3">
      <c r="A302" s="22">
        <f>YEAR(Table1[[#This Row],[Order Date]])</f>
        <v>2014</v>
      </c>
      <c r="B302" s="5" t="s">
        <v>1706</v>
      </c>
    </row>
    <row r="303" spans="1:2" x14ac:dyDescent="0.3">
      <c r="A303" s="23">
        <f>YEAR(Table1[[#This Row],[Order Date]])</f>
        <v>2014</v>
      </c>
      <c r="B303" s="6" t="s">
        <v>26</v>
      </c>
    </row>
    <row r="304" spans="1:2" x14ac:dyDescent="0.3">
      <c r="A304" s="22">
        <f>YEAR(Table1[[#This Row],[Order Date]])</f>
        <v>2014</v>
      </c>
      <c r="B304" s="5" t="s">
        <v>29</v>
      </c>
    </row>
    <row r="305" spans="1:2" x14ac:dyDescent="0.3">
      <c r="A305" s="23">
        <f>YEAR(Table1[[#This Row],[Order Date]])</f>
        <v>2014</v>
      </c>
      <c r="B305" s="6" t="s">
        <v>32</v>
      </c>
    </row>
    <row r="306" spans="1:2" x14ac:dyDescent="0.3">
      <c r="A306" s="22">
        <f>YEAR(Table1[[#This Row],[Order Date]])</f>
        <v>2014</v>
      </c>
      <c r="B306" s="5" t="s">
        <v>32</v>
      </c>
    </row>
    <row r="307" spans="1:2" x14ac:dyDescent="0.3">
      <c r="A307" s="23">
        <f>YEAR(Table1[[#This Row],[Order Date]])</f>
        <v>2014</v>
      </c>
      <c r="B307" s="6" t="s">
        <v>32</v>
      </c>
    </row>
    <row r="308" spans="1:2" x14ac:dyDescent="0.3">
      <c r="A308" s="22">
        <f>YEAR(Table1[[#This Row],[Order Date]])</f>
        <v>2014</v>
      </c>
      <c r="B308" s="5" t="s">
        <v>32</v>
      </c>
    </row>
    <row r="309" spans="1:2" x14ac:dyDescent="0.3">
      <c r="A309" s="23">
        <f>YEAR(Table1[[#This Row],[Order Date]])</f>
        <v>2014</v>
      </c>
      <c r="B309" s="6" t="s">
        <v>32</v>
      </c>
    </row>
    <row r="310" spans="1:2" x14ac:dyDescent="0.3">
      <c r="A310" s="22">
        <f>YEAR(Table1[[#This Row],[Order Date]])</f>
        <v>2014</v>
      </c>
      <c r="B310" s="5" t="s">
        <v>32</v>
      </c>
    </row>
    <row r="311" spans="1:2" x14ac:dyDescent="0.3">
      <c r="A311" s="23">
        <f>YEAR(Table1[[#This Row],[Order Date]])</f>
        <v>2014</v>
      </c>
      <c r="B311" s="6" t="s">
        <v>165</v>
      </c>
    </row>
    <row r="312" spans="1:2" x14ac:dyDescent="0.3">
      <c r="A312" s="22">
        <f>YEAR(Table1[[#This Row],[Order Date]])</f>
        <v>2014</v>
      </c>
      <c r="B312" s="5" t="s">
        <v>165</v>
      </c>
    </row>
    <row r="313" spans="1:2" x14ac:dyDescent="0.3">
      <c r="A313" s="23">
        <f>YEAR(Table1[[#This Row],[Order Date]])</f>
        <v>2014</v>
      </c>
      <c r="B313" s="6" t="s">
        <v>85</v>
      </c>
    </row>
    <row r="314" spans="1:2" x14ac:dyDescent="0.3">
      <c r="A314" s="22">
        <f>YEAR(Table1[[#This Row],[Order Date]])</f>
        <v>2014</v>
      </c>
      <c r="B314" s="5" t="s">
        <v>128</v>
      </c>
    </row>
    <row r="315" spans="1:2" x14ac:dyDescent="0.3">
      <c r="A315" s="23">
        <f>YEAR(Table1[[#This Row],[Order Date]])</f>
        <v>2014</v>
      </c>
      <c r="B315" s="6" t="s">
        <v>461</v>
      </c>
    </row>
    <row r="316" spans="1:2" x14ac:dyDescent="0.3">
      <c r="A316" s="22">
        <f>YEAR(Table1[[#This Row],[Order Date]])</f>
        <v>2014</v>
      </c>
      <c r="B316" s="5" t="s">
        <v>461</v>
      </c>
    </row>
    <row r="317" spans="1:2" x14ac:dyDescent="0.3">
      <c r="A317" s="23">
        <f>YEAR(Table1[[#This Row],[Order Date]])</f>
        <v>2014</v>
      </c>
      <c r="B317" s="6" t="s">
        <v>464</v>
      </c>
    </row>
    <row r="318" spans="1:2" x14ac:dyDescent="0.3">
      <c r="A318" s="22">
        <f>YEAR(Table1[[#This Row],[Order Date]])</f>
        <v>2014</v>
      </c>
      <c r="B318" s="5" t="s">
        <v>464</v>
      </c>
    </row>
    <row r="319" spans="1:2" x14ac:dyDescent="0.3">
      <c r="A319" s="23">
        <f>YEAR(Table1[[#This Row],[Order Date]])</f>
        <v>2014</v>
      </c>
      <c r="B319" s="6" t="s">
        <v>464</v>
      </c>
    </row>
    <row r="320" spans="1:2" x14ac:dyDescent="0.3">
      <c r="A320" s="22">
        <f>YEAR(Table1[[#This Row],[Order Date]])</f>
        <v>2014</v>
      </c>
      <c r="B320" s="5" t="s">
        <v>469</v>
      </c>
    </row>
    <row r="321" spans="1:2" x14ac:dyDescent="0.3">
      <c r="A321" s="23">
        <f>YEAR(Table1[[#This Row],[Order Date]])</f>
        <v>2014</v>
      </c>
      <c r="B321" s="6" t="s">
        <v>615</v>
      </c>
    </row>
    <row r="322" spans="1:2" x14ac:dyDescent="0.3">
      <c r="A322" s="22">
        <f>YEAR(Table1[[#This Row],[Order Date]])</f>
        <v>2014</v>
      </c>
      <c r="B322" s="5" t="s">
        <v>759</v>
      </c>
    </row>
    <row r="323" spans="1:2" x14ac:dyDescent="0.3">
      <c r="A323" s="23">
        <f>YEAR(Table1[[#This Row],[Order Date]])</f>
        <v>2014</v>
      </c>
      <c r="B323" s="6" t="s">
        <v>761</v>
      </c>
    </row>
    <row r="324" spans="1:2" x14ac:dyDescent="0.3">
      <c r="A324" s="22">
        <f>YEAR(Table1[[#This Row],[Order Date]])</f>
        <v>2014</v>
      </c>
      <c r="B324" s="5" t="s">
        <v>761</v>
      </c>
    </row>
    <row r="325" spans="1:2" x14ac:dyDescent="0.3">
      <c r="A325" s="23">
        <f>YEAR(Table1[[#This Row],[Order Date]])</f>
        <v>2014</v>
      </c>
      <c r="B325" s="6" t="s">
        <v>761</v>
      </c>
    </row>
    <row r="326" spans="1:2" x14ac:dyDescent="0.3">
      <c r="A326" s="22">
        <f>YEAR(Table1[[#This Row],[Order Date]])</f>
        <v>2014</v>
      </c>
      <c r="B326" s="5" t="s">
        <v>765</v>
      </c>
    </row>
    <row r="327" spans="1:2" x14ac:dyDescent="0.3">
      <c r="A327" s="23">
        <f>YEAR(Table1[[#This Row],[Order Date]])</f>
        <v>2014</v>
      </c>
      <c r="B327" s="6" t="s">
        <v>767</v>
      </c>
    </row>
    <row r="328" spans="1:2" x14ac:dyDescent="0.3">
      <c r="A328" s="22">
        <f>YEAR(Table1[[#This Row],[Order Date]])</f>
        <v>2014</v>
      </c>
      <c r="B328" s="5" t="s">
        <v>508</v>
      </c>
    </row>
    <row r="329" spans="1:2" x14ac:dyDescent="0.3">
      <c r="A329" s="23">
        <f>YEAR(Table1[[#This Row],[Order Date]])</f>
        <v>2014</v>
      </c>
      <c r="B329" s="6" t="s">
        <v>508</v>
      </c>
    </row>
    <row r="330" spans="1:2" x14ac:dyDescent="0.3">
      <c r="A330" s="22">
        <f>YEAR(Table1[[#This Row],[Order Date]])</f>
        <v>2014</v>
      </c>
      <c r="B330" s="5" t="s">
        <v>893</v>
      </c>
    </row>
    <row r="331" spans="1:2" x14ac:dyDescent="0.3">
      <c r="A331" s="23">
        <f>YEAR(Table1[[#This Row],[Order Date]])</f>
        <v>2014</v>
      </c>
      <c r="B331" s="6" t="s">
        <v>895</v>
      </c>
    </row>
    <row r="332" spans="1:2" x14ac:dyDescent="0.3">
      <c r="A332" s="22">
        <f>YEAR(Table1[[#This Row],[Order Date]])</f>
        <v>2014</v>
      </c>
      <c r="B332" s="5" t="s">
        <v>1053</v>
      </c>
    </row>
    <row r="333" spans="1:2" x14ac:dyDescent="0.3">
      <c r="A333" s="23">
        <f>YEAR(Table1[[#This Row],[Order Date]])</f>
        <v>2014</v>
      </c>
      <c r="B333" s="6" t="s">
        <v>1186</v>
      </c>
    </row>
    <row r="334" spans="1:2" x14ac:dyDescent="0.3">
      <c r="A334" s="22">
        <f>YEAR(Table1[[#This Row],[Order Date]])</f>
        <v>2014</v>
      </c>
      <c r="B334" s="5" t="s">
        <v>107</v>
      </c>
    </row>
    <row r="335" spans="1:2" x14ac:dyDescent="0.3">
      <c r="A335" s="23">
        <f>YEAR(Table1[[#This Row],[Order Date]])</f>
        <v>2014</v>
      </c>
      <c r="B335" s="6" t="s">
        <v>1400</v>
      </c>
    </row>
    <row r="336" spans="1:2" x14ac:dyDescent="0.3">
      <c r="A336" s="22">
        <f>YEAR(Table1[[#This Row],[Order Date]])</f>
        <v>2014</v>
      </c>
      <c r="B336" s="5" t="s">
        <v>1186</v>
      </c>
    </row>
    <row r="337" spans="1:2" x14ac:dyDescent="0.3">
      <c r="A337" s="23">
        <f>YEAR(Table1[[#This Row],[Order Date]])</f>
        <v>2014</v>
      </c>
      <c r="B337" s="6" t="s">
        <v>1137</v>
      </c>
    </row>
    <row r="338" spans="1:2" x14ac:dyDescent="0.3">
      <c r="A338" s="22">
        <f>YEAR(Table1[[#This Row],[Order Date]])</f>
        <v>2014</v>
      </c>
      <c r="B338" s="5" t="s">
        <v>1027</v>
      </c>
    </row>
    <row r="339" spans="1:2" x14ac:dyDescent="0.3">
      <c r="A339" s="23">
        <f>YEAR(Table1[[#This Row],[Order Date]])</f>
        <v>2014</v>
      </c>
      <c r="B339" s="6" t="s">
        <v>1027</v>
      </c>
    </row>
    <row r="340" spans="1:2" x14ac:dyDescent="0.3">
      <c r="A340" s="22">
        <f>YEAR(Table1[[#This Row],[Order Date]])</f>
        <v>2014</v>
      </c>
      <c r="B340" s="5" t="s">
        <v>1027</v>
      </c>
    </row>
    <row r="341" spans="1:2" x14ac:dyDescent="0.3">
      <c r="A341" s="23">
        <f>YEAR(Table1[[#This Row],[Order Date]])</f>
        <v>2014</v>
      </c>
      <c r="B341" s="6" t="s">
        <v>1027</v>
      </c>
    </row>
    <row r="342" spans="1:2" x14ac:dyDescent="0.3">
      <c r="A342" s="22">
        <f>YEAR(Table1[[#This Row],[Order Date]])</f>
        <v>2014</v>
      </c>
      <c r="B342" s="5" t="s">
        <v>1027</v>
      </c>
    </row>
    <row r="343" spans="1:2" x14ac:dyDescent="0.3">
      <c r="A343" s="23">
        <f>YEAR(Table1[[#This Row],[Order Date]])</f>
        <v>2014</v>
      </c>
      <c r="B343" s="6" t="s">
        <v>476</v>
      </c>
    </row>
    <row r="344" spans="1:2" x14ac:dyDescent="0.3">
      <c r="A344" s="22">
        <f>YEAR(Table1[[#This Row],[Order Date]])</f>
        <v>2014</v>
      </c>
      <c r="B344" s="5" t="s">
        <v>1538</v>
      </c>
    </row>
    <row r="345" spans="1:2" x14ac:dyDescent="0.3">
      <c r="A345" s="23">
        <f>YEAR(Table1[[#This Row],[Order Date]])</f>
        <v>2014</v>
      </c>
      <c r="B345" s="6" t="s">
        <v>46</v>
      </c>
    </row>
    <row r="346" spans="1:2" x14ac:dyDescent="0.3">
      <c r="A346" s="22">
        <f>YEAR(Table1[[#This Row],[Order Date]])</f>
        <v>2014</v>
      </c>
      <c r="B346" s="5" t="s">
        <v>46</v>
      </c>
    </row>
    <row r="347" spans="1:2" x14ac:dyDescent="0.3">
      <c r="A347" s="23">
        <f>YEAR(Table1[[#This Row],[Order Date]])</f>
        <v>2014</v>
      </c>
      <c r="B347" s="6" t="s">
        <v>170</v>
      </c>
    </row>
    <row r="348" spans="1:2" x14ac:dyDescent="0.3">
      <c r="A348" s="22">
        <f>YEAR(Table1[[#This Row],[Order Date]])</f>
        <v>2014</v>
      </c>
      <c r="B348" s="5" t="s">
        <v>204</v>
      </c>
    </row>
    <row r="349" spans="1:2" x14ac:dyDescent="0.3">
      <c r="A349" s="23">
        <f>YEAR(Table1[[#This Row],[Order Date]])</f>
        <v>2014</v>
      </c>
      <c r="B349" s="6" t="s">
        <v>204</v>
      </c>
    </row>
    <row r="350" spans="1:2" x14ac:dyDescent="0.3">
      <c r="A350" s="22">
        <f>YEAR(Table1[[#This Row],[Order Date]])</f>
        <v>2014</v>
      </c>
      <c r="B350" s="5" t="s">
        <v>204</v>
      </c>
    </row>
    <row r="351" spans="1:2" x14ac:dyDescent="0.3">
      <c r="A351" s="23">
        <f>YEAR(Table1[[#This Row],[Order Date]])</f>
        <v>2014</v>
      </c>
      <c r="B351" s="6" t="s">
        <v>260</v>
      </c>
    </row>
    <row r="352" spans="1:2" x14ac:dyDescent="0.3">
      <c r="A352" s="22">
        <f>YEAR(Table1[[#This Row],[Order Date]])</f>
        <v>2014</v>
      </c>
      <c r="B352" s="5" t="s">
        <v>262</v>
      </c>
    </row>
    <row r="353" spans="1:2" x14ac:dyDescent="0.3">
      <c r="A353" s="23">
        <f>YEAR(Table1[[#This Row],[Order Date]])</f>
        <v>2014</v>
      </c>
      <c r="B353" s="6" t="s">
        <v>262</v>
      </c>
    </row>
    <row r="354" spans="1:2" x14ac:dyDescent="0.3">
      <c r="A354" s="22">
        <f>YEAR(Table1[[#This Row],[Order Date]])</f>
        <v>2014</v>
      </c>
      <c r="B354" s="5" t="s">
        <v>262</v>
      </c>
    </row>
    <row r="355" spans="1:2" x14ac:dyDescent="0.3">
      <c r="A355" s="23">
        <f>YEAR(Table1[[#This Row],[Order Date]])</f>
        <v>2014</v>
      </c>
      <c r="B355" s="6" t="s">
        <v>262</v>
      </c>
    </row>
    <row r="356" spans="1:2" x14ac:dyDescent="0.3">
      <c r="A356" s="22">
        <f>YEAR(Table1[[#This Row],[Order Date]])</f>
        <v>2014</v>
      </c>
      <c r="B356" s="5" t="s">
        <v>473</v>
      </c>
    </row>
    <row r="357" spans="1:2" x14ac:dyDescent="0.3">
      <c r="A357" s="23">
        <f>YEAR(Table1[[#This Row],[Order Date]])</f>
        <v>2014</v>
      </c>
      <c r="B357" s="6" t="s">
        <v>476</v>
      </c>
    </row>
    <row r="358" spans="1:2" x14ac:dyDescent="0.3">
      <c r="A358" s="22">
        <f>YEAR(Table1[[#This Row],[Order Date]])</f>
        <v>2014</v>
      </c>
      <c r="B358" s="5" t="s">
        <v>476</v>
      </c>
    </row>
    <row r="359" spans="1:2" x14ac:dyDescent="0.3">
      <c r="A359" s="23">
        <f>YEAR(Table1[[#This Row],[Order Date]])</f>
        <v>2014</v>
      </c>
      <c r="B359" s="6" t="s">
        <v>478</v>
      </c>
    </row>
    <row r="360" spans="1:2" x14ac:dyDescent="0.3">
      <c r="A360" s="22">
        <f>YEAR(Table1[[#This Row],[Order Date]])</f>
        <v>2014</v>
      </c>
      <c r="B360" s="5" t="s">
        <v>478</v>
      </c>
    </row>
    <row r="361" spans="1:2" x14ac:dyDescent="0.3">
      <c r="A361" s="23">
        <f>YEAR(Table1[[#This Row],[Order Date]])</f>
        <v>2014</v>
      </c>
      <c r="B361" s="6" t="s">
        <v>617</v>
      </c>
    </row>
    <row r="362" spans="1:2" x14ac:dyDescent="0.3">
      <c r="A362" s="22">
        <f>YEAR(Table1[[#This Row],[Order Date]])</f>
        <v>2014</v>
      </c>
      <c r="B362" s="5" t="s">
        <v>617</v>
      </c>
    </row>
    <row r="363" spans="1:2" x14ac:dyDescent="0.3">
      <c r="A363" s="23">
        <f>YEAR(Table1[[#This Row],[Order Date]])</f>
        <v>2014</v>
      </c>
      <c r="B363" s="6" t="s">
        <v>617</v>
      </c>
    </row>
    <row r="364" spans="1:2" x14ac:dyDescent="0.3">
      <c r="A364" s="22">
        <f>YEAR(Table1[[#This Row],[Order Date]])</f>
        <v>2014</v>
      </c>
      <c r="B364" s="5" t="s">
        <v>617</v>
      </c>
    </row>
    <row r="365" spans="1:2" x14ac:dyDescent="0.3">
      <c r="A365" s="23">
        <f>YEAR(Table1[[#This Row],[Order Date]])</f>
        <v>2014</v>
      </c>
      <c r="B365" s="6" t="s">
        <v>524</v>
      </c>
    </row>
    <row r="366" spans="1:2" x14ac:dyDescent="0.3">
      <c r="A366" s="22">
        <f>YEAR(Table1[[#This Row],[Order Date]])</f>
        <v>2014</v>
      </c>
      <c r="B366" s="5" t="s">
        <v>624</v>
      </c>
    </row>
    <row r="367" spans="1:2" x14ac:dyDescent="0.3">
      <c r="A367" s="23">
        <f>YEAR(Table1[[#This Row],[Order Date]])</f>
        <v>2014</v>
      </c>
      <c r="B367" s="6" t="s">
        <v>624</v>
      </c>
    </row>
    <row r="368" spans="1:2" x14ac:dyDescent="0.3">
      <c r="A368" s="22">
        <f>YEAR(Table1[[#This Row],[Order Date]])</f>
        <v>2014</v>
      </c>
      <c r="B368" s="5" t="s">
        <v>119</v>
      </c>
    </row>
    <row r="369" spans="1:2" x14ac:dyDescent="0.3">
      <c r="A369" s="23">
        <f>YEAR(Table1[[#This Row],[Order Date]])</f>
        <v>2014</v>
      </c>
      <c r="B369" s="6" t="s">
        <v>119</v>
      </c>
    </row>
    <row r="370" spans="1:2" x14ac:dyDescent="0.3">
      <c r="A370" s="22">
        <f>YEAR(Table1[[#This Row],[Order Date]])</f>
        <v>2014</v>
      </c>
      <c r="B370" s="5" t="s">
        <v>119</v>
      </c>
    </row>
    <row r="371" spans="1:2" x14ac:dyDescent="0.3">
      <c r="A371" s="23">
        <f>YEAR(Table1[[#This Row],[Order Date]])</f>
        <v>2014</v>
      </c>
      <c r="B371" s="6" t="s">
        <v>119</v>
      </c>
    </row>
    <row r="372" spans="1:2" x14ac:dyDescent="0.3">
      <c r="A372" s="22">
        <f>YEAR(Table1[[#This Row],[Order Date]])</f>
        <v>2014</v>
      </c>
      <c r="B372" s="5" t="s">
        <v>1193</v>
      </c>
    </row>
    <row r="373" spans="1:2" x14ac:dyDescent="0.3">
      <c r="A373" s="23">
        <f>YEAR(Table1[[#This Row],[Order Date]])</f>
        <v>2014</v>
      </c>
      <c r="B373" s="6" t="s">
        <v>1195</v>
      </c>
    </row>
    <row r="374" spans="1:2" x14ac:dyDescent="0.3">
      <c r="A374" s="22">
        <f>YEAR(Table1[[#This Row],[Order Date]])</f>
        <v>2014</v>
      </c>
      <c r="B374" s="5" t="s">
        <v>1195</v>
      </c>
    </row>
    <row r="375" spans="1:2" x14ac:dyDescent="0.3">
      <c r="A375" s="23">
        <f>YEAR(Table1[[#This Row],[Order Date]])</f>
        <v>2014</v>
      </c>
      <c r="B375" s="6" t="s">
        <v>1195</v>
      </c>
    </row>
    <row r="376" spans="1:2" x14ac:dyDescent="0.3">
      <c r="A376" s="22">
        <f>YEAR(Table1[[#This Row],[Order Date]])</f>
        <v>2014</v>
      </c>
      <c r="B376" s="5" t="s">
        <v>1195</v>
      </c>
    </row>
    <row r="377" spans="1:2" x14ac:dyDescent="0.3">
      <c r="A377" s="23">
        <f>YEAR(Table1[[#This Row],[Order Date]])</f>
        <v>2014</v>
      </c>
      <c r="B377" s="6" t="s">
        <v>292</v>
      </c>
    </row>
    <row r="378" spans="1:2" x14ac:dyDescent="0.3">
      <c r="A378" s="22">
        <f>YEAR(Table1[[#This Row],[Order Date]])</f>
        <v>2014</v>
      </c>
      <c r="B378" s="5" t="s">
        <v>292</v>
      </c>
    </row>
    <row r="379" spans="1:2" x14ac:dyDescent="0.3">
      <c r="A379" s="23">
        <f>YEAR(Table1[[#This Row],[Order Date]])</f>
        <v>2014</v>
      </c>
      <c r="B379" s="6" t="s">
        <v>292</v>
      </c>
    </row>
    <row r="380" spans="1:2" x14ac:dyDescent="0.3">
      <c r="A380" s="22">
        <f>YEAR(Table1[[#This Row],[Order Date]])</f>
        <v>2014</v>
      </c>
      <c r="B380" s="5" t="s">
        <v>1202</v>
      </c>
    </row>
    <row r="381" spans="1:2" x14ac:dyDescent="0.3">
      <c r="A381" s="23">
        <f>YEAR(Table1[[#This Row],[Order Date]])</f>
        <v>2014</v>
      </c>
      <c r="B381" s="6" t="s">
        <v>1202</v>
      </c>
    </row>
    <row r="382" spans="1:2" x14ac:dyDescent="0.3">
      <c r="A382" s="22">
        <f>YEAR(Table1[[#This Row],[Order Date]])</f>
        <v>2014</v>
      </c>
      <c r="B382" s="5" t="s">
        <v>722</v>
      </c>
    </row>
    <row r="383" spans="1:2" x14ac:dyDescent="0.3">
      <c r="A383" s="23">
        <f>YEAR(Table1[[#This Row],[Order Date]])</f>
        <v>2014</v>
      </c>
      <c r="B383" s="6" t="s">
        <v>722</v>
      </c>
    </row>
    <row r="384" spans="1:2" x14ac:dyDescent="0.3">
      <c r="A384" s="22">
        <f>YEAR(Table1[[#This Row],[Order Date]])</f>
        <v>2014</v>
      </c>
      <c r="B384" s="5" t="s">
        <v>1181</v>
      </c>
    </row>
    <row r="385" spans="1:2" x14ac:dyDescent="0.3">
      <c r="A385" s="23">
        <f>YEAR(Table1[[#This Row],[Order Date]])</f>
        <v>2014</v>
      </c>
      <c r="B385" s="6" t="s">
        <v>450</v>
      </c>
    </row>
    <row r="386" spans="1:2" x14ac:dyDescent="0.3">
      <c r="A386" s="22">
        <f>YEAR(Table1[[#This Row],[Order Date]])</f>
        <v>2014</v>
      </c>
      <c r="B386" s="5" t="s">
        <v>1540</v>
      </c>
    </row>
    <row r="387" spans="1:2" x14ac:dyDescent="0.3">
      <c r="A387" s="23">
        <f>YEAR(Table1[[#This Row],[Order Date]])</f>
        <v>2014</v>
      </c>
      <c r="B387" s="6" t="s">
        <v>749</v>
      </c>
    </row>
    <row r="388" spans="1:2" x14ac:dyDescent="0.3">
      <c r="A388" s="22">
        <f>YEAR(Table1[[#This Row],[Order Date]])</f>
        <v>2014</v>
      </c>
      <c r="B388" s="5" t="s">
        <v>749</v>
      </c>
    </row>
    <row r="389" spans="1:2" x14ac:dyDescent="0.3">
      <c r="A389" s="23">
        <f>YEAR(Table1[[#This Row],[Order Date]])</f>
        <v>2014</v>
      </c>
      <c r="B389" s="6" t="s">
        <v>749</v>
      </c>
    </row>
    <row r="390" spans="1:2" x14ac:dyDescent="0.3">
      <c r="A390" s="22">
        <f>YEAR(Table1[[#This Row],[Order Date]])</f>
        <v>2014</v>
      </c>
      <c r="B390" s="5" t="s">
        <v>1230</v>
      </c>
    </row>
    <row r="391" spans="1:2" x14ac:dyDescent="0.3">
      <c r="A391" s="23">
        <f>YEAR(Table1[[#This Row],[Order Date]])</f>
        <v>2014</v>
      </c>
      <c r="B391" s="6" t="s">
        <v>1230</v>
      </c>
    </row>
    <row r="392" spans="1:2" x14ac:dyDescent="0.3">
      <c r="A392" s="22">
        <f>YEAR(Table1[[#This Row],[Order Date]])</f>
        <v>2014</v>
      </c>
      <c r="B392" s="5" t="s">
        <v>1230</v>
      </c>
    </row>
    <row r="393" spans="1:2" x14ac:dyDescent="0.3">
      <c r="A393" s="23">
        <f>YEAR(Table1[[#This Row],[Order Date]])</f>
        <v>2014</v>
      </c>
      <c r="B393" s="6" t="s">
        <v>1230</v>
      </c>
    </row>
    <row r="394" spans="1:2" x14ac:dyDescent="0.3">
      <c r="A394" s="22">
        <f>YEAR(Table1[[#This Row],[Order Date]])</f>
        <v>2014</v>
      </c>
      <c r="B394" s="5" t="s">
        <v>769</v>
      </c>
    </row>
    <row r="395" spans="1:2" x14ac:dyDescent="0.3">
      <c r="A395" s="23">
        <f>YEAR(Table1[[#This Row],[Order Date]])</f>
        <v>2014</v>
      </c>
      <c r="B395" s="6" t="s">
        <v>769</v>
      </c>
    </row>
    <row r="396" spans="1:2" x14ac:dyDescent="0.3">
      <c r="A396" s="22">
        <f>YEAR(Table1[[#This Row],[Order Date]])</f>
        <v>2014</v>
      </c>
      <c r="B396" s="5" t="s">
        <v>202</v>
      </c>
    </row>
    <row r="397" spans="1:2" x14ac:dyDescent="0.3">
      <c r="A397" s="23">
        <f>YEAR(Table1[[#This Row],[Order Date]])</f>
        <v>2014</v>
      </c>
      <c r="B397" s="6" t="s">
        <v>1712</v>
      </c>
    </row>
    <row r="398" spans="1:2" x14ac:dyDescent="0.3">
      <c r="A398" s="22">
        <f>YEAR(Table1[[#This Row],[Order Date]])</f>
        <v>2014</v>
      </c>
      <c r="B398" s="5" t="s">
        <v>652</v>
      </c>
    </row>
    <row r="399" spans="1:2" x14ac:dyDescent="0.3">
      <c r="A399" s="23">
        <f>YEAR(Table1[[#This Row],[Order Date]])</f>
        <v>2014</v>
      </c>
      <c r="B399" s="6" t="s">
        <v>174</v>
      </c>
    </row>
    <row r="400" spans="1:2" x14ac:dyDescent="0.3">
      <c r="A400" s="22">
        <f>YEAR(Table1[[#This Row],[Order Date]])</f>
        <v>2014</v>
      </c>
      <c r="B400" s="5" t="s">
        <v>481</v>
      </c>
    </row>
    <row r="401" spans="1:2" x14ac:dyDescent="0.3">
      <c r="A401" s="23">
        <f>YEAR(Table1[[#This Row],[Order Date]])</f>
        <v>2014</v>
      </c>
      <c r="B401" s="6" t="s">
        <v>484</v>
      </c>
    </row>
    <row r="402" spans="1:2" x14ac:dyDescent="0.3">
      <c r="A402" s="22">
        <f>YEAR(Table1[[#This Row],[Order Date]])</f>
        <v>2014</v>
      </c>
      <c r="B402" s="5" t="s">
        <v>174</v>
      </c>
    </row>
    <row r="403" spans="1:2" x14ac:dyDescent="0.3">
      <c r="A403" s="23">
        <f>YEAR(Table1[[#This Row],[Order Date]])</f>
        <v>2014</v>
      </c>
      <c r="B403" s="6" t="s">
        <v>174</v>
      </c>
    </row>
    <row r="404" spans="1:2" x14ac:dyDescent="0.3">
      <c r="A404" s="22">
        <f>YEAR(Table1[[#This Row],[Order Date]])</f>
        <v>2014</v>
      </c>
      <c r="B404" s="5" t="s">
        <v>488</v>
      </c>
    </row>
    <row r="405" spans="1:2" x14ac:dyDescent="0.3">
      <c r="A405" s="23">
        <f>YEAR(Table1[[#This Row],[Order Date]])</f>
        <v>2014</v>
      </c>
      <c r="B405" s="6" t="s">
        <v>268</v>
      </c>
    </row>
    <row r="406" spans="1:2" x14ac:dyDescent="0.3">
      <c r="A406" s="22">
        <f>YEAR(Table1[[#This Row],[Order Date]])</f>
        <v>2014</v>
      </c>
      <c r="B406" s="5" t="s">
        <v>433</v>
      </c>
    </row>
    <row r="407" spans="1:2" x14ac:dyDescent="0.3">
      <c r="A407" s="23">
        <f>YEAR(Table1[[#This Row],[Order Date]])</f>
        <v>2014</v>
      </c>
      <c r="B407" s="6" t="s">
        <v>774</v>
      </c>
    </row>
    <row r="408" spans="1:2" x14ac:dyDescent="0.3">
      <c r="A408" s="22">
        <f>YEAR(Table1[[#This Row],[Order Date]])</f>
        <v>2014</v>
      </c>
      <c r="B408" s="5" t="s">
        <v>774</v>
      </c>
    </row>
    <row r="409" spans="1:2" x14ac:dyDescent="0.3">
      <c r="A409" s="23">
        <f>YEAR(Table1[[#This Row],[Order Date]])</f>
        <v>2014</v>
      </c>
      <c r="B409" s="6" t="s">
        <v>900</v>
      </c>
    </row>
    <row r="410" spans="1:2" x14ac:dyDescent="0.3">
      <c r="A410" s="22">
        <f>YEAR(Table1[[#This Row],[Order Date]])</f>
        <v>2014</v>
      </c>
      <c r="B410" s="5" t="s">
        <v>900</v>
      </c>
    </row>
    <row r="411" spans="1:2" x14ac:dyDescent="0.3">
      <c r="A411" s="23">
        <f>YEAR(Table1[[#This Row],[Order Date]])</f>
        <v>2014</v>
      </c>
      <c r="B411" s="6" t="s">
        <v>1055</v>
      </c>
    </row>
    <row r="412" spans="1:2" x14ac:dyDescent="0.3">
      <c r="A412" s="22">
        <f>YEAR(Table1[[#This Row],[Order Date]])</f>
        <v>2014</v>
      </c>
      <c r="B412" s="5" t="s">
        <v>1055</v>
      </c>
    </row>
    <row r="413" spans="1:2" x14ac:dyDescent="0.3">
      <c r="A413" s="23">
        <f>YEAR(Table1[[#This Row],[Order Date]])</f>
        <v>2014</v>
      </c>
      <c r="B413" s="6" t="s">
        <v>1055</v>
      </c>
    </row>
    <row r="414" spans="1:2" x14ac:dyDescent="0.3">
      <c r="A414" s="22">
        <f>YEAR(Table1[[#This Row],[Order Date]])</f>
        <v>2014</v>
      </c>
      <c r="B414" s="5" t="s">
        <v>1060</v>
      </c>
    </row>
    <row r="415" spans="1:2" x14ac:dyDescent="0.3">
      <c r="A415" s="23">
        <f>YEAR(Table1[[#This Row],[Order Date]])</f>
        <v>2014</v>
      </c>
      <c r="B415" s="6" t="s">
        <v>1060</v>
      </c>
    </row>
    <row r="416" spans="1:2" x14ac:dyDescent="0.3">
      <c r="A416" s="22">
        <f>YEAR(Table1[[#This Row],[Order Date]])</f>
        <v>2014</v>
      </c>
      <c r="B416" s="5" t="s">
        <v>1064</v>
      </c>
    </row>
    <row r="417" spans="1:2" x14ac:dyDescent="0.3">
      <c r="A417" s="23">
        <f>YEAR(Table1[[#This Row],[Order Date]])</f>
        <v>2014</v>
      </c>
      <c r="B417" s="6" t="s">
        <v>1064</v>
      </c>
    </row>
    <row r="418" spans="1:2" x14ac:dyDescent="0.3">
      <c r="A418" s="22">
        <f>YEAR(Table1[[#This Row],[Order Date]])</f>
        <v>2014</v>
      </c>
      <c r="B418" s="5" t="s">
        <v>1069</v>
      </c>
    </row>
    <row r="419" spans="1:2" x14ac:dyDescent="0.3">
      <c r="A419" s="23">
        <f>YEAR(Table1[[#This Row],[Order Date]])</f>
        <v>2014</v>
      </c>
      <c r="B419" s="6" t="s">
        <v>1206</v>
      </c>
    </row>
    <row r="420" spans="1:2" x14ac:dyDescent="0.3">
      <c r="A420" s="22">
        <f>YEAR(Table1[[#This Row],[Order Date]])</f>
        <v>2014</v>
      </c>
      <c r="B420" s="5" t="s">
        <v>1206</v>
      </c>
    </row>
    <row r="421" spans="1:2" x14ac:dyDescent="0.3">
      <c r="A421" s="23">
        <f>YEAR(Table1[[#This Row],[Order Date]])</f>
        <v>2014</v>
      </c>
      <c r="B421" s="6" t="s">
        <v>1206</v>
      </c>
    </row>
    <row r="422" spans="1:2" x14ac:dyDescent="0.3">
      <c r="A422" s="22">
        <f>YEAR(Table1[[#This Row],[Order Date]])</f>
        <v>2014</v>
      </c>
      <c r="B422" s="5" t="s">
        <v>1206</v>
      </c>
    </row>
    <row r="423" spans="1:2" x14ac:dyDescent="0.3">
      <c r="A423" s="23">
        <f>YEAR(Table1[[#This Row],[Order Date]])</f>
        <v>2014</v>
      </c>
      <c r="B423" s="6" t="s">
        <v>1050</v>
      </c>
    </row>
    <row r="424" spans="1:2" x14ac:dyDescent="0.3">
      <c r="A424" s="22">
        <f>YEAR(Table1[[#This Row],[Order Date]])</f>
        <v>2014</v>
      </c>
      <c r="B424" s="5" t="s">
        <v>1213</v>
      </c>
    </row>
    <row r="425" spans="1:2" x14ac:dyDescent="0.3">
      <c r="A425" s="23">
        <f>YEAR(Table1[[#This Row],[Order Date]])</f>
        <v>2014</v>
      </c>
      <c r="B425" s="6" t="s">
        <v>1214</v>
      </c>
    </row>
    <row r="426" spans="1:2" x14ac:dyDescent="0.3">
      <c r="A426" s="22">
        <f>YEAR(Table1[[#This Row],[Order Date]])</f>
        <v>2014</v>
      </c>
      <c r="B426" s="5" t="s">
        <v>888</v>
      </c>
    </row>
    <row r="427" spans="1:2" x14ac:dyDescent="0.3">
      <c r="A427" s="23">
        <f>YEAR(Table1[[#This Row],[Order Date]])</f>
        <v>2014</v>
      </c>
      <c r="B427" s="6" t="s">
        <v>888</v>
      </c>
    </row>
    <row r="428" spans="1:2" x14ac:dyDescent="0.3">
      <c r="A428" s="22">
        <f>YEAR(Table1[[#This Row],[Order Date]])</f>
        <v>2014</v>
      </c>
      <c r="B428" s="5" t="s">
        <v>888</v>
      </c>
    </row>
    <row r="429" spans="1:2" x14ac:dyDescent="0.3">
      <c r="A429" s="23">
        <f>YEAR(Table1[[#This Row],[Order Date]])</f>
        <v>2014</v>
      </c>
      <c r="B429" s="6" t="s">
        <v>664</v>
      </c>
    </row>
    <row r="430" spans="1:2" x14ac:dyDescent="0.3">
      <c r="A430" s="22">
        <f>YEAR(Table1[[#This Row],[Order Date]])</f>
        <v>2014</v>
      </c>
      <c r="B430" s="5" t="s">
        <v>1221</v>
      </c>
    </row>
    <row r="431" spans="1:2" x14ac:dyDescent="0.3">
      <c r="A431" s="23">
        <f>YEAR(Table1[[#This Row],[Order Date]])</f>
        <v>2014</v>
      </c>
      <c r="B431" s="6" t="s">
        <v>1223</v>
      </c>
    </row>
    <row r="432" spans="1:2" x14ac:dyDescent="0.3">
      <c r="A432" s="22">
        <f>YEAR(Table1[[#This Row],[Order Date]])</f>
        <v>2014</v>
      </c>
      <c r="B432" s="5" t="s">
        <v>1223</v>
      </c>
    </row>
    <row r="433" spans="1:2" x14ac:dyDescent="0.3">
      <c r="A433" s="23">
        <f>YEAR(Table1[[#This Row],[Order Date]])</f>
        <v>2014</v>
      </c>
      <c r="B433" s="6" t="s">
        <v>1223</v>
      </c>
    </row>
    <row r="434" spans="1:2" x14ac:dyDescent="0.3">
      <c r="A434" s="22">
        <f>YEAR(Table1[[#This Row],[Order Date]])</f>
        <v>2014</v>
      </c>
      <c r="B434" s="5" t="s">
        <v>1226</v>
      </c>
    </row>
    <row r="435" spans="1:2" x14ac:dyDescent="0.3">
      <c r="A435" s="23">
        <f>YEAR(Table1[[#This Row],[Order Date]])</f>
        <v>2014</v>
      </c>
      <c r="B435" s="6" t="s">
        <v>1226</v>
      </c>
    </row>
    <row r="436" spans="1:2" x14ac:dyDescent="0.3">
      <c r="A436" s="22">
        <f>YEAR(Table1[[#This Row],[Order Date]])</f>
        <v>2014</v>
      </c>
      <c r="B436" s="5" t="s">
        <v>1152</v>
      </c>
    </row>
    <row r="437" spans="1:2" x14ac:dyDescent="0.3">
      <c r="A437" s="23">
        <f>YEAR(Table1[[#This Row],[Order Date]])</f>
        <v>2014</v>
      </c>
      <c r="B437" s="6" t="s">
        <v>1152</v>
      </c>
    </row>
    <row r="438" spans="1:2" x14ac:dyDescent="0.3">
      <c r="A438" s="22">
        <f>YEAR(Table1[[#This Row],[Order Date]])</f>
        <v>2014</v>
      </c>
      <c r="B438" s="5" t="s">
        <v>94</v>
      </c>
    </row>
    <row r="439" spans="1:2" x14ac:dyDescent="0.3">
      <c r="A439" s="23">
        <f>YEAR(Table1[[#This Row],[Order Date]])</f>
        <v>2014</v>
      </c>
      <c r="B439" s="6" t="s">
        <v>1317</v>
      </c>
    </row>
    <row r="440" spans="1:2" x14ac:dyDescent="0.3">
      <c r="A440" s="22">
        <f>YEAR(Table1[[#This Row],[Order Date]])</f>
        <v>2014</v>
      </c>
      <c r="B440" s="5" t="s">
        <v>1310</v>
      </c>
    </row>
    <row r="441" spans="1:2" x14ac:dyDescent="0.3">
      <c r="A441" s="23">
        <f>YEAR(Table1[[#This Row],[Order Date]])</f>
        <v>2014</v>
      </c>
      <c r="B441" s="6" t="s">
        <v>609</v>
      </c>
    </row>
    <row r="442" spans="1:2" x14ac:dyDescent="0.3">
      <c r="A442" s="22">
        <f>YEAR(Table1[[#This Row],[Order Date]])</f>
        <v>2014</v>
      </c>
      <c r="B442" s="5" t="s">
        <v>1714</v>
      </c>
    </row>
    <row r="443" spans="1:2" x14ac:dyDescent="0.3">
      <c r="A443" s="23">
        <f>YEAR(Table1[[#This Row],[Order Date]])</f>
        <v>2014</v>
      </c>
      <c r="B443" s="6" t="s">
        <v>1716</v>
      </c>
    </row>
    <row r="444" spans="1:2" x14ac:dyDescent="0.3">
      <c r="A444" s="22">
        <f>YEAR(Table1[[#This Row],[Order Date]])</f>
        <v>2014</v>
      </c>
      <c r="B444" s="5" t="s">
        <v>1716</v>
      </c>
    </row>
    <row r="445" spans="1:2" x14ac:dyDescent="0.3">
      <c r="A445" s="23">
        <f>YEAR(Table1[[#This Row],[Order Date]])</f>
        <v>2014</v>
      </c>
      <c r="B445" s="6" t="s">
        <v>1716</v>
      </c>
    </row>
    <row r="446" spans="1:2" x14ac:dyDescent="0.3">
      <c r="A446" s="22">
        <f>YEAR(Table1[[#This Row],[Order Date]])</f>
        <v>2014</v>
      </c>
      <c r="B446" s="5" t="s">
        <v>1716</v>
      </c>
    </row>
    <row r="447" spans="1:2" x14ac:dyDescent="0.3">
      <c r="A447" s="23">
        <f>YEAR(Table1[[#This Row],[Order Date]])</f>
        <v>2014</v>
      </c>
      <c r="B447" s="6" t="s">
        <v>1716</v>
      </c>
    </row>
    <row r="448" spans="1:2" x14ac:dyDescent="0.3">
      <c r="A448" s="22">
        <f>YEAR(Table1[[#This Row],[Order Date]])</f>
        <v>2014</v>
      </c>
      <c r="B448" s="5" t="s">
        <v>1716</v>
      </c>
    </row>
    <row r="449" spans="1:2" x14ac:dyDescent="0.3">
      <c r="A449" s="23">
        <f>YEAR(Table1[[#This Row],[Order Date]])</f>
        <v>2014</v>
      </c>
      <c r="B449" s="6" t="s">
        <v>730</v>
      </c>
    </row>
    <row r="450" spans="1:2" x14ac:dyDescent="0.3">
      <c r="A450" s="22">
        <f>YEAR(Table1[[#This Row],[Order Date]])</f>
        <v>2014</v>
      </c>
      <c r="B450" s="5" t="s">
        <v>1720</v>
      </c>
    </row>
    <row r="451" spans="1:2" x14ac:dyDescent="0.3">
      <c r="A451" s="23">
        <f>YEAR(Table1[[#This Row],[Order Date]])</f>
        <v>2014</v>
      </c>
      <c r="B451" s="6" t="s">
        <v>50</v>
      </c>
    </row>
    <row r="452" spans="1:2" x14ac:dyDescent="0.3">
      <c r="A452" s="22">
        <f>YEAR(Table1[[#This Row],[Order Date]])</f>
        <v>2014</v>
      </c>
      <c r="B452" s="5" t="s">
        <v>50</v>
      </c>
    </row>
    <row r="453" spans="1:2" x14ac:dyDescent="0.3">
      <c r="A453" s="23">
        <f>YEAR(Table1[[#This Row],[Order Date]])</f>
        <v>2014</v>
      </c>
      <c r="B453" s="6" t="s">
        <v>622</v>
      </c>
    </row>
    <row r="454" spans="1:2" x14ac:dyDescent="0.3">
      <c r="A454" s="22">
        <f>YEAR(Table1[[#This Row],[Order Date]])</f>
        <v>2014</v>
      </c>
      <c r="B454" s="5" t="s">
        <v>624</v>
      </c>
    </row>
    <row r="455" spans="1:2" x14ac:dyDescent="0.3">
      <c r="A455" s="23">
        <f>YEAR(Table1[[#This Row],[Order Date]])</f>
        <v>2014</v>
      </c>
      <c r="B455" s="6" t="s">
        <v>624</v>
      </c>
    </row>
    <row r="456" spans="1:2" x14ac:dyDescent="0.3">
      <c r="A456" s="22">
        <f>YEAR(Table1[[#This Row],[Order Date]])</f>
        <v>2014</v>
      </c>
      <c r="B456" s="5" t="s">
        <v>624</v>
      </c>
    </row>
    <row r="457" spans="1:2" x14ac:dyDescent="0.3">
      <c r="A457" s="23">
        <f>YEAR(Table1[[#This Row],[Order Date]])</f>
        <v>2014</v>
      </c>
      <c r="B457" s="6" t="s">
        <v>776</v>
      </c>
    </row>
    <row r="458" spans="1:2" x14ac:dyDescent="0.3">
      <c r="A458" s="22">
        <f>YEAR(Table1[[#This Row],[Order Date]])</f>
        <v>2014</v>
      </c>
      <c r="B458" s="5" t="s">
        <v>776</v>
      </c>
    </row>
    <row r="459" spans="1:2" x14ac:dyDescent="0.3">
      <c r="A459" s="23">
        <f>YEAR(Table1[[#This Row],[Order Date]])</f>
        <v>2014</v>
      </c>
      <c r="B459" s="6" t="s">
        <v>776</v>
      </c>
    </row>
    <row r="460" spans="1:2" x14ac:dyDescent="0.3">
      <c r="A460" s="22">
        <f>YEAR(Table1[[#This Row],[Order Date]])</f>
        <v>2014</v>
      </c>
      <c r="B460" s="5" t="s">
        <v>776</v>
      </c>
    </row>
    <row r="461" spans="1:2" x14ac:dyDescent="0.3">
      <c r="A461" s="23">
        <f>YEAR(Table1[[#This Row],[Order Date]])</f>
        <v>2014</v>
      </c>
      <c r="B461" s="6" t="s">
        <v>783</v>
      </c>
    </row>
    <row r="462" spans="1:2" x14ac:dyDescent="0.3">
      <c r="A462" s="22">
        <f>YEAR(Table1[[#This Row],[Order Date]])</f>
        <v>2014</v>
      </c>
      <c r="B462" s="5" t="s">
        <v>783</v>
      </c>
    </row>
    <row r="463" spans="1:2" x14ac:dyDescent="0.3">
      <c r="A463" s="23">
        <f>YEAR(Table1[[#This Row],[Order Date]])</f>
        <v>2014</v>
      </c>
      <c r="B463" s="6" t="s">
        <v>783</v>
      </c>
    </row>
    <row r="464" spans="1:2" x14ac:dyDescent="0.3">
      <c r="A464" s="22">
        <f>YEAR(Table1[[#This Row],[Order Date]])</f>
        <v>2014</v>
      </c>
      <c r="B464" s="5" t="s">
        <v>786</v>
      </c>
    </row>
    <row r="465" spans="1:2" x14ac:dyDescent="0.3">
      <c r="A465" s="23">
        <f>YEAR(Table1[[#This Row],[Order Date]])</f>
        <v>2014</v>
      </c>
      <c r="B465" s="6" t="s">
        <v>786</v>
      </c>
    </row>
    <row r="466" spans="1:2" x14ac:dyDescent="0.3">
      <c r="A466" s="22">
        <f>YEAR(Table1[[#This Row],[Order Date]])</f>
        <v>2014</v>
      </c>
      <c r="B466" s="5" t="s">
        <v>789</v>
      </c>
    </row>
    <row r="467" spans="1:2" x14ac:dyDescent="0.3">
      <c r="A467" s="23">
        <f>YEAR(Table1[[#This Row],[Order Date]])</f>
        <v>2014</v>
      </c>
      <c r="B467" s="6" t="s">
        <v>350</v>
      </c>
    </row>
    <row r="468" spans="1:2" x14ac:dyDescent="0.3">
      <c r="A468" s="22">
        <f>YEAR(Table1[[#This Row],[Order Date]])</f>
        <v>2014</v>
      </c>
      <c r="B468" s="5" t="s">
        <v>901</v>
      </c>
    </row>
    <row r="469" spans="1:2" x14ac:dyDescent="0.3">
      <c r="A469" s="23">
        <f>YEAR(Table1[[#This Row],[Order Date]])</f>
        <v>2014</v>
      </c>
      <c r="B469" s="6" t="s">
        <v>901</v>
      </c>
    </row>
    <row r="470" spans="1:2" x14ac:dyDescent="0.3">
      <c r="A470" s="22">
        <f>YEAR(Table1[[#This Row],[Order Date]])</f>
        <v>2014</v>
      </c>
      <c r="B470" s="5" t="s">
        <v>903</v>
      </c>
    </row>
    <row r="471" spans="1:2" x14ac:dyDescent="0.3">
      <c r="A471" s="23">
        <f>YEAR(Table1[[#This Row],[Order Date]])</f>
        <v>2014</v>
      </c>
      <c r="B471" s="6" t="s">
        <v>903</v>
      </c>
    </row>
    <row r="472" spans="1:2" x14ac:dyDescent="0.3">
      <c r="A472" s="22">
        <f>YEAR(Table1[[#This Row],[Order Date]])</f>
        <v>2014</v>
      </c>
      <c r="B472" s="5" t="s">
        <v>903</v>
      </c>
    </row>
    <row r="473" spans="1:2" x14ac:dyDescent="0.3">
      <c r="A473" s="23">
        <f>YEAR(Table1[[#This Row],[Order Date]])</f>
        <v>2014</v>
      </c>
      <c r="B473" s="6" t="s">
        <v>906</v>
      </c>
    </row>
    <row r="474" spans="1:2" x14ac:dyDescent="0.3">
      <c r="A474" s="22">
        <f>YEAR(Table1[[#This Row],[Order Date]])</f>
        <v>2014</v>
      </c>
      <c r="B474" s="5" t="s">
        <v>906</v>
      </c>
    </row>
    <row r="475" spans="1:2" x14ac:dyDescent="0.3">
      <c r="A475" s="23">
        <f>YEAR(Table1[[#This Row],[Order Date]])</f>
        <v>2014</v>
      </c>
      <c r="B475" s="6" t="s">
        <v>906</v>
      </c>
    </row>
    <row r="476" spans="1:2" x14ac:dyDescent="0.3">
      <c r="A476" s="22">
        <f>YEAR(Table1[[#This Row],[Order Date]])</f>
        <v>2014</v>
      </c>
      <c r="B476" s="5" t="s">
        <v>1071</v>
      </c>
    </row>
    <row r="477" spans="1:2" x14ac:dyDescent="0.3">
      <c r="A477" s="23">
        <f>YEAR(Table1[[#This Row],[Order Date]])</f>
        <v>2014</v>
      </c>
      <c r="B477" s="6" t="s">
        <v>1073</v>
      </c>
    </row>
    <row r="478" spans="1:2" x14ac:dyDescent="0.3">
      <c r="A478" s="22">
        <f>YEAR(Table1[[#This Row],[Order Date]])</f>
        <v>2014</v>
      </c>
      <c r="B478" s="5" t="s">
        <v>1075</v>
      </c>
    </row>
    <row r="479" spans="1:2" x14ac:dyDescent="0.3">
      <c r="A479" s="23">
        <f>YEAR(Table1[[#This Row],[Order Date]])</f>
        <v>2014</v>
      </c>
      <c r="B479" s="6" t="s">
        <v>1075</v>
      </c>
    </row>
    <row r="480" spans="1:2" x14ac:dyDescent="0.3">
      <c r="A480" s="22">
        <f>YEAR(Table1[[#This Row],[Order Date]])</f>
        <v>2014</v>
      </c>
      <c r="B480" s="5" t="s">
        <v>1078</v>
      </c>
    </row>
    <row r="481" spans="1:2" x14ac:dyDescent="0.3">
      <c r="A481" s="23">
        <f>YEAR(Table1[[#This Row],[Order Date]])</f>
        <v>2014</v>
      </c>
      <c r="B481" s="6" t="s">
        <v>1080</v>
      </c>
    </row>
    <row r="482" spans="1:2" x14ac:dyDescent="0.3">
      <c r="A482" s="22">
        <f>YEAR(Table1[[#This Row],[Order Date]])</f>
        <v>2014</v>
      </c>
      <c r="B482" s="5" t="s">
        <v>960</v>
      </c>
    </row>
    <row r="483" spans="1:2" x14ac:dyDescent="0.3">
      <c r="A483" s="23">
        <f>YEAR(Table1[[#This Row],[Order Date]])</f>
        <v>2014</v>
      </c>
      <c r="B483" s="6" t="s">
        <v>960</v>
      </c>
    </row>
    <row r="484" spans="1:2" x14ac:dyDescent="0.3">
      <c r="A484" s="22">
        <f>YEAR(Table1[[#This Row],[Order Date]])</f>
        <v>2014</v>
      </c>
      <c r="B484" s="5" t="s">
        <v>1230</v>
      </c>
    </row>
    <row r="485" spans="1:2" x14ac:dyDescent="0.3">
      <c r="A485" s="23">
        <f>YEAR(Table1[[#This Row],[Order Date]])</f>
        <v>2014</v>
      </c>
      <c r="B485" s="6" t="s">
        <v>1232</v>
      </c>
    </row>
    <row r="486" spans="1:2" x14ac:dyDescent="0.3">
      <c r="A486" s="22">
        <f>YEAR(Table1[[#This Row],[Order Date]])</f>
        <v>2014</v>
      </c>
      <c r="B486" s="5" t="s">
        <v>1232</v>
      </c>
    </row>
    <row r="487" spans="1:2" x14ac:dyDescent="0.3">
      <c r="A487" s="23">
        <f>YEAR(Table1[[#This Row],[Order Date]])</f>
        <v>2014</v>
      </c>
      <c r="B487" s="6" t="s">
        <v>1232</v>
      </c>
    </row>
    <row r="488" spans="1:2" x14ac:dyDescent="0.3">
      <c r="A488" s="22">
        <f>YEAR(Table1[[#This Row],[Order Date]])</f>
        <v>2014</v>
      </c>
      <c r="B488" s="5" t="s">
        <v>1235</v>
      </c>
    </row>
    <row r="489" spans="1:2" x14ac:dyDescent="0.3">
      <c r="A489" s="23">
        <f>YEAR(Table1[[#This Row],[Order Date]])</f>
        <v>2014</v>
      </c>
      <c r="B489" s="6" t="s">
        <v>1235</v>
      </c>
    </row>
    <row r="490" spans="1:2" x14ac:dyDescent="0.3">
      <c r="A490" s="22">
        <f>YEAR(Table1[[#This Row],[Order Date]])</f>
        <v>2014</v>
      </c>
      <c r="B490" s="5" t="s">
        <v>1235</v>
      </c>
    </row>
    <row r="491" spans="1:2" x14ac:dyDescent="0.3">
      <c r="A491" s="23">
        <f>YEAR(Table1[[#This Row],[Order Date]])</f>
        <v>2014</v>
      </c>
      <c r="B491" s="6" t="s">
        <v>1235</v>
      </c>
    </row>
    <row r="492" spans="1:2" x14ac:dyDescent="0.3">
      <c r="A492" s="22">
        <f>YEAR(Table1[[#This Row],[Order Date]])</f>
        <v>2014</v>
      </c>
      <c r="B492" s="5" t="s">
        <v>1239</v>
      </c>
    </row>
    <row r="493" spans="1:2" x14ac:dyDescent="0.3">
      <c r="A493" s="23">
        <f>YEAR(Table1[[#This Row],[Order Date]])</f>
        <v>2014</v>
      </c>
      <c r="B493" s="6" t="s">
        <v>532</v>
      </c>
    </row>
    <row r="494" spans="1:2" x14ac:dyDescent="0.3">
      <c r="A494" s="22">
        <f>YEAR(Table1[[#This Row],[Order Date]])</f>
        <v>2014</v>
      </c>
      <c r="B494" s="5" t="s">
        <v>1243</v>
      </c>
    </row>
    <row r="495" spans="1:2" x14ac:dyDescent="0.3">
      <c r="A495" s="23">
        <f>YEAR(Table1[[#This Row],[Order Date]])</f>
        <v>2014</v>
      </c>
      <c r="B495" s="6" t="s">
        <v>1170</v>
      </c>
    </row>
    <row r="496" spans="1:2" x14ac:dyDescent="0.3">
      <c r="A496" s="22">
        <f>YEAR(Table1[[#This Row],[Order Date]])</f>
        <v>2014</v>
      </c>
      <c r="B496" s="5" t="s">
        <v>1119</v>
      </c>
    </row>
    <row r="497" spans="1:2" x14ac:dyDescent="0.3">
      <c r="A497" s="23">
        <f>YEAR(Table1[[#This Row],[Order Date]])</f>
        <v>2014</v>
      </c>
      <c r="B497" s="6" t="s">
        <v>1119</v>
      </c>
    </row>
    <row r="498" spans="1:2" x14ac:dyDescent="0.3">
      <c r="A498" s="22">
        <f>YEAR(Table1[[#This Row],[Order Date]])</f>
        <v>2014</v>
      </c>
      <c r="B498" s="5" t="s">
        <v>1119</v>
      </c>
    </row>
    <row r="499" spans="1:2" x14ac:dyDescent="0.3">
      <c r="A499" s="23">
        <f>YEAR(Table1[[#This Row],[Order Date]])</f>
        <v>2014</v>
      </c>
      <c r="B499" s="6" t="s">
        <v>1119</v>
      </c>
    </row>
    <row r="500" spans="1:2" x14ac:dyDescent="0.3">
      <c r="A500" s="22">
        <f>YEAR(Table1[[#This Row],[Order Date]])</f>
        <v>2014</v>
      </c>
      <c r="B500" s="5" t="s">
        <v>1119</v>
      </c>
    </row>
    <row r="501" spans="1:2" x14ac:dyDescent="0.3">
      <c r="A501" s="23">
        <f>YEAR(Table1[[#This Row],[Order Date]])</f>
        <v>2014</v>
      </c>
      <c r="B501" s="6" t="s">
        <v>1548</v>
      </c>
    </row>
    <row r="502" spans="1:2" x14ac:dyDescent="0.3">
      <c r="A502" s="22">
        <f>YEAR(Table1[[#This Row],[Order Date]])</f>
        <v>2014</v>
      </c>
      <c r="B502" s="5" t="s">
        <v>170</v>
      </c>
    </row>
    <row r="503" spans="1:2" x14ac:dyDescent="0.3">
      <c r="A503" s="23">
        <f>YEAR(Table1[[#This Row],[Order Date]])</f>
        <v>2014</v>
      </c>
      <c r="B503" s="6" t="s">
        <v>1381</v>
      </c>
    </row>
    <row r="504" spans="1:2" x14ac:dyDescent="0.3">
      <c r="A504" s="22">
        <f>YEAR(Table1[[#This Row],[Order Date]])</f>
        <v>2014</v>
      </c>
      <c r="B504" s="5" t="s">
        <v>1186</v>
      </c>
    </row>
    <row r="505" spans="1:2" x14ac:dyDescent="0.3">
      <c r="A505" s="23">
        <f>YEAR(Table1[[#This Row],[Order Date]])</f>
        <v>2014</v>
      </c>
      <c r="B505" s="6" t="s">
        <v>1186</v>
      </c>
    </row>
    <row r="506" spans="1:2" x14ac:dyDescent="0.3">
      <c r="A506" s="22">
        <f>YEAR(Table1[[#This Row],[Order Date]])</f>
        <v>2014</v>
      </c>
      <c r="B506" s="5" t="s">
        <v>350</v>
      </c>
    </row>
    <row r="507" spans="1:2" x14ac:dyDescent="0.3">
      <c r="A507" s="23">
        <f>YEAR(Table1[[#This Row],[Order Date]])</f>
        <v>2014</v>
      </c>
      <c r="B507" s="6" t="s">
        <v>350</v>
      </c>
    </row>
    <row r="508" spans="1:2" x14ac:dyDescent="0.3">
      <c r="A508" s="22">
        <f>YEAR(Table1[[#This Row],[Order Date]])</f>
        <v>2014</v>
      </c>
      <c r="B508" s="5" t="s">
        <v>1712</v>
      </c>
    </row>
    <row r="509" spans="1:2" x14ac:dyDescent="0.3">
      <c r="A509" s="23">
        <f>YEAR(Table1[[#This Row],[Order Date]])</f>
        <v>2014</v>
      </c>
      <c r="B509" s="6" t="s">
        <v>54</v>
      </c>
    </row>
    <row r="510" spans="1:2" x14ac:dyDescent="0.3">
      <c r="A510" s="22">
        <f>YEAR(Table1[[#This Row],[Order Date]])</f>
        <v>2014</v>
      </c>
      <c r="B510" s="5" t="s">
        <v>54</v>
      </c>
    </row>
    <row r="511" spans="1:2" x14ac:dyDescent="0.3">
      <c r="A511" s="23">
        <f>YEAR(Table1[[#This Row],[Order Date]])</f>
        <v>2014</v>
      </c>
      <c r="B511" s="6" t="s">
        <v>268</v>
      </c>
    </row>
    <row r="512" spans="1:2" x14ac:dyDescent="0.3">
      <c r="A512" s="22">
        <f>YEAR(Table1[[#This Row],[Order Date]])</f>
        <v>2014</v>
      </c>
      <c r="B512" s="5" t="s">
        <v>574</v>
      </c>
    </row>
    <row r="513" spans="1:2" x14ac:dyDescent="0.3">
      <c r="A513" s="23">
        <f>YEAR(Table1[[#This Row],[Order Date]])</f>
        <v>2014</v>
      </c>
      <c r="B513" s="6" t="s">
        <v>574</v>
      </c>
    </row>
    <row r="514" spans="1:2" x14ac:dyDescent="0.3">
      <c r="A514" s="22">
        <f>YEAR(Table1[[#This Row],[Order Date]])</f>
        <v>2014</v>
      </c>
      <c r="B514" s="5" t="s">
        <v>630</v>
      </c>
    </row>
    <row r="515" spans="1:2" x14ac:dyDescent="0.3">
      <c r="A515" s="23">
        <f>YEAR(Table1[[#This Row],[Order Date]])</f>
        <v>2014</v>
      </c>
      <c r="B515" s="6" t="s">
        <v>633</v>
      </c>
    </row>
    <row r="516" spans="1:2" x14ac:dyDescent="0.3">
      <c r="A516" s="22">
        <f>YEAR(Table1[[#This Row],[Order Date]])</f>
        <v>2014</v>
      </c>
      <c r="B516" s="5" t="s">
        <v>633</v>
      </c>
    </row>
    <row r="517" spans="1:2" x14ac:dyDescent="0.3">
      <c r="A517" s="23">
        <f>YEAR(Table1[[#This Row],[Order Date]])</f>
        <v>2014</v>
      </c>
      <c r="B517" s="6" t="s">
        <v>633</v>
      </c>
    </row>
    <row r="518" spans="1:2" x14ac:dyDescent="0.3">
      <c r="A518" s="22">
        <f>YEAR(Table1[[#This Row],[Order Date]])</f>
        <v>2014</v>
      </c>
      <c r="B518" s="5" t="s">
        <v>793</v>
      </c>
    </row>
    <row r="519" spans="1:2" x14ac:dyDescent="0.3">
      <c r="A519" s="23">
        <f>YEAR(Table1[[#This Row],[Order Date]])</f>
        <v>2014</v>
      </c>
      <c r="B519" s="6" t="s">
        <v>551</v>
      </c>
    </row>
    <row r="520" spans="1:2" x14ac:dyDescent="0.3">
      <c r="A520" s="22">
        <f>YEAR(Table1[[#This Row],[Order Date]])</f>
        <v>2014</v>
      </c>
      <c r="B520" s="5" t="s">
        <v>248</v>
      </c>
    </row>
    <row r="521" spans="1:2" x14ac:dyDescent="0.3">
      <c r="A521" s="23">
        <f>YEAR(Table1[[#This Row],[Order Date]])</f>
        <v>2014</v>
      </c>
      <c r="B521" s="6" t="s">
        <v>248</v>
      </c>
    </row>
    <row r="522" spans="1:2" x14ac:dyDescent="0.3">
      <c r="A522" s="22">
        <f>YEAR(Table1[[#This Row],[Order Date]])</f>
        <v>2014</v>
      </c>
      <c r="B522" s="5" t="s">
        <v>1245</v>
      </c>
    </row>
    <row r="523" spans="1:2" x14ac:dyDescent="0.3">
      <c r="A523" s="23">
        <f>YEAR(Table1[[#This Row],[Order Date]])</f>
        <v>2014</v>
      </c>
      <c r="B523" s="6" t="s">
        <v>1245</v>
      </c>
    </row>
    <row r="524" spans="1:2" x14ac:dyDescent="0.3">
      <c r="A524" s="22">
        <f>YEAR(Table1[[#This Row],[Order Date]])</f>
        <v>2014</v>
      </c>
      <c r="B524" s="5" t="s">
        <v>1409</v>
      </c>
    </row>
    <row r="525" spans="1:2" x14ac:dyDescent="0.3">
      <c r="A525" s="23">
        <f>YEAR(Table1[[#This Row],[Order Date]])</f>
        <v>2014</v>
      </c>
      <c r="B525" s="6" t="s">
        <v>128</v>
      </c>
    </row>
    <row r="526" spans="1:2" x14ac:dyDescent="0.3">
      <c r="A526" s="22">
        <f>YEAR(Table1[[#This Row],[Order Date]])</f>
        <v>2014</v>
      </c>
      <c r="B526" s="5" t="s">
        <v>262</v>
      </c>
    </row>
    <row r="527" spans="1:2" x14ac:dyDescent="0.3">
      <c r="A527" s="23">
        <f>YEAR(Table1[[#This Row],[Order Date]])</f>
        <v>2014</v>
      </c>
      <c r="B527" s="6" t="s">
        <v>262</v>
      </c>
    </row>
    <row r="528" spans="1:2" x14ac:dyDescent="0.3">
      <c r="A528" s="22">
        <f>YEAR(Table1[[#This Row],[Order Date]])</f>
        <v>2014</v>
      </c>
      <c r="B528" s="5" t="s">
        <v>279</v>
      </c>
    </row>
    <row r="529" spans="1:2" x14ac:dyDescent="0.3">
      <c r="A529" s="23">
        <f>YEAR(Table1[[#This Row],[Order Date]])</f>
        <v>2014</v>
      </c>
      <c r="B529" s="6" t="s">
        <v>279</v>
      </c>
    </row>
    <row r="530" spans="1:2" x14ac:dyDescent="0.3">
      <c r="A530" s="22">
        <f>YEAR(Table1[[#This Row],[Order Date]])</f>
        <v>2014</v>
      </c>
      <c r="B530" s="5" t="s">
        <v>1412</v>
      </c>
    </row>
    <row r="531" spans="1:2" x14ac:dyDescent="0.3">
      <c r="A531" s="23">
        <f>YEAR(Table1[[#This Row],[Order Date]])</f>
        <v>2014</v>
      </c>
      <c r="B531" s="6" t="s">
        <v>453</v>
      </c>
    </row>
    <row r="532" spans="1:2" x14ac:dyDescent="0.3">
      <c r="A532" s="22">
        <f>YEAR(Table1[[#This Row],[Order Date]])</f>
        <v>2014</v>
      </c>
      <c r="B532" s="5" t="s">
        <v>453</v>
      </c>
    </row>
    <row r="533" spans="1:2" x14ac:dyDescent="0.3">
      <c r="A533" s="23">
        <f>YEAR(Table1[[#This Row],[Order Date]])</f>
        <v>2014</v>
      </c>
      <c r="B533" s="6" t="s">
        <v>453</v>
      </c>
    </row>
    <row r="534" spans="1:2" x14ac:dyDescent="0.3">
      <c r="A534" s="22">
        <f>YEAR(Table1[[#This Row],[Order Date]])</f>
        <v>2014</v>
      </c>
      <c r="B534" s="5" t="s">
        <v>453</v>
      </c>
    </row>
    <row r="535" spans="1:2" x14ac:dyDescent="0.3">
      <c r="A535" s="23">
        <f>YEAR(Table1[[#This Row],[Order Date]])</f>
        <v>2014</v>
      </c>
      <c r="B535" s="6" t="s">
        <v>244</v>
      </c>
    </row>
    <row r="536" spans="1:2" x14ac:dyDescent="0.3">
      <c r="A536" s="22">
        <f>YEAR(Table1[[#This Row],[Order Date]])</f>
        <v>2014</v>
      </c>
      <c r="B536" s="5" t="s">
        <v>244</v>
      </c>
    </row>
    <row r="537" spans="1:2" x14ac:dyDescent="0.3">
      <c r="A537" s="23">
        <f>YEAR(Table1[[#This Row],[Order Date]])</f>
        <v>2014</v>
      </c>
      <c r="B537" s="6" t="s">
        <v>244</v>
      </c>
    </row>
    <row r="538" spans="1:2" x14ac:dyDescent="0.3">
      <c r="A538" s="22">
        <f>YEAR(Table1[[#This Row],[Order Date]])</f>
        <v>2014</v>
      </c>
      <c r="B538" s="5" t="s">
        <v>244</v>
      </c>
    </row>
    <row r="539" spans="1:2" x14ac:dyDescent="0.3">
      <c r="A539" s="23">
        <f>YEAR(Table1[[#This Row],[Order Date]])</f>
        <v>2014</v>
      </c>
      <c r="B539" s="6" t="s">
        <v>1640</v>
      </c>
    </row>
    <row r="540" spans="1:2" x14ac:dyDescent="0.3">
      <c r="A540" s="22">
        <f>YEAR(Table1[[#This Row],[Order Date]])</f>
        <v>2014</v>
      </c>
      <c r="B540" s="5" t="s">
        <v>1640</v>
      </c>
    </row>
    <row r="541" spans="1:2" x14ac:dyDescent="0.3">
      <c r="A541" s="23">
        <f>YEAR(Table1[[#This Row],[Order Date]])</f>
        <v>2014</v>
      </c>
      <c r="B541" s="6" t="s">
        <v>1725</v>
      </c>
    </row>
    <row r="542" spans="1:2" x14ac:dyDescent="0.3">
      <c r="A542" s="22">
        <f>YEAR(Table1[[#This Row],[Order Date]])</f>
        <v>2014</v>
      </c>
      <c r="B542" s="5" t="s">
        <v>1725</v>
      </c>
    </row>
    <row r="543" spans="1:2" x14ac:dyDescent="0.3">
      <c r="A543" s="23">
        <f>YEAR(Table1[[#This Row],[Order Date]])</f>
        <v>2014</v>
      </c>
      <c r="B543" s="6" t="s">
        <v>1725</v>
      </c>
    </row>
    <row r="544" spans="1:2" x14ac:dyDescent="0.3">
      <c r="A544" s="22">
        <f>YEAR(Table1[[#This Row],[Order Date]])</f>
        <v>2014</v>
      </c>
      <c r="B544" s="5" t="s">
        <v>58</v>
      </c>
    </row>
    <row r="545" spans="1:2" x14ac:dyDescent="0.3">
      <c r="A545" s="23">
        <f>YEAR(Table1[[#This Row],[Order Date]])</f>
        <v>2014</v>
      </c>
      <c r="B545" s="6" t="s">
        <v>178</v>
      </c>
    </row>
    <row r="546" spans="1:2" x14ac:dyDescent="0.3">
      <c r="A546" s="22">
        <f>YEAR(Table1[[#This Row],[Order Date]])</f>
        <v>2014</v>
      </c>
      <c r="B546" s="5" t="s">
        <v>178</v>
      </c>
    </row>
    <row r="547" spans="1:2" x14ac:dyDescent="0.3">
      <c r="A547" s="23">
        <f>YEAR(Table1[[#This Row],[Order Date]])</f>
        <v>2014</v>
      </c>
      <c r="B547" s="6" t="s">
        <v>178</v>
      </c>
    </row>
    <row r="548" spans="1:2" x14ac:dyDescent="0.3">
      <c r="A548" s="22">
        <f>YEAR(Table1[[#This Row],[Order Date]])</f>
        <v>2014</v>
      </c>
      <c r="B548" s="5" t="s">
        <v>178</v>
      </c>
    </row>
    <row r="549" spans="1:2" x14ac:dyDescent="0.3">
      <c r="A549" s="23">
        <f>YEAR(Table1[[#This Row],[Order Date]])</f>
        <v>2014</v>
      </c>
      <c r="B549" s="6" t="s">
        <v>178</v>
      </c>
    </row>
    <row r="550" spans="1:2" x14ac:dyDescent="0.3">
      <c r="A550" s="22">
        <f>YEAR(Table1[[#This Row],[Order Date]])</f>
        <v>2014</v>
      </c>
      <c r="B550" s="5" t="s">
        <v>271</v>
      </c>
    </row>
    <row r="551" spans="1:2" x14ac:dyDescent="0.3">
      <c r="A551" s="23">
        <f>YEAR(Table1[[#This Row],[Order Date]])</f>
        <v>2014</v>
      </c>
      <c r="B551" s="6" t="s">
        <v>271</v>
      </c>
    </row>
    <row r="552" spans="1:2" x14ac:dyDescent="0.3">
      <c r="A552" s="22">
        <f>YEAR(Table1[[#This Row],[Order Date]])</f>
        <v>2014</v>
      </c>
      <c r="B552" s="5" t="s">
        <v>275</v>
      </c>
    </row>
    <row r="553" spans="1:2" x14ac:dyDescent="0.3">
      <c r="A553" s="23">
        <f>YEAR(Table1[[#This Row],[Order Date]])</f>
        <v>2014</v>
      </c>
      <c r="B553" s="6" t="s">
        <v>275</v>
      </c>
    </row>
    <row r="554" spans="1:2" x14ac:dyDescent="0.3">
      <c r="A554" s="22">
        <f>YEAR(Table1[[#This Row],[Order Date]])</f>
        <v>2014</v>
      </c>
      <c r="B554" s="5" t="s">
        <v>279</v>
      </c>
    </row>
    <row r="555" spans="1:2" x14ac:dyDescent="0.3">
      <c r="A555" s="23">
        <f>YEAR(Table1[[#This Row],[Order Date]])</f>
        <v>2014</v>
      </c>
      <c r="B555" s="6" t="s">
        <v>490</v>
      </c>
    </row>
    <row r="556" spans="1:2" x14ac:dyDescent="0.3">
      <c r="A556" s="22">
        <f>YEAR(Table1[[#This Row],[Order Date]])</f>
        <v>2014</v>
      </c>
      <c r="B556" s="5" t="s">
        <v>490</v>
      </c>
    </row>
    <row r="557" spans="1:2" x14ac:dyDescent="0.3">
      <c r="A557" s="23">
        <f>YEAR(Table1[[#This Row],[Order Date]])</f>
        <v>2014</v>
      </c>
      <c r="B557" s="6" t="s">
        <v>490</v>
      </c>
    </row>
    <row r="558" spans="1:2" x14ac:dyDescent="0.3">
      <c r="A558" s="22">
        <f>YEAR(Table1[[#This Row],[Order Date]])</f>
        <v>2014</v>
      </c>
      <c r="B558" s="5" t="s">
        <v>497</v>
      </c>
    </row>
    <row r="559" spans="1:2" x14ac:dyDescent="0.3">
      <c r="A559" s="23">
        <f>YEAR(Table1[[#This Row],[Order Date]])</f>
        <v>2014</v>
      </c>
      <c r="B559" s="6" t="s">
        <v>499</v>
      </c>
    </row>
    <row r="560" spans="1:2" x14ac:dyDescent="0.3">
      <c r="A560" s="22">
        <f>YEAR(Table1[[#This Row],[Order Date]])</f>
        <v>2014</v>
      </c>
      <c r="B560" s="5" t="s">
        <v>499</v>
      </c>
    </row>
    <row r="561" spans="1:2" x14ac:dyDescent="0.3">
      <c r="A561" s="23">
        <f>YEAR(Table1[[#This Row],[Order Date]])</f>
        <v>2014</v>
      </c>
      <c r="B561" s="6" t="s">
        <v>499</v>
      </c>
    </row>
    <row r="562" spans="1:2" x14ac:dyDescent="0.3">
      <c r="A562" s="22">
        <f>YEAR(Table1[[#This Row],[Order Date]])</f>
        <v>2014</v>
      </c>
      <c r="B562" s="5" t="s">
        <v>638</v>
      </c>
    </row>
    <row r="563" spans="1:2" x14ac:dyDescent="0.3">
      <c r="A563" s="23">
        <f>YEAR(Table1[[#This Row],[Order Date]])</f>
        <v>2014</v>
      </c>
      <c r="B563" s="6" t="s">
        <v>638</v>
      </c>
    </row>
    <row r="564" spans="1:2" x14ac:dyDescent="0.3">
      <c r="A564" s="22">
        <f>YEAR(Table1[[#This Row],[Order Date]])</f>
        <v>2014</v>
      </c>
      <c r="B564" s="5" t="s">
        <v>638</v>
      </c>
    </row>
    <row r="565" spans="1:2" x14ac:dyDescent="0.3">
      <c r="A565" s="23">
        <f>YEAR(Table1[[#This Row],[Order Date]])</f>
        <v>2014</v>
      </c>
      <c r="B565" s="6" t="s">
        <v>642</v>
      </c>
    </row>
    <row r="566" spans="1:2" x14ac:dyDescent="0.3">
      <c r="A566" s="22">
        <f>YEAR(Table1[[#This Row],[Order Date]])</f>
        <v>2014</v>
      </c>
      <c r="B566" s="5" t="s">
        <v>648</v>
      </c>
    </row>
    <row r="567" spans="1:2" x14ac:dyDescent="0.3">
      <c r="A567" s="23">
        <f>YEAR(Table1[[#This Row],[Order Date]])</f>
        <v>2014</v>
      </c>
      <c r="B567" s="6" t="s">
        <v>580</v>
      </c>
    </row>
    <row r="568" spans="1:2" x14ac:dyDescent="0.3">
      <c r="A568" s="22">
        <f>YEAR(Table1[[#This Row],[Order Date]])</f>
        <v>2014</v>
      </c>
      <c r="B568" s="5" t="s">
        <v>580</v>
      </c>
    </row>
    <row r="569" spans="1:2" x14ac:dyDescent="0.3">
      <c r="A569" s="23">
        <f>YEAR(Table1[[#This Row],[Order Date]])</f>
        <v>2014</v>
      </c>
      <c r="B569" s="6" t="s">
        <v>198</v>
      </c>
    </row>
    <row r="570" spans="1:2" x14ac:dyDescent="0.3">
      <c r="A570" s="22">
        <f>YEAR(Table1[[#This Row],[Order Date]])</f>
        <v>2014</v>
      </c>
      <c r="B570" s="5" t="s">
        <v>198</v>
      </c>
    </row>
    <row r="571" spans="1:2" x14ac:dyDescent="0.3">
      <c r="A571" s="23">
        <f>YEAR(Table1[[#This Row],[Order Date]])</f>
        <v>2014</v>
      </c>
      <c r="B571" s="6" t="s">
        <v>913</v>
      </c>
    </row>
    <row r="572" spans="1:2" x14ac:dyDescent="0.3">
      <c r="A572" s="22">
        <f>YEAR(Table1[[#This Row],[Order Date]])</f>
        <v>2014</v>
      </c>
      <c r="B572" s="5" t="s">
        <v>913</v>
      </c>
    </row>
    <row r="573" spans="1:2" x14ac:dyDescent="0.3">
      <c r="A573" s="23">
        <f>YEAR(Table1[[#This Row],[Order Date]])</f>
        <v>2014</v>
      </c>
      <c r="B573" s="6" t="s">
        <v>916</v>
      </c>
    </row>
    <row r="574" spans="1:2" x14ac:dyDescent="0.3">
      <c r="A574" s="22">
        <f>YEAR(Table1[[#This Row],[Order Date]])</f>
        <v>2014</v>
      </c>
      <c r="B574" s="5" t="s">
        <v>633</v>
      </c>
    </row>
    <row r="575" spans="1:2" x14ac:dyDescent="0.3">
      <c r="A575" s="23">
        <f>YEAR(Table1[[#This Row],[Order Date]])</f>
        <v>2014</v>
      </c>
      <c r="B575" s="6" t="s">
        <v>633</v>
      </c>
    </row>
    <row r="576" spans="1:2" x14ac:dyDescent="0.3">
      <c r="A576" s="22">
        <f>YEAR(Table1[[#This Row],[Order Date]])</f>
        <v>2014</v>
      </c>
      <c r="B576" s="5" t="s">
        <v>633</v>
      </c>
    </row>
    <row r="577" spans="1:2" x14ac:dyDescent="0.3">
      <c r="A577" s="23">
        <f>YEAR(Table1[[#This Row],[Order Date]])</f>
        <v>2014</v>
      </c>
      <c r="B577" s="6" t="s">
        <v>988</v>
      </c>
    </row>
    <row r="578" spans="1:2" x14ac:dyDescent="0.3">
      <c r="A578" s="22">
        <f>YEAR(Table1[[#This Row],[Order Date]])</f>
        <v>2014</v>
      </c>
      <c r="B578" s="5" t="s">
        <v>1247</v>
      </c>
    </row>
    <row r="579" spans="1:2" x14ac:dyDescent="0.3">
      <c r="A579" s="23">
        <f>YEAR(Table1[[#This Row],[Order Date]])</f>
        <v>2014</v>
      </c>
      <c r="B579" s="6" t="s">
        <v>1414</v>
      </c>
    </row>
    <row r="580" spans="1:2" x14ac:dyDescent="0.3">
      <c r="A580" s="22">
        <f>YEAR(Table1[[#This Row],[Order Date]])</f>
        <v>2014</v>
      </c>
      <c r="B580" s="5" t="s">
        <v>1414</v>
      </c>
    </row>
    <row r="581" spans="1:2" x14ac:dyDescent="0.3">
      <c r="A581" s="23">
        <f>YEAR(Table1[[#This Row],[Order Date]])</f>
        <v>2014</v>
      </c>
      <c r="B581" s="6" t="s">
        <v>707</v>
      </c>
    </row>
    <row r="582" spans="1:2" x14ac:dyDescent="0.3">
      <c r="A582" s="22">
        <f>YEAR(Table1[[#This Row],[Order Date]])</f>
        <v>2014</v>
      </c>
      <c r="B582" s="5" t="s">
        <v>707</v>
      </c>
    </row>
    <row r="583" spans="1:2" x14ac:dyDescent="0.3">
      <c r="A583" s="23">
        <f>YEAR(Table1[[#This Row],[Order Date]])</f>
        <v>2014</v>
      </c>
      <c r="B583" s="6" t="s">
        <v>1418</v>
      </c>
    </row>
    <row r="584" spans="1:2" x14ac:dyDescent="0.3">
      <c r="A584" s="22">
        <f>YEAR(Table1[[#This Row],[Order Date]])</f>
        <v>2014</v>
      </c>
      <c r="B584" s="5" t="s">
        <v>1418</v>
      </c>
    </row>
    <row r="585" spans="1:2" x14ac:dyDescent="0.3">
      <c r="A585" s="23">
        <f>YEAR(Table1[[#This Row],[Order Date]])</f>
        <v>2014</v>
      </c>
      <c r="B585" s="6" t="s">
        <v>543</v>
      </c>
    </row>
    <row r="586" spans="1:2" x14ac:dyDescent="0.3">
      <c r="A586" s="22">
        <f>YEAR(Table1[[#This Row],[Order Date]])</f>
        <v>2014</v>
      </c>
      <c r="B586" s="5" t="s">
        <v>1557</v>
      </c>
    </row>
    <row r="587" spans="1:2" x14ac:dyDescent="0.3">
      <c r="A587" s="23">
        <f>YEAR(Table1[[#This Row],[Order Date]])</f>
        <v>2014</v>
      </c>
      <c r="B587" s="6" t="s">
        <v>1559</v>
      </c>
    </row>
    <row r="588" spans="1:2" x14ac:dyDescent="0.3">
      <c r="A588" s="22">
        <f>YEAR(Table1[[#This Row],[Order Date]])</f>
        <v>2014</v>
      </c>
      <c r="B588" s="5" t="s">
        <v>1559</v>
      </c>
    </row>
    <row r="589" spans="1:2" x14ac:dyDescent="0.3">
      <c r="A589" s="23">
        <f>YEAR(Table1[[#This Row],[Order Date]])</f>
        <v>2014</v>
      </c>
      <c r="B589" s="6" t="s">
        <v>1559</v>
      </c>
    </row>
    <row r="590" spans="1:2" x14ac:dyDescent="0.3">
      <c r="A590" s="22">
        <f>YEAR(Table1[[#This Row],[Order Date]])</f>
        <v>2014</v>
      </c>
      <c r="B590" s="5" t="s">
        <v>1562</v>
      </c>
    </row>
    <row r="591" spans="1:2" x14ac:dyDescent="0.3">
      <c r="A591" s="23">
        <f>YEAR(Table1[[#This Row],[Order Date]])</f>
        <v>2014</v>
      </c>
      <c r="B591" s="6" t="s">
        <v>1562</v>
      </c>
    </row>
    <row r="592" spans="1:2" x14ac:dyDescent="0.3">
      <c r="A592" s="22">
        <f>YEAR(Table1[[#This Row],[Order Date]])</f>
        <v>2014</v>
      </c>
      <c r="B592" s="5" t="s">
        <v>1562</v>
      </c>
    </row>
    <row r="593" spans="1:2" x14ac:dyDescent="0.3">
      <c r="A593" s="23">
        <f>YEAR(Table1[[#This Row],[Order Date]])</f>
        <v>2014</v>
      </c>
      <c r="B593" s="6" t="s">
        <v>1562</v>
      </c>
    </row>
    <row r="594" spans="1:2" x14ac:dyDescent="0.3">
      <c r="A594" s="22">
        <f>YEAR(Table1[[#This Row],[Order Date]])</f>
        <v>2014</v>
      </c>
      <c r="B594" s="5" t="s">
        <v>1562</v>
      </c>
    </row>
    <row r="595" spans="1:2" x14ac:dyDescent="0.3">
      <c r="A595" s="23">
        <f>YEAR(Table1[[#This Row],[Order Date]])</f>
        <v>2014</v>
      </c>
      <c r="B595" s="6" t="s">
        <v>1125</v>
      </c>
    </row>
    <row r="596" spans="1:2" x14ac:dyDescent="0.3">
      <c r="A596" s="22">
        <f>YEAR(Table1[[#This Row],[Order Date]])</f>
        <v>2014</v>
      </c>
      <c r="B596" s="5" t="s">
        <v>1125</v>
      </c>
    </row>
    <row r="597" spans="1:2" x14ac:dyDescent="0.3">
      <c r="A597" s="23">
        <f>YEAR(Table1[[#This Row],[Order Date]])</f>
        <v>2014</v>
      </c>
      <c r="B597" s="6" t="s">
        <v>1014</v>
      </c>
    </row>
    <row r="598" spans="1:2" x14ac:dyDescent="0.3">
      <c r="A598" s="22">
        <f>YEAR(Table1[[#This Row],[Order Date]])</f>
        <v>2014</v>
      </c>
      <c r="B598" s="5" t="s">
        <v>1014</v>
      </c>
    </row>
    <row r="599" spans="1:2" x14ac:dyDescent="0.3">
      <c r="A599" s="23">
        <f>YEAR(Table1[[#This Row],[Order Date]])</f>
        <v>2014</v>
      </c>
      <c r="B599" s="6" t="s">
        <v>1064</v>
      </c>
    </row>
    <row r="600" spans="1:2" x14ac:dyDescent="0.3">
      <c r="A600" s="22">
        <f>YEAR(Table1[[#This Row],[Order Date]])</f>
        <v>2014</v>
      </c>
      <c r="B600" s="5" t="s">
        <v>438</v>
      </c>
    </row>
    <row r="601" spans="1:2" x14ac:dyDescent="0.3">
      <c r="A601" s="23">
        <f>YEAR(Table1[[#This Row],[Order Date]])</f>
        <v>2014</v>
      </c>
      <c r="B601" s="6" t="s">
        <v>776</v>
      </c>
    </row>
    <row r="602" spans="1:2" x14ac:dyDescent="0.3">
      <c r="A602" s="22">
        <f>YEAR(Table1[[#This Row],[Order Date]])</f>
        <v>2014</v>
      </c>
      <c r="B602" s="5" t="s">
        <v>231</v>
      </c>
    </row>
    <row r="603" spans="1:2" x14ac:dyDescent="0.3">
      <c r="A603" s="23">
        <f>YEAR(Table1[[#This Row],[Order Date]])</f>
        <v>2014</v>
      </c>
      <c r="B603" s="6" t="s">
        <v>231</v>
      </c>
    </row>
    <row r="604" spans="1:2" x14ac:dyDescent="0.3">
      <c r="A604" s="22">
        <f>YEAR(Table1[[#This Row],[Order Date]])</f>
        <v>2014</v>
      </c>
      <c r="B604" s="5" t="s">
        <v>231</v>
      </c>
    </row>
    <row r="605" spans="1:2" x14ac:dyDescent="0.3">
      <c r="A605" s="23">
        <f>YEAR(Table1[[#This Row],[Order Date]])</f>
        <v>2014</v>
      </c>
      <c r="B605" s="6" t="s">
        <v>186</v>
      </c>
    </row>
    <row r="606" spans="1:2" x14ac:dyDescent="0.3">
      <c r="A606" s="22">
        <f>YEAR(Table1[[#This Row],[Order Date]])</f>
        <v>2014</v>
      </c>
      <c r="B606" s="5" t="s">
        <v>504</v>
      </c>
    </row>
    <row r="607" spans="1:2" x14ac:dyDescent="0.3">
      <c r="A607" s="23">
        <f>YEAR(Table1[[#This Row],[Order Date]])</f>
        <v>2014</v>
      </c>
      <c r="B607" s="6" t="s">
        <v>504</v>
      </c>
    </row>
    <row r="608" spans="1:2" x14ac:dyDescent="0.3">
      <c r="A608" s="22">
        <f>YEAR(Table1[[#This Row],[Order Date]])</f>
        <v>2014</v>
      </c>
      <c r="B608" s="5" t="s">
        <v>504</v>
      </c>
    </row>
    <row r="609" spans="1:2" x14ac:dyDescent="0.3">
      <c r="A609" s="23">
        <f>YEAR(Table1[[#This Row],[Order Date]])</f>
        <v>2014</v>
      </c>
      <c r="B609" s="6" t="s">
        <v>508</v>
      </c>
    </row>
    <row r="610" spans="1:2" x14ac:dyDescent="0.3">
      <c r="A610" s="22">
        <f>YEAR(Table1[[#This Row],[Order Date]])</f>
        <v>2014</v>
      </c>
      <c r="B610" s="5" t="s">
        <v>510</v>
      </c>
    </row>
    <row r="611" spans="1:2" x14ac:dyDescent="0.3">
      <c r="A611" s="23">
        <f>YEAR(Table1[[#This Row],[Order Date]])</f>
        <v>2014</v>
      </c>
      <c r="B611" s="6" t="s">
        <v>268</v>
      </c>
    </row>
    <row r="612" spans="1:2" x14ac:dyDescent="0.3">
      <c r="A612" s="22">
        <f>YEAR(Table1[[#This Row],[Order Date]])</f>
        <v>2014</v>
      </c>
      <c r="B612" s="5" t="s">
        <v>918</v>
      </c>
    </row>
    <row r="613" spans="1:2" x14ac:dyDescent="0.3">
      <c r="A613" s="23">
        <f>YEAR(Table1[[#This Row],[Order Date]])</f>
        <v>2014</v>
      </c>
      <c r="B613" s="6" t="s">
        <v>516</v>
      </c>
    </row>
    <row r="614" spans="1:2" x14ac:dyDescent="0.3">
      <c r="A614" s="22">
        <f>YEAR(Table1[[#This Row],[Order Date]])</f>
        <v>2014</v>
      </c>
      <c r="B614" s="5" t="s">
        <v>248</v>
      </c>
    </row>
    <row r="615" spans="1:2" x14ac:dyDescent="0.3">
      <c r="A615" s="23">
        <f>YEAR(Table1[[#This Row],[Order Date]])</f>
        <v>2014</v>
      </c>
      <c r="B615" s="6" t="s">
        <v>248</v>
      </c>
    </row>
    <row r="616" spans="1:2" x14ac:dyDescent="0.3">
      <c r="A616" s="22">
        <f>YEAR(Table1[[#This Row],[Order Date]])</f>
        <v>2014</v>
      </c>
      <c r="B616" s="5" t="s">
        <v>923</v>
      </c>
    </row>
    <row r="617" spans="1:2" x14ac:dyDescent="0.3">
      <c r="A617" s="23">
        <f>YEAR(Table1[[#This Row],[Order Date]])</f>
        <v>2014</v>
      </c>
      <c r="B617" s="6" t="s">
        <v>923</v>
      </c>
    </row>
    <row r="618" spans="1:2" x14ac:dyDescent="0.3">
      <c r="A618" s="22">
        <f>YEAR(Table1[[#This Row],[Order Date]])</f>
        <v>2014</v>
      </c>
      <c r="B618" s="5" t="s">
        <v>925</v>
      </c>
    </row>
    <row r="619" spans="1:2" x14ac:dyDescent="0.3">
      <c r="A619" s="23">
        <f>YEAR(Table1[[#This Row],[Order Date]])</f>
        <v>2014</v>
      </c>
      <c r="B619" s="6" t="s">
        <v>925</v>
      </c>
    </row>
    <row r="620" spans="1:2" x14ac:dyDescent="0.3">
      <c r="A620" s="22">
        <f>YEAR(Table1[[#This Row],[Order Date]])</f>
        <v>2014</v>
      </c>
      <c r="B620" s="5" t="s">
        <v>1087</v>
      </c>
    </row>
    <row r="621" spans="1:2" x14ac:dyDescent="0.3">
      <c r="A621" s="23">
        <f>YEAR(Table1[[#This Row],[Order Date]])</f>
        <v>2014</v>
      </c>
      <c r="B621" s="6" t="s">
        <v>1089</v>
      </c>
    </row>
    <row r="622" spans="1:2" x14ac:dyDescent="0.3">
      <c r="A622" s="22">
        <f>YEAR(Table1[[#This Row],[Order Date]])</f>
        <v>2014</v>
      </c>
      <c r="B622" s="5" t="s">
        <v>1091</v>
      </c>
    </row>
    <row r="623" spans="1:2" x14ac:dyDescent="0.3">
      <c r="A623" s="23">
        <f>YEAR(Table1[[#This Row],[Order Date]])</f>
        <v>2014</v>
      </c>
      <c r="B623" s="6" t="s">
        <v>1091</v>
      </c>
    </row>
    <row r="624" spans="1:2" x14ac:dyDescent="0.3">
      <c r="A624" s="22">
        <f>YEAR(Table1[[#This Row],[Order Date]])</f>
        <v>2014</v>
      </c>
      <c r="B624" s="5" t="s">
        <v>1091</v>
      </c>
    </row>
    <row r="625" spans="1:2" x14ac:dyDescent="0.3">
      <c r="A625" s="23">
        <f>YEAR(Table1[[#This Row],[Order Date]])</f>
        <v>2014</v>
      </c>
      <c r="B625" s="6" t="s">
        <v>1091</v>
      </c>
    </row>
    <row r="626" spans="1:2" x14ac:dyDescent="0.3">
      <c r="A626" s="22">
        <f>YEAR(Table1[[#This Row],[Order Date]])</f>
        <v>2014</v>
      </c>
      <c r="B626" s="5" t="s">
        <v>577</v>
      </c>
    </row>
    <row r="627" spans="1:2" x14ac:dyDescent="0.3">
      <c r="A627" s="23">
        <f>YEAR(Table1[[#This Row],[Order Date]])</f>
        <v>2014</v>
      </c>
      <c r="B627" s="6" t="s">
        <v>1249</v>
      </c>
    </row>
    <row r="628" spans="1:2" x14ac:dyDescent="0.3">
      <c r="A628" s="22">
        <f>YEAR(Table1[[#This Row],[Order Date]])</f>
        <v>2014</v>
      </c>
      <c r="B628" s="5" t="s">
        <v>1249</v>
      </c>
    </row>
    <row r="629" spans="1:2" x14ac:dyDescent="0.3">
      <c r="A629" s="23">
        <f>YEAR(Table1[[#This Row],[Order Date]])</f>
        <v>2014</v>
      </c>
      <c r="B629" s="6" t="s">
        <v>1251</v>
      </c>
    </row>
    <row r="630" spans="1:2" x14ac:dyDescent="0.3">
      <c r="A630" s="22">
        <f>YEAR(Table1[[#This Row],[Order Date]])</f>
        <v>2014</v>
      </c>
      <c r="B630" s="5" t="s">
        <v>1254</v>
      </c>
    </row>
    <row r="631" spans="1:2" x14ac:dyDescent="0.3">
      <c r="A631" s="23">
        <f>YEAR(Table1[[#This Row],[Order Date]])</f>
        <v>2014</v>
      </c>
      <c r="B631" s="6" t="s">
        <v>1254</v>
      </c>
    </row>
    <row r="632" spans="1:2" x14ac:dyDescent="0.3">
      <c r="A632" s="22">
        <f>YEAR(Table1[[#This Row],[Order Date]])</f>
        <v>2014</v>
      </c>
      <c r="B632" s="5" t="s">
        <v>1254</v>
      </c>
    </row>
    <row r="633" spans="1:2" x14ac:dyDescent="0.3">
      <c r="A633" s="23">
        <f>YEAR(Table1[[#This Row],[Order Date]])</f>
        <v>2014</v>
      </c>
      <c r="B633" s="6" t="s">
        <v>1258</v>
      </c>
    </row>
    <row r="634" spans="1:2" x14ac:dyDescent="0.3">
      <c r="A634" s="22">
        <f>YEAR(Table1[[#This Row],[Order Date]])</f>
        <v>2014</v>
      </c>
      <c r="B634" s="5" t="s">
        <v>1310</v>
      </c>
    </row>
    <row r="635" spans="1:2" x14ac:dyDescent="0.3">
      <c r="A635" s="23">
        <f>YEAR(Table1[[#This Row],[Order Date]])</f>
        <v>2014</v>
      </c>
      <c r="B635" s="6" t="s">
        <v>1310</v>
      </c>
    </row>
    <row r="636" spans="1:2" x14ac:dyDescent="0.3">
      <c r="A636" s="22">
        <f>YEAR(Table1[[#This Row],[Order Date]])</f>
        <v>2014</v>
      </c>
      <c r="B636" s="5" t="s">
        <v>1423</v>
      </c>
    </row>
    <row r="637" spans="1:2" x14ac:dyDescent="0.3">
      <c r="A637" s="23">
        <f>YEAR(Table1[[#This Row],[Order Date]])</f>
        <v>2014</v>
      </c>
      <c r="B637" s="6" t="s">
        <v>1574</v>
      </c>
    </row>
    <row r="638" spans="1:2" x14ac:dyDescent="0.3">
      <c r="A638" s="22">
        <f>YEAR(Table1[[#This Row],[Order Date]])</f>
        <v>2014</v>
      </c>
      <c r="B638" s="5" t="s">
        <v>1293</v>
      </c>
    </row>
    <row r="639" spans="1:2" x14ac:dyDescent="0.3">
      <c r="A639" s="23">
        <f>YEAR(Table1[[#This Row],[Order Date]])</f>
        <v>2014</v>
      </c>
      <c r="B639" s="6" t="s">
        <v>1293</v>
      </c>
    </row>
    <row r="640" spans="1:2" x14ac:dyDescent="0.3">
      <c r="A640" s="22">
        <f>YEAR(Table1[[#This Row],[Order Date]])</f>
        <v>2014</v>
      </c>
      <c r="B640" s="5" t="s">
        <v>1578</v>
      </c>
    </row>
    <row r="641" spans="1:2" x14ac:dyDescent="0.3">
      <c r="A641" s="23">
        <f>YEAR(Table1[[#This Row],[Order Date]])</f>
        <v>2014</v>
      </c>
      <c r="B641" s="6" t="s">
        <v>1578</v>
      </c>
    </row>
    <row r="642" spans="1:2" x14ac:dyDescent="0.3">
      <c r="A642" s="22">
        <f>YEAR(Table1[[#This Row],[Order Date]])</f>
        <v>2014</v>
      </c>
      <c r="B642" s="5" t="s">
        <v>9</v>
      </c>
    </row>
    <row r="643" spans="1:2" x14ac:dyDescent="0.3">
      <c r="A643" s="23">
        <f>YEAR(Table1[[#This Row],[Order Date]])</f>
        <v>2014</v>
      </c>
      <c r="B643" s="6" t="s">
        <v>9</v>
      </c>
    </row>
    <row r="644" spans="1:2" x14ac:dyDescent="0.3">
      <c r="A644" s="22">
        <f>YEAR(Table1[[#This Row],[Order Date]])</f>
        <v>2014</v>
      </c>
      <c r="B644" s="5" t="s">
        <v>1183</v>
      </c>
    </row>
    <row r="645" spans="1:2" x14ac:dyDescent="0.3">
      <c r="A645" s="23">
        <f>YEAR(Table1[[#This Row],[Order Date]])</f>
        <v>2014</v>
      </c>
      <c r="B645" s="6" t="s">
        <v>1183</v>
      </c>
    </row>
    <row r="646" spans="1:2" x14ac:dyDescent="0.3">
      <c r="A646" s="22">
        <f>YEAR(Table1[[#This Row],[Order Date]])</f>
        <v>2014</v>
      </c>
      <c r="B646" s="5" t="s">
        <v>1527</v>
      </c>
    </row>
    <row r="647" spans="1:2" x14ac:dyDescent="0.3">
      <c r="A647" s="23">
        <f>YEAR(Table1[[#This Row],[Order Date]])</f>
        <v>2014</v>
      </c>
      <c r="B647" s="6" t="s">
        <v>1730</v>
      </c>
    </row>
    <row r="648" spans="1:2" x14ac:dyDescent="0.3">
      <c r="A648" s="22">
        <f>YEAR(Table1[[#This Row],[Order Date]])</f>
        <v>2014</v>
      </c>
      <c r="B648" s="5" t="s">
        <v>1732</v>
      </c>
    </row>
    <row r="649" spans="1:2" x14ac:dyDescent="0.3">
      <c r="A649" s="23">
        <f>YEAR(Table1[[#This Row],[Order Date]])</f>
        <v>2014</v>
      </c>
      <c r="B649" s="6" t="s">
        <v>1732</v>
      </c>
    </row>
    <row r="650" spans="1:2" x14ac:dyDescent="0.3">
      <c r="A650" s="22">
        <f>YEAR(Table1[[#This Row],[Order Date]])</f>
        <v>2014</v>
      </c>
      <c r="B650" s="5" t="s">
        <v>1732</v>
      </c>
    </row>
    <row r="651" spans="1:2" x14ac:dyDescent="0.3">
      <c r="A651" s="23">
        <f>YEAR(Table1[[#This Row],[Order Date]])</f>
        <v>2015</v>
      </c>
      <c r="B651" s="6" t="s">
        <v>189</v>
      </c>
    </row>
    <row r="652" spans="1:2" x14ac:dyDescent="0.3">
      <c r="A652" s="22">
        <f>YEAR(Table1[[#This Row],[Order Date]])</f>
        <v>2015</v>
      </c>
      <c r="B652" s="5" t="s">
        <v>1626</v>
      </c>
    </row>
    <row r="653" spans="1:2" x14ac:dyDescent="0.3">
      <c r="A653" s="23">
        <f>YEAR(Table1[[#This Row],[Order Date]])</f>
        <v>2015</v>
      </c>
      <c r="B653" s="6" t="s">
        <v>697</v>
      </c>
    </row>
    <row r="654" spans="1:2" x14ac:dyDescent="0.3">
      <c r="A654" s="22">
        <f>YEAR(Table1[[#This Row],[Order Date]])</f>
        <v>2015</v>
      </c>
      <c r="B654" s="5" t="s">
        <v>262</v>
      </c>
    </row>
    <row r="655" spans="1:2" x14ac:dyDescent="0.3">
      <c r="A655" s="23">
        <f>YEAR(Table1[[#This Row],[Order Date]])</f>
        <v>2015</v>
      </c>
      <c r="B655" s="6" t="s">
        <v>262</v>
      </c>
    </row>
    <row r="656" spans="1:2" x14ac:dyDescent="0.3">
      <c r="A656" s="22">
        <f>YEAR(Table1[[#This Row],[Order Date]])</f>
        <v>2015</v>
      </c>
      <c r="B656" s="5" t="s">
        <v>1886</v>
      </c>
    </row>
    <row r="657" spans="1:2" x14ac:dyDescent="0.3">
      <c r="A657" s="23">
        <f>YEAR(Table1[[#This Row],[Order Date]])</f>
        <v>2015</v>
      </c>
      <c r="B657" s="6" t="s">
        <v>1269</v>
      </c>
    </row>
    <row r="658" spans="1:2" x14ac:dyDescent="0.3">
      <c r="A658" s="22">
        <f>YEAR(Table1[[#This Row],[Order Date]])</f>
        <v>2015</v>
      </c>
      <c r="B658" s="5" t="s">
        <v>2007</v>
      </c>
    </row>
    <row r="659" spans="1:2" x14ac:dyDescent="0.3">
      <c r="A659" s="23">
        <f>YEAR(Table1[[#This Row],[Order Date]])</f>
        <v>2015</v>
      </c>
      <c r="B659" s="6" t="s">
        <v>2007</v>
      </c>
    </row>
    <row r="660" spans="1:2" x14ac:dyDescent="0.3">
      <c r="A660" s="22">
        <f>YEAR(Table1[[#This Row],[Order Date]])</f>
        <v>2015</v>
      </c>
      <c r="B660" s="5" t="s">
        <v>1510</v>
      </c>
    </row>
    <row r="661" spans="1:2" x14ac:dyDescent="0.3">
      <c r="A661" s="23">
        <f>YEAR(Table1[[#This Row],[Order Date]])</f>
        <v>2015</v>
      </c>
      <c r="B661" s="6" t="s">
        <v>1510</v>
      </c>
    </row>
    <row r="662" spans="1:2" x14ac:dyDescent="0.3">
      <c r="A662" s="22">
        <f>YEAR(Table1[[#This Row],[Order Date]])</f>
        <v>2015</v>
      </c>
      <c r="B662" s="5" t="s">
        <v>433</v>
      </c>
    </row>
    <row r="663" spans="1:2" x14ac:dyDescent="0.3">
      <c r="A663" s="23">
        <f>YEAR(Table1[[#This Row],[Order Date]])</f>
        <v>2015</v>
      </c>
      <c r="B663" s="6" t="s">
        <v>433</v>
      </c>
    </row>
    <row r="664" spans="1:2" x14ac:dyDescent="0.3">
      <c r="A664" s="22">
        <f>YEAR(Table1[[#This Row],[Order Date]])</f>
        <v>2015</v>
      </c>
      <c r="B664" s="5" t="s">
        <v>236</v>
      </c>
    </row>
    <row r="665" spans="1:2" x14ac:dyDescent="0.3">
      <c r="A665" s="23">
        <f>YEAR(Table1[[#This Row],[Order Date]])</f>
        <v>2015</v>
      </c>
      <c r="B665" s="6" t="s">
        <v>236</v>
      </c>
    </row>
    <row r="666" spans="1:2" x14ac:dyDescent="0.3">
      <c r="A666" s="22">
        <f>YEAR(Table1[[#This Row],[Order Date]])</f>
        <v>2015</v>
      </c>
      <c r="B666" s="5" t="s">
        <v>389</v>
      </c>
    </row>
    <row r="667" spans="1:2" x14ac:dyDescent="0.3">
      <c r="A667" s="23">
        <f>YEAR(Table1[[#This Row],[Order Date]])</f>
        <v>2015</v>
      </c>
      <c r="B667" s="6" t="s">
        <v>389</v>
      </c>
    </row>
    <row r="668" spans="1:2" x14ac:dyDescent="0.3">
      <c r="A668" s="22">
        <f>YEAR(Table1[[#This Row],[Order Date]])</f>
        <v>2015</v>
      </c>
      <c r="B668" s="5" t="s">
        <v>1582</v>
      </c>
    </row>
    <row r="669" spans="1:2" x14ac:dyDescent="0.3">
      <c r="A669" s="23">
        <f>YEAR(Table1[[#This Row],[Order Date]])</f>
        <v>2015</v>
      </c>
      <c r="B669" s="6" t="s">
        <v>2230</v>
      </c>
    </row>
    <row r="670" spans="1:2" x14ac:dyDescent="0.3">
      <c r="A670" s="22">
        <f>YEAR(Table1[[#This Row],[Order Date]])</f>
        <v>2015</v>
      </c>
      <c r="B670" s="5" t="s">
        <v>2230</v>
      </c>
    </row>
    <row r="671" spans="1:2" x14ac:dyDescent="0.3">
      <c r="A671" s="23">
        <f>YEAR(Table1[[#This Row],[Order Date]])</f>
        <v>2015</v>
      </c>
      <c r="B671" s="6" t="s">
        <v>478</v>
      </c>
    </row>
    <row r="672" spans="1:2" x14ac:dyDescent="0.3">
      <c r="A672" s="22">
        <f>YEAR(Table1[[#This Row],[Order Date]])</f>
        <v>2015</v>
      </c>
      <c r="B672" s="5" t="s">
        <v>478</v>
      </c>
    </row>
    <row r="673" spans="1:2" x14ac:dyDescent="0.3">
      <c r="A673" s="23">
        <f>YEAR(Table1[[#This Row],[Order Date]])</f>
        <v>2015</v>
      </c>
      <c r="B673" s="6" t="s">
        <v>327</v>
      </c>
    </row>
    <row r="674" spans="1:2" x14ac:dyDescent="0.3">
      <c r="A674" s="22">
        <f>YEAR(Table1[[#This Row],[Order Date]])</f>
        <v>2015</v>
      </c>
      <c r="B674" s="5" t="s">
        <v>1031</v>
      </c>
    </row>
    <row r="675" spans="1:2" x14ac:dyDescent="0.3">
      <c r="A675" s="23">
        <f>YEAR(Table1[[#This Row],[Order Date]])</f>
        <v>2015</v>
      </c>
      <c r="B675" s="6" t="s">
        <v>1031</v>
      </c>
    </row>
    <row r="676" spans="1:2" x14ac:dyDescent="0.3">
      <c r="A676" s="22">
        <f>YEAR(Table1[[#This Row],[Order Date]])</f>
        <v>2015</v>
      </c>
      <c r="B676" s="5" t="s">
        <v>1031</v>
      </c>
    </row>
    <row r="677" spans="1:2" x14ac:dyDescent="0.3">
      <c r="A677" s="23">
        <f>YEAR(Table1[[#This Row],[Order Date]])</f>
        <v>2015</v>
      </c>
      <c r="B677" s="6" t="s">
        <v>178</v>
      </c>
    </row>
    <row r="678" spans="1:2" x14ac:dyDescent="0.3">
      <c r="A678" s="22">
        <f>YEAR(Table1[[#This Row],[Order Date]])</f>
        <v>2015</v>
      </c>
      <c r="B678" s="5" t="s">
        <v>1526</v>
      </c>
    </row>
    <row r="679" spans="1:2" x14ac:dyDescent="0.3">
      <c r="A679" s="23">
        <f>YEAR(Table1[[#This Row],[Order Date]])</f>
        <v>2015</v>
      </c>
      <c r="B679" s="6" t="s">
        <v>2034</v>
      </c>
    </row>
    <row r="680" spans="1:2" x14ac:dyDescent="0.3">
      <c r="A680" s="22">
        <f>YEAR(Table1[[#This Row],[Order Date]])</f>
        <v>2015</v>
      </c>
      <c r="B680" s="5" t="s">
        <v>1455</v>
      </c>
    </row>
    <row r="681" spans="1:2" x14ac:dyDescent="0.3">
      <c r="A681" s="23">
        <f>YEAR(Table1[[#This Row],[Order Date]])</f>
        <v>2015</v>
      </c>
      <c r="B681" s="6" t="s">
        <v>1361</v>
      </c>
    </row>
    <row r="682" spans="1:2" x14ac:dyDescent="0.3">
      <c r="A682" s="22">
        <f>YEAR(Table1[[#This Row],[Order Date]])</f>
        <v>2015</v>
      </c>
      <c r="B682" s="5" t="s">
        <v>1782</v>
      </c>
    </row>
    <row r="683" spans="1:2" x14ac:dyDescent="0.3">
      <c r="A683" s="23">
        <f>YEAR(Table1[[#This Row],[Order Date]])</f>
        <v>2015</v>
      </c>
      <c r="B683" s="6" t="s">
        <v>1782</v>
      </c>
    </row>
    <row r="684" spans="1:2" x14ac:dyDescent="0.3">
      <c r="A684" s="22">
        <f>YEAR(Table1[[#This Row],[Order Date]])</f>
        <v>2015</v>
      </c>
      <c r="B684" s="5" t="s">
        <v>1782</v>
      </c>
    </row>
    <row r="685" spans="1:2" x14ac:dyDescent="0.3">
      <c r="A685" s="23">
        <f>YEAR(Table1[[#This Row],[Order Date]])</f>
        <v>2015</v>
      </c>
      <c r="B685" s="6" t="s">
        <v>1782</v>
      </c>
    </row>
    <row r="686" spans="1:2" x14ac:dyDescent="0.3">
      <c r="A686" s="22">
        <f>YEAR(Table1[[#This Row],[Order Date]])</f>
        <v>2015</v>
      </c>
      <c r="B686" s="5" t="s">
        <v>1064</v>
      </c>
    </row>
    <row r="687" spans="1:2" x14ac:dyDescent="0.3">
      <c r="A687" s="23">
        <f>YEAR(Table1[[#This Row],[Order Date]])</f>
        <v>2015</v>
      </c>
      <c r="B687" s="6" t="s">
        <v>1064</v>
      </c>
    </row>
    <row r="688" spans="1:2" x14ac:dyDescent="0.3">
      <c r="A688" s="22">
        <f>YEAR(Table1[[#This Row],[Order Date]])</f>
        <v>2015</v>
      </c>
      <c r="B688" s="5" t="s">
        <v>646</v>
      </c>
    </row>
    <row r="689" spans="1:2" x14ac:dyDescent="0.3">
      <c r="A689" s="23">
        <f>YEAR(Table1[[#This Row],[Order Date]])</f>
        <v>2015</v>
      </c>
      <c r="B689" s="6" t="s">
        <v>646</v>
      </c>
    </row>
    <row r="690" spans="1:2" x14ac:dyDescent="0.3">
      <c r="A690" s="22">
        <f>YEAR(Table1[[#This Row],[Order Date]])</f>
        <v>2015</v>
      </c>
      <c r="B690" s="5" t="s">
        <v>646</v>
      </c>
    </row>
    <row r="691" spans="1:2" x14ac:dyDescent="0.3">
      <c r="A691" s="23">
        <f>YEAR(Table1[[#This Row],[Order Date]])</f>
        <v>2015</v>
      </c>
      <c r="B691" s="6" t="s">
        <v>646</v>
      </c>
    </row>
    <row r="692" spans="1:2" x14ac:dyDescent="0.3">
      <c r="A692" s="22">
        <f>YEAR(Table1[[#This Row],[Order Date]])</f>
        <v>2015</v>
      </c>
      <c r="B692" s="5" t="s">
        <v>1838</v>
      </c>
    </row>
    <row r="693" spans="1:2" x14ac:dyDescent="0.3">
      <c r="A693" s="23">
        <f>YEAR(Table1[[#This Row],[Order Date]])</f>
        <v>2015</v>
      </c>
      <c r="B693" s="6" t="s">
        <v>1838</v>
      </c>
    </row>
    <row r="694" spans="1:2" x14ac:dyDescent="0.3">
      <c r="A694" s="22">
        <f>YEAR(Table1[[#This Row],[Order Date]])</f>
        <v>2015</v>
      </c>
      <c r="B694" s="5" t="s">
        <v>1838</v>
      </c>
    </row>
    <row r="695" spans="1:2" x14ac:dyDescent="0.3">
      <c r="A695" s="23">
        <f>YEAR(Table1[[#This Row],[Order Date]])</f>
        <v>2015</v>
      </c>
      <c r="B695" s="6" t="s">
        <v>661</v>
      </c>
    </row>
    <row r="696" spans="1:2" x14ac:dyDescent="0.3">
      <c r="A696" s="22">
        <f>YEAR(Table1[[#This Row],[Order Date]])</f>
        <v>2015</v>
      </c>
      <c r="B696" s="5" t="s">
        <v>1945</v>
      </c>
    </row>
    <row r="697" spans="1:2" x14ac:dyDescent="0.3">
      <c r="A697" s="23">
        <f>YEAR(Table1[[#This Row],[Order Date]])</f>
        <v>2015</v>
      </c>
      <c r="B697" s="6" t="s">
        <v>1945</v>
      </c>
    </row>
    <row r="698" spans="1:2" x14ac:dyDescent="0.3">
      <c r="A698" s="22">
        <f>YEAR(Table1[[#This Row],[Order Date]])</f>
        <v>2015</v>
      </c>
      <c r="B698" s="5" t="s">
        <v>1744</v>
      </c>
    </row>
    <row r="699" spans="1:2" x14ac:dyDescent="0.3">
      <c r="A699" s="23">
        <f>YEAR(Table1[[#This Row],[Order Date]])</f>
        <v>2015</v>
      </c>
      <c r="B699" s="6" t="s">
        <v>1948</v>
      </c>
    </row>
    <row r="700" spans="1:2" x14ac:dyDescent="0.3">
      <c r="A700" s="22">
        <f>YEAR(Table1[[#This Row],[Order Date]])</f>
        <v>2015</v>
      </c>
      <c r="B700" s="5" t="s">
        <v>2093</v>
      </c>
    </row>
    <row r="701" spans="1:2" x14ac:dyDescent="0.3">
      <c r="A701" s="23">
        <f>YEAR(Table1[[#This Row],[Order Date]])</f>
        <v>2015</v>
      </c>
      <c r="B701" s="6" t="s">
        <v>2093</v>
      </c>
    </row>
    <row r="702" spans="1:2" x14ac:dyDescent="0.3">
      <c r="A702" s="22">
        <f>YEAR(Table1[[#This Row],[Order Date]])</f>
        <v>2015</v>
      </c>
      <c r="B702" s="5" t="s">
        <v>2093</v>
      </c>
    </row>
    <row r="703" spans="1:2" x14ac:dyDescent="0.3">
      <c r="A703" s="23">
        <f>YEAR(Table1[[#This Row],[Order Date]])</f>
        <v>2015</v>
      </c>
      <c r="B703" s="6" t="s">
        <v>1301</v>
      </c>
    </row>
    <row r="704" spans="1:2" x14ac:dyDescent="0.3">
      <c r="A704" s="22">
        <f>YEAR(Table1[[#This Row],[Order Date]])</f>
        <v>2015</v>
      </c>
      <c r="B704" s="5" t="s">
        <v>1301</v>
      </c>
    </row>
    <row r="705" spans="1:2" x14ac:dyDescent="0.3">
      <c r="A705" s="23">
        <f>YEAR(Table1[[#This Row],[Order Date]])</f>
        <v>2015</v>
      </c>
      <c r="B705" s="6" t="s">
        <v>818</v>
      </c>
    </row>
    <row r="706" spans="1:2" x14ac:dyDescent="0.3">
      <c r="A706" s="22">
        <f>YEAR(Table1[[#This Row],[Order Date]])</f>
        <v>2015</v>
      </c>
      <c r="B706" s="5" t="s">
        <v>818</v>
      </c>
    </row>
    <row r="707" spans="1:2" x14ac:dyDescent="0.3">
      <c r="A707" s="23">
        <f>YEAR(Table1[[#This Row],[Order Date]])</f>
        <v>2015</v>
      </c>
      <c r="B707" s="6" t="s">
        <v>2130</v>
      </c>
    </row>
    <row r="708" spans="1:2" x14ac:dyDescent="0.3">
      <c r="A708" s="22">
        <f>YEAR(Table1[[#This Row],[Order Date]])</f>
        <v>2015</v>
      </c>
      <c r="B708" s="5" t="s">
        <v>2130</v>
      </c>
    </row>
    <row r="709" spans="1:2" x14ac:dyDescent="0.3">
      <c r="A709" s="23">
        <f>YEAR(Table1[[#This Row],[Order Date]])</f>
        <v>2015</v>
      </c>
      <c r="B709" s="6" t="s">
        <v>1134</v>
      </c>
    </row>
    <row r="710" spans="1:2" x14ac:dyDescent="0.3">
      <c r="A710" s="22">
        <f>YEAR(Table1[[#This Row],[Order Date]])</f>
        <v>2015</v>
      </c>
      <c r="B710" s="5" t="s">
        <v>1350</v>
      </c>
    </row>
    <row r="711" spans="1:2" x14ac:dyDescent="0.3">
      <c r="A711" s="23">
        <f>YEAR(Table1[[#This Row],[Order Date]])</f>
        <v>2015</v>
      </c>
      <c r="B711" s="6" t="s">
        <v>260</v>
      </c>
    </row>
    <row r="712" spans="1:2" x14ac:dyDescent="0.3">
      <c r="A712" s="22">
        <f>YEAR(Table1[[#This Row],[Order Date]])</f>
        <v>2015</v>
      </c>
      <c r="B712" s="5" t="s">
        <v>2231</v>
      </c>
    </row>
    <row r="713" spans="1:2" x14ac:dyDescent="0.3">
      <c r="A713" s="23">
        <f>YEAR(Table1[[#This Row],[Order Date]])</f>
        <v>2015</v>
      </c>
      <c r="B713" s="6" t="s">
        <v>999</v>
      </c>
    </row>
    <row r="714" spans="1:2" x14ac:dyDescent="0.3">
      <c r="A714" s="22">
        <f>YEAR(Table1[[#This Row],[Order Date]])</f>
        <v>2015</v>
      </c>
      <c r="B714" s="5" t="s">
        <v>999</v>
      </c>
    </row>
    <row r="715" spans="1:2" x14ac:dyDescent="0.3">
      <c r="A715" s="23">
        <f>YEAR(Table1[[#This Row],[Order Date]])</f>
        <v>2015</v>
      </c>
      <c r="B715" s="6" t="s">
        <v>411</v>
      </c>
    </row>
    <row r="716" spans="1:2" x14ac:dyDescent="0.3">
      <c r="A716" s="22">
        <f>YEAR(Table1[[#This Row],[Order Date]])</f>
        <v>2015</v>
      </c>
      <c r="B716" s="5" t="s">
        <v>2264</v>
      </c>
    </row>
    <row r="717" spans="1:2" x14ac:dyDescent="0.3">
      <c r="A717" s="23">
        <f>YEAR(Table1[[#This Row],[Order Date]])</f>
        <v>2015</v>
      </c>
      <c r="B717" s="6" t="s">
        <v>954</v>
      </c>
    </row>
    <row r="718" spans="1:2" x14ac:dyDescent="0.3">
      <c r="A718" s="22">
        <f>YEAR(Table1[[#This Row],[Order Date]])</f>
        <v>2015</v>
      </c>
      <c r="B718" s="5" t="s">
        <v>741</v>
      </c>
    </row>
    <row r="719" spans="1:2" x14ac:dyDescent="0.3">
      <c r="A719" s="23">
        <f>YEAR(Table1[[#This Row],[Order Date]])</f>
        <v>2015</v>
      </c>
      <c r="B719" s="6" t="s">
        <v>741</v>
      </c>
    </row>
    <row r="720" spans="1:2" x14ac:dyDescent="0.3">
      <c r="A720" s="22">
        <f>YEAR(Table1[[#This Row],[Order Date]])</f>
        <v>2015</v>
      </c>
      <c r="B720" s="5" t="s">
        <v>741</v>
      </c>
    </row>
    <row r="721" spans="1:2" x14ac:dyDescent="0.3">
      <c r="A721" s="23">
        <f>YEAR(Table1[[#This Row],[Order Date]])</f>
        <v>2015</v>
      </c>
      <c r="B721" s="6" t="s">
        <v>1073</v>
      </c>
    </row>
    <row r="722" spans="1:2" x14ac:dyDescent="0.3">
      <c r="A722" s="22">
        <f>YEAR(Table1[[#This Row],[Order Date]])</f>
        <v>2015</v>
      </c>
      <c r="B722" s="5" t="s">
        <v>1011</v>
      </c>
    </row>
    <row r="723" spans="1:2" x14ac:dyDescent="0.3">
      <c r="A723" s="23">
        <f>YEAR(Table1[[#This Row],[Order Date]])</f>
        <v>2015</v>
      </c>
      <c r="B723" s="6" t="s">
        <v>2269</v>
      </c>
    </row>
    <row r="724" spans="1:2" x14ac:dyDescent="0.3">
      <c r="A724" s="22">
        <f>YEAR(Table1[[#This Row],[Order Date]])</f>
        <v>2015</v>
      </c>
      <c r="B724" s="5" t="s">
        <v>1840</v>
      </c>
    </row>
    <row r="725" spans="1:2" x14ac:dyDescent="0.3">
      <c r="A725" s="23">
        <f>YEAR(Table1[[#This Row],[Order Date]])</f>
        <v>2015</v>
      </c>
      <c r="B725" s="6" t="s">
        <v>1840</v>
      </c>
    </row>
    <row r="726" spans="1:2" x14ac:dyDescent="0.3">
      <c r="A726" s="22">
        <f>YEAR(Table1[[#This Row],[Order Date]])</f>
        <v>2015</v>
      </c>
      <c r="B726" s="5" t="s">
        <v>541</v>
      </c>
    </row>
    <row r="727" spans="1:2" x14ac:dyDescent="0.3">
      <c r="A727" s="23">
        <f>YEAR(Table1[[#This Row],[Order Date]])</f>
        <v>2015</v>
      </c>
      <c r="B727" s="6" t="s">
        <v>541</v>
      </c>
    </row>
    <row r="728" spans="1:2" x14ac:dyDescent="0.3">
      <c r="A728" s="22">
        <f>YEAR(Table1[[#This Row],[Order Date]])</f>
        <v>2015</v>
      </c>
      <c r="B728" s="5" t="s">
        <v>1862</v>
      </c>
    </row>
    <row r="729" spans="1:2" x14ac:dyDescent="0.3">
      <c r="A729" s="23">
        <f>YEAR(Table1[[#This Row],[Order Date]])</f>
        <v>2015</v>
      </c>
      <c r="B729" s="6" t="s">
        <v>1502</v>
      </c>
    </row>
    <row r="730" spans="1:2" x14ac:dyDescent="0.3">
      <c r="A730" s="22">
        <f>YEAR(Table1[[#This Row],[Order Date]])</f>
        <v>2015</v>
      </c>
      <c r="B730" s="5" t="s">
        <v>658</v>
      </c>
    </row>
    <row r="731" spans="1:2" x14ac:dyDescent="0.3">
      <c r="A731" s="23">
        <f>YEAR(Table1[[#This Row],[Order Date]])</f>
        <v>2015</v>
      </c>
      <c r="B731" s="6" t="s">
        <v>508</v>
      </c>
    </row>
    <row r="732" spans="1:2" x14ac:dyDescent="0.3">
      <c r="A732" s="22">
        <f>YEAR(Table1[[#This Row],[Order Date]])</f>
        <v>2015</v>
      </c>
      <c r="B732" s="5" t="s">
        <v>508</v>
      </c>
    </row>
    <row r="733" spans="1:2" x14ac:dyDescent="0.3">
      <c r="A733" s="23">
        <f>YEAR(Table1[[#This Row],[Order Date]])</f>
        <v>2015</v>
      </c>
      <c r="B733" s="6" t="s">
        <v>508</v>
      </c>
    </row>
    <row r="734" spans="1:2" x14ac:dyDescent="0.3">
      <c r="A734" s="22">
        <f>YEAR(Table1[[#This Row],[Order Date]])</f>
        <v>2015</v>
      </c>
      <c r="B734" s="5" t="s">
        <v>508</v>
      </c>
    </row>
    <row r="735" spans="1:2" x14ac:dyDescent="0.3">
      <c r="A735" s="23">
        <f>YEAR(Table1[[#This Row],[Order Date]])</f>
        <v>2015</v>
      </c>
      <c r="B735" s="6" t="s">
        <v>2014</v>
      </c>
    </row>
    <row r="736" spans="1:2" x14ac:dyDescent="0.3">
      <c r="A736" s="22">
        <f>YEAR(Table1[[#This Row],[Order Date]])</f>
        <v>2015</v>
      </c>
      <c r="B736" s="5" t="s">
        <v>2014</v>
      </c>
    </row>
    <row r="737" spans="1:2" x14ac:dyDescent="0.3">
      <c r="A737" s="23">
        <f>YEAR(Table1[[#This Row],[Order Date]])</f>
        <v>2015</v>
      </c>
      <c r="B737" s="6" t="s">
        <v>532</v>
      </c>
    </row>
    <row r="738" spans="1:2" x14ac:dyDescent="0.3">
      <c r="A738" s="22">
        <f>YEAR(Table1[[#This Row],[Order Date]])</f>
        <v>2015</v>
      </c>
      <c r="B738" s="5" t="s">
        <v>2094</v>
      </c>
    </row>
    <row r="739" spans="1:2" x14ac:dyDescent="0.3">
      <c r="A739" s="23">
        <f>YEAR(Table1[[#This Row],[Order Date]])</f>
        <v>2015</v>
      </c>
      <c r="B739" s="6" t="s">
        <v>1508</v>
      </c>
    </row>
    <row r="740" spans="1:2" x14ac:dyDescent="0.3">
      <c r="A740" s="22">
        <f>YEAR(Table1[[#This Row],[Order Date]])</f>
        <v>2015</v>
      </c>
      <c r="B740" s="5" t="s">
        <v>1508</v>
      </c>
    </row>
    <row r="741" spans="1:2" x14ac:dyDescent="0.3">
      <c r="A741" s="23">
        <f>YEAR(Table1[[#This Row],[Order Date]])</f>
        <v>2015</v>
      </c>
      <c r="B741" s="6" t="s">
        <v>1615</v>
      </c>
    </row>
    <row r="742" spans="1:2" x14ac:dyDescent="0.3">
      <c r="A742" s="22">
        <f>YEAR(Table1[[#This Row],[Order Date]])</f>
        <v>2015</v>
      </c>
      <c r="B742" s="5" t="s">
        <v>393</v>
      </c>
    </row>
    <row r="743" spans="1:2" x14ac:dyDescent="0.3">
      <c r="A743" s="23">
        <f>YEAR(Table1[[#This Row],[Order Date]])</f>
        <v>2015</v>
      </c>
      <c r="B743" s="6" t="s">
        <v>393</v>
      </c>
    </row>
    <row r="744" spans="1:2" x14ac:dyDescent="0.3">
      <c r="A744" s="22">
        <f>YEAR(Table1[[#This Row],[Order Date]])</f>
        <v>2015</v>
      </c>
      <c r="B744" s="5" t="s">
        <v>2007</v>
      </c>
    </row>
    <row r="745" spans="1:2" x14ac:dyDescent="0.3">
      <c r="A745" s="23">
        <f>YEAR(Table1[[#This Row],[Order Date]])</f>
        <v>2015</v>
      </c>
      <c r="B745" s="6" t="s">
        <v>2007</v>
      </c>
    </row>
    <row r="746" spans="1:2" x14ac:dyDescent="0.3">
      <c r="A746" s="22">
        <f>YEAR(Table1[[#This Row],[Order Date]])</f>
        <v>2015</v>
      </c>
      <c r="B746" s="5" t="s">
        <v>1269</v>
      </c>
    </row>
    <row r="747" spans="1:2" x14ac:dyDescent="0.3">
      <c r="A747" s="23">
        <f>YEAR(Table1[[#This Row],[Order Date]])</f>
        <v>2015</v>
      </c>
      <c r="B747" s="6" t="s">
        <v>1269</v>
      </c>
    </row>
    <row r="748" spans="1:2" x14ac:dyDescent="0.3">
      <c r="A748" s="22">
        <f>YEAR(Table1[[#This Row],[Order Date]])</f>
        <v>2015</v>
      </c>
      <c r="B748" s="5" t="s">
        <v>1020</v>
      </c>
    </row>
    <row r="749" spans="1:2" x14ac:dyDescent="0.3">
      <c r="A749" s="23">
        <f>YEAR(Table1[[#This Row],[Order Date]])</f>
        <v>2015</v>
      </c>
      <c r="B749" s="6" t="s">
        <v>1020</v>
      </c>
    </row>
    <row r="750" spans="1:2" x14ac:dyDescent="0.3">
      <c r="A750" s="22">
        <f>YEAR(Table1[[#This Row],[Order Date]])</f>
        <v>2015</v>
      </c>
      <c r="B750" s="5" t="s">
        <v>1698</v>
      </c>
    </row>
    <row r="751" spans="1:2" x14ac:dyDescent="0.3">
      <c r="A751" s="23">
        <f>YEAR(Table1[[#This Row],[Order Date]])</f>
        <v>2015</v>
      </c>
      <c r="B751" s="6" t="s">
        <v>668</v>
      </c>
    </row>
    <row r="752" spans="1:2" x14ac:dyDescent="0.3">
      <c r="A752" s="22">
        <f>YEAR(Table1[[#This Row],[Order Date]])</f>
        <v>2015</v>
      </c>
      <c r="B752" s="5" t="s">
        <v>759</v>
      </c>
    </row>
    <row r="753" spans="1:2" x14ac:dyDescent="0.3">
      <c r="A753" s="23">
        <f>YEAR(Table1[[#This Row],[Order Date]])</f>
        <v>2015</v>
      </c>
      <c r="B753" s="6" t="s">
        <v>759</v>
      </c>
    </row>
    <row r="754" spans="1:2" x14ac:dyDescent="0.3">
      <c r="A754" s="22">
        <f>YEAR(Table1[[#This Row],[Order Date]])</f>
        <v>2015</v>
      </c>
      <c r="B754" s="5" t="s">
        <v>759</v>
      </c>
    </row>
    <row r="755" spans="1:2" x14ac:dyDescent="0.3">
      <c r="A755" s="23">
        <f>YEAR(Table1[[#This Row],[Order Date]])</f>
        <v>2015</v>
      </c>
      <c r="B755" s="6" t="s">
        <v>1917</v>
      </c>
    </row>
    <row r="756" spans="1:2" x14ac:dyDescent="0.3">
      <c r="A756" s="22">
        <f>YEAR(Table1[[#This Row],[Order Date]])</f>
        <v>2015</v>
      </c>
      <c r="B756" s="5" t="s">
        <v>1917</v>
      </c>
    </row>
    <row r="757" spans="1:2" x14ac:dyDescent="0.3">
      <c r="A757" s="23">
        <f>YEAR(Table1[[#This Row],[Order Date]])</f>
        <v>2015</v>
      </c>
      <c r="B757" s="6" t="s">
        <v>61</v>
      </c>
    </row>
    <row r="758" spans="1:2" x14ac:dyDescent="0.3">
      <c r="A758" s="22">
        <f>YEAR(Table1[[#This Row],[Order Date]])</f>
        <v>2015</v>
      </c>
      <c r="B758" s="5" t="s">
        <v>1464</v>
      </c>
    </row>
    <row r="759" spans="1:2" x14ac:dyDescent="0.3">
      <c r="A759" s="23">
        <f>YEAR(Table1[[#This Row],[Order Date]])</f>
        <v>2015</v>
      </c>
      <c r="B759" s="6" t="s">
        <v>282</v>
      </c>
    </row>
    <row r="760" spans="1:2" x14ac:dyDescent="0.3">
      <c r="A760" s="22">
        <f>YEAR(Table1[[#This Row],[Order Date]])</f>
        <v>2015</v>
      </c>
      <c r="B760" s="5" t="s">
        <v>402</v>
      </c>
    </row>
    <row r="761" spans="1:2" x14ac:dyDescent="0.3">
      <c r="A761" s="23">
        <f>YEAR(Table1[[#This Row],[Order Date]])</f>
        <v>2015</v>
      </c>
      <c r="B761" s="6" t="s">
        <v>979</v>
      </c>
    </row>
    <row r="762" spans="1:2" x14ac:dyDescent="0.3">
      <c r="A762" s="22">
        <f>YEAR(Table1[[#This Row],[Order Date]])</f>
        <v>2015</v>
      </c>
      <c r="B762" s="5" t="s">
        <v>1675</v>
      </c>
    </row>
    <row r="763" spans="1:2" x14ac:dyDescent="0.3">
      <c r="A763" s="23">
        <f>YEAR(Table1[[#This Row],[Order Date]])</f>
        <v>2015</v>
      </c>
      <c r="B763" s="6" t="s">
        <v>1603</v>
      </c>
    </row>
    <row r="764" spans="1:2" x14ac:dyDescent="0.3">
      <c r="A764" s="22">
        <f>YEAR(Table1[[#This Row],[Order Date]])</f>
        <v>2015</v>
      </c>
      <c r="B764" s="5" t="s">
        <v>1317</v>
      </c>
    </row>
    <row r="765" spans="1:2" x14ac:dyDescent="0.3">
      <c r="A765" s="23">
        <f>YEAR(Table1[[#This Row],[Order Date]])</f>
        <v>2015</v>
      </c>
      <c r="B765" s="6" t="s">
        <v>1317</v>
      </c>
    </row>
    <row r="766" spans="1:2" x14ac:dyDescent="0.3">
      <c r="A766" s="22">
        <f>YEAR(Table1[[#This Row],[Order Date]])</f>
        <v>2015</v>
      </c>
      <c r="B766" s="5" t="s">
        <v>613</v>
      </c>
    </row>
    <row r="767" spans="1:2" x14ac:dyDescent="0.3">
      <c r="A767" s="23">
        <f>YEAR(Table1[[#This Row],[Order Date]])</f>
        <v>2015</v>
      </c>
      <c r="B767" s="6" t="s">
        <v>532</v>
      </c>
    </row>
    <row r="768" spans="1:2" x14ac:dyDescent="0.3">
      <c r="A768" s="22">
        <f>YEAR(Table1[[#This Row],[Order Date]])</f>
        <v>2015</v>
      </c>
      <c r="B768" s="5" t="s">
        <v>532</v>
      </c>
    </row>
    <row r="769" spans="1:2" x14ac:dyDescent="0.3">
      <c r="A769" s="23">
        <f>YEAR(Table1[[#This Row],[Order Date]])</f>
        <v>2015</v>
      </c>
      <c r="B769" s="6" t="s">
        <v>532</v>
      </c>
    </row>
    <row r="770" spans="1:2" x14ac:dyDescent="0.3">
      <c r="A770" s="22">
        <f>YEAR(Table1[[#This Row],[Order Date]])</f>
        <v>2015</v>
      </c>
      <c r="B770" s="5" t="s">
        <v>406</v>
      </c>
    </row>
    <row r="771" spans="1:2" x14ac:dyDescent="0.3">
      <c r="A771" s="23">
        <f>YEAR(Table1[[#This Row],[Order Date]])</f>
        <v>2015</v>
      </c>
      <c r="B771" s="6" t="s">
        <v>406</v>
      </c>
    </row>
    <row r="772" spans="1:2" x14ac:dyDescent="0.3">
      <c r="A772" s="22">
        <f>YEAR(Table1[[#This Row],[Order Date]])</f>
        <v>2015</v>
      </c>
      <c r="B772" s="5" t="s">
        <v>1446</v>
      </c>
    </row>
    <row r="773" spans="1:2" x14ac:dyDescent="0.3">
      <c r="A773" s="23">
        <f>YEAR(Table1[[#This Row],[Order Date]])</f>
        <v>2015</v>
      </c>
      <c r="B773" s="6" t="s">
        <v>580</v>
      </c>
    </row>
    <row r="774" spans="1:2" x14ac:dyDescent="0.3">
      <c r="A774" s="22">
        <f>YEAR(Table1[[#This Row],[Order Date]])</f>
        <v>2015</v>
      </c>
      <c r="B774" s="5" t="s">
        <v>431</v>
      </c>
    </row>
    <row r="775" spans="1:2" x14ac:dyDescent="0.3">
      <c r="A775" s="23">
        <f>YEAR(Table1[[#This Row],[Order Date]])</f>
        <v>2015</v>
      </c>
      <c r="B775" s="6" t="s">
        <v>1521</v>
      </c>
    </row>
    <row r="776" spans="1:2" x14ac:dyDescent="0.3">
      <c r="A776" s="22">
        <f>YEAR(Table1[[#This Row],[Order Date]])</f>
        <v>2015</v>
      </c>
      <c r="B776" s="5" t="s">
        <v>1521</v>
      </c>
    </row>
    <row r="777" spans="1:2" x14ac:dyDescent="0.3">
      <c r="A777" s="23">
        <f>YEAR(Table1[[#This Row],[Order Date]])</f>
        <v>2015</v>
      </c>
      <c r="B777" s="6" t="s">
        <v>2054</v>
      </c>
    </row>
    <row r="778" spans="1:2" x14ac:dyDescent="0.3">
      <c r="A778" s="22">
        <f>YEAR(Table1[[#This Row],[Order Date]])</f>
        <v>2015</v>
      </c>
      <c r="B778" s="5" t="s">
        <v>1759</v>
      </c>
    </row>
    <row r="779" spans="1:2" x14ac:dyDescent="0.3">
      <c r="A779" s="23">
        <f>YEAR(Table1[[#This Row],[Order Date]])</f>
        <v>2015</v>
      </c>
      <c r="B779" s="6" t="s">
        <v>1622</v>
      </c>
    </row>
    <row r="780" spans="1:2" x14ac:dyDescent="0.3">
      <c r="A780" s="22">
        <f>YEAR(Table1[[#This Row],[Order Date]])</f>
        <v>2015</v>
      </c>
      <c r="B780" s="5" t="s">
        <v>1338</v>
      </c>
    </row>
    <row r="781" spans="1:2" x14ac:dyDescent="0.3">
      <c r="A781" s="23">
        <f>YEAR(Table1[[#This Row],[Order Date]])</f>
        <v>2015</v>
      </c>
      <c r="B781" s="6" t="s">
        <v>1098</v>
      </c>
    </row>
    <row r="782" spans="1:2" x14ac:dyDescent="0.3">
      <c r="A782" s="22">
        <f>YEAR(Table1[[#This Row],[Order Date]])</f>
        <v>2015</v>
      </c>
      <c r="B782" s="5" t="s">
        <v>1098</v>
      </c>
    </row>
    <row r="783" spans="1:2" x14ac:dyDescent="0.3">
      <c r="A783" s="23">
        <f>YEAR(Table1[[#This Row],[Order Date]])</f>
        <v>2015</v>
      </c>
      <c r="B783" s="6" t="s">
        <v>1720</v>
      </c>
    </row>
    <row r="784" spans="1:2" x14ac:dyDescent="0.3">
      <c r="A784" s="22">
        <f>YEAR(Table1[[#This Row],[Order Date]])</f>
        <v>2015</v>
      </c>
      <c r="B784" s="5" t="s">
        <v>408</v>
      </c>
    </row>
    <row r="785" spans="1:2" x14ac:dyDescent="0.3">
      <c r="A785" s="23">
        <f>YEAR(Table1[[#This Row],[Order Date]])</f>
        <v>2015</v>
      </c>
      <c r="B785" s="6" t="s">
        <v>1511</v>
      </c>
    </row>
    <row r="786" spans="1:2" x14ac:dyDescent="0.3">
      <c r="A786" s="22">
        <f>YEAR(Table1[[#This Row],[Order Date]])</f>
        <v>2015</v>
      </c>
      <c r="B786" s="5" t="s">
        <v>1511</v>
      </c>
    </row>
    <row r="787" spans="1:2" x14ac:dyDescent="0.3">
      <c r="A787" s="23">
        <f>YEAR(Table1[[#This Row],[Order Date]])</f>
        <v>2015</v>
      </c>
      <c r="B787" s="6" t="s">
        <v>2338</v>
      </c>
    </row>
    <row r="788" spans="1:2" x14ac:dyDescent="0.3">
      <c r="A788" s="22">
        <f>YEAR(Table1[[#This Row],[Order Date]])</f>
        <v>2015</v>
      </c>
      <c r="B788" s="5" t="s">
        <v>2238</v>
      </c>
    </row>
    <row r="789" spans="1:2" x14ac:dyDescent="0.3">
      <c r="A789" s="23">
        <f>YEAR(Table1[[#This Row],[Order Date]])</f>
        <v>2015</v>
      </c>
      <c r="B789" s="6" t="s">
        <v>1230</v>
      </c>
    </row>
    <row r="790" spans="1:2" x14ac:dyDescent="0.3">
      <c r="A790" s="22">
        <f>YEAR(Table1[[#This Row],[Order Date]])</f>
        <v>2015</v>
      </c>
      <c r="B790" s="5" t="s">
        <v>2024</v>
      </c>
    </row>
    <row r="791" spans="1:2" x14ac:dyDescent="0.3">
      <c r="A791" s="23">
        <f>YEAR(Table1[[#This Row],[Order Date]])</f>
        <v>2015</v>
      </c>
      <c r="B791" s="6" t="s">
        <v>969</v>
      </c>
    </row>
    <row r="792" spans="1:2" x14ac:dyDescent="0.3">
      <c r="A792" s="22">
        <f>YEAR(Table1[[#This Row],[Order Date]])</f>
        <v>2015</v>
      </c>
      <c r="B792" s="5" t="s">
        <v>969</v>
      </c>
    </row>
    <row r="793" spans="1:2" x14ac:dyDescent="0.3">
      <c r="A793" s="23">
        <f>YEAR(Table1[[#This Row],[Order Date]])</f>
        <v>2015</v>
      </c>
      <c r="B793" s="6" t="s">
        <v>1559</v>
      </c>
    </row>
    <row r="794" spans="1:2" x14ac:dyDescent="0.3">
      <c r="A794" s="22">
        <f>YEAR(Table1[[#This Row],[Order Date]])</f>
        <v>2015</v>
      </c>
      <c r="B794" s="5" t="s">
        <v>644</v>
      </c>
    </row>
    <row r="795" spans="1:2" x14ac:dyDescent="0.3">
      <c r="A795" s="23">
        <f>YEAR(Table1[[#This Row],[Order Date]])</f>
        <v>2015</v>
      </c>
      <c r="B795" s="6" t="s">
        <v>1003</v>
      </c>
    </row>
    <row r="796" spans="1:2" x14ac:dyDescent="0.3">
      <c r="A796" s="22">
        <f>YEAR(Table1[[#This Row],[Order Date]])</f>
        <v>2015</v>
      </c>
      <c r="B796" s="5" t="s">
        <v>1690</v>
      </c>
    </row>
    <row r="797" spans="1:2" x14ac:dyDescent="0.3">
      <c r="A797" s="23">
        <f>YEAR(Table1[[#This Row],[Order Date]])</f>
        <v>2015</v>
      </c>
      <c r="B797" s="6" t="s">
        <v>1890</v>
      </c>
    </row>
    <row r="798" spans="1:2" x14ac:dyDescent="0.3">
      <c r="A798" s="22">
        <f>YEAR(Table1[[#This Row],[Order Date]])</f>
        <v>2015</v>
      </c>
      <c r="B798" s="5" t="s">
        <v>146</v>
      </c>
    </row>
    <row r="799" spans="1:2" x14ac:dyDescent="0.3">
      <c r="A799" s="23">
        <f>YEAR(Table1[[#This Row],[Order Date]])</f>
        <v>2015</v>
      </c>
      <c r="B799" s="6" t="s">
        <v>1230</v>
      </c>
    </row>
    <row r="800" spans="1:2" x14ac:dyDescent="0.3">
      <c r="A800" s="22">
        <f>YEAR(Table1[[#This Row],[Order Date]])</f>
        <v>2015</v>
      </c>
      <c r="B800" s="5" t="s">
        <v>767</v>
      </c>
    </row>
    <row r="801" spans="1:2" x14ac:dyDescent="0.3">
      <c r="A801" s="23">
        <f>YEAR(Table1[[#This Row],[Order Date]])</f>
        <v>2015</v>
      </c>
      <c r="B801" s="6" t="s">
        <v>767</v>
      </c>
    </row>
    <row r="802" spans="1:2" x14ac:dyDescent="0.3">
      <c r="A802" s="22">
        <f>YEAR(Table1[[#This Row],[Order Date]])</f>
        <v>2015</v>
      </c>
      <c r="B802" s="5" t="s">
        <v>809</v>
      </c>
    </row>
    <row r="803" spans="1:2" x14ac:dyDescent="0.3">
      <c r="A803" s="23">
        <f>YEAR(Table1[[#This Row],[Order Date]])</f>
        <v>2015</v>
      </c>
      <c r="B803" s="6" t="s">
        <v>2056</v>
      </c>
    </row>
    <row r="804" spans="1:2" x14ac:dyDescent="0.3">
      <c r="A804" s="22">
        <f>YEAR(Table1[[#This Row],[Order Date]])</f>
        <v>2015</v>
      </c>
      <c r="B804" s="5" t="s">
        <v>937</v>
      </c>
    </row>
    <row r="805" spans="1:2" x14ac:dyDescent="0.3">
      <c r="A805" s="23">
        <f>YEAR(Table1[[#This Row],[Order Date]])</f>
        <v>2015</v>
      </c>
      <c r="B805" s="6" t="s">
        <v>2101</v>
      </c>
    </row>
    <row r="806" spans="1:2" x14ac:dyDescent="0.3">
      <c r="A806" s="22">
        <f>YEAR(Table1[[#This Row],[Order Date]])</f>
        <v>2015</v>
      </c>
      <c r="B806" s="5" t="s">
        <v>1144</v>
      </c>
    </row>
    <row r="807" spans="1:2" x14ac:dyDescent="0.3">
      <c r="A807" s="23">
        <f>YEAR(Table1[[#This Row],[Order Date]])</f>
        <v>2015</v>
      </c>
      <c r="B807" s="6" t="s">
        <v>431</v>
      </c>
    </row>
    <row r="808" spans="1:2" x14ac:dyDescent="0.3">
      <c r="A808" s="22">
        <f>YEAR(Table1[[#This Row],[Order Date]])</f>
        <v>2015</v>
      </c>
      <c r="B808" s="5" t="s">
        <v>981</v>
      </c>
    </row>
    <row r="809" spans="1:2" x14ac:dyDescent="0.3">
      <c r="A809" s="23">
        <f>YEAR(Table1[[#This Row],[Order Date]])</f>
        <v>2015</v>
      </c>
      <c r="B809" s="6" t="s">
        <v>981</v>
      </c>
    </row>
    <row r="810" spans="1:2" x14ac:dyDescent="0.3">
      <c r="A810" s="22">
        <f>YEAR(Table1[[#This Row],[Order Date]])</f>
        <v>2015</v>
      </c>
      <c r="B810" s="5" t="s">
        <v>981</v>
      </c>
    </row>
    <row r="811" spans="1:2" x14ac:dyDescent="0.3">
      <c r="A811" s="23">
        <f>YEAR(Table1[[#This Row],[Order Date]])</f>
        <v>2015</v>
      </c>
      <c r="B811" s="6" t="s">
        <v>1782</v>
      </c>
    </row>
    <row r="812" spans="1:2" x14ac:dyDescent="0.3">
      <c r="A812" s="22">
        <f>YEAR(Table1[[#This Row],[Order Date]])</f>
        <v>2015</v>
      </c>
      <c r="B812" s="5" t="s">
        <v>1455</v>
      </c>
    </row>
    <row r="813" spans="1:2" x14ac:dyDescent="0.3">
      <c r="A813" s="23">
        <f>YEAR(Table1[[#This Row],[Order Date]])</f>
        <v>2015</v>
      </c>
      <c r="B813" s="6" t="s">
        <v>1031</v>
      </c>
    </row>
    <row r="814" spans="1:2" x14ac:dyDescent="0.3">
      <c r="A814" s="22">
        <f>YEAR(Table1[[#This Row],[Order Date]])</f>
        <v>2015</v>
      </c>
      <c r="B814" s="5" t="s">
        <v>761</v>
      </c>
    </row>
    <row r="815" spans="1:2" x14ac:dyDescent="0.3">
      <c r="A815" s="23">
        <f>YEAR(Table1[[#This Row],[Order Date]])</f>
        <v>2015</v>
      </c>
      <c r="B815" s="6" t="s">
        <v>1643</v>
      </c>
    </row>
    <row r="816" spans="1:2" x14ac:dyDescent="0.3">
      <c r="A816" s="22">
        <f>YEAR(Table1[[#This Row],[Order Date]])</f>
        <v>2015</v>
      </c>
      <c r="B816" s="5" t="s">
        <v>586</v>
      </c>
    </row>
    <row r="817" spans="1:2" x14ac:dyDescent="0.3">
      <c r="A817" s="23">
        <f>YEAR(Table1[[#This Row],[Order Date]])</f>
        <v>2015</v>
      </c>
      <c r="B817" s="6" t="s">
        <v>2274</v>
      </c>
    </row>
    <row r="818" spans="1:2" x14ac:dyDescent="0.3">
      <c r="A818" s="22">
        <f>YEAR(Table1[[#This Row],[Order Date]])</f>
        <v>2015</v>
      </c>
      <c r="B818" s="5" t="s">
        <v>2274</v>
      </c>
    </row>
    <row r="819" spans="1:2" x14ac:dyDescent="0.3">
      <c r="A819" s="23">
        <f>YEAR(Table1[[#This Row],[Order Date]])</f>
        <v>2015</v>
      </c>
      <c r="B819" s="6" t="s">
        <v>2340</v>
      </c>
    </row>
    <row r="820" spans="1:2" x14ac:dyDescent="0.3">
      <c r="A820" s="22">
        <f>YEAR(Table1[[#This Row],[Order Date]])</f>
        <v>2015</v>
      </c>
      <c r="B820" s="5" t="s">
        <v>954</v>
      </c>
    </row>
    <row r="821" spans="1:2" x14ac:dyDescent="0.3">
      <c r="A821" s="23">
        <f>YEAR(Table1[[#This Row],[Order Date]])</f>
        <v>2015</v>
      </c>
      <c r="B821" s="6" t="s">
        <v>1403</v>
      </c>
    </row>
    <row r="822" spans="1:2" x14ac:dyDescent="0.3">
      <c r="A822" s="22">
        <f>YEAR(Table1[[#This Row],[Order Date]])</f>
        <v>2015</v>
      </c>
      <c r="B822" s="5" t="s">
        <v>570</v>
      </c>
    </row>
    <row r="823" spans="1:2" x14ac:dyDescent="0.3">
      <c r="A823" s="23">
        <f>YEAR(Table1[[#This Row],[Order Date]])</f>
        <v>2015</v>
      </c>
      <c r="B823" s="6" t="s">
        <v>1221</v>
      </c>
    </row>
    <row r="824" spans="1:2" x14ac:dyDescent="0.3">
      <c r="A824" s="22">
        <f>YEAR(Table1[[#This Row],[Order Date]])</f>
        <v>2015</v>
      </c>
      <c r="B824" s="5" t="s">
        <v>646</v>
      </c>
    </row>
    <row r="825" spans="1:2" x14ac:dyDescent="0.3">
      <c r="A825" s="23">
        <f>YEAR(Table1[[#This Row],[Order Date]])</f>
        <v>2015</v>
      </c>
      <c r="B825" s="6" t="s">
        <v>1018</v>
      </c>
    </row>
    <row r="826" spans="1:2" x14ac:dyDescent="0.3">
      <c r="A826" s="22">
        <f>YEAR(Table1[[#This Row],[Order Date]])</f>
        <v>2015</v>
      </c>
      <c r="B826" s="5" t="s">
        <v>1018</v>
      </c>
    </row>
    <row r="827" spans="1:2" x14ac:dyDescent="0.3">
      <c r="A827" s="23">
        <f>YEAR(Table1[[#This Row],[Order Date]])</f>
        <v>2015</v>
      </c>
      <c r="B827" s="6" t="s">
        <v>1865</v>
      </c>
    </row>
    <row r="828" spans="1:2" x14ac:dyDescent="0.3">
      <c r="A828" s="22">
        <f>YEAR(Table1[[#This Row],[Order Date]])</f>
        <v>2015</v>
      </c>
      <c r="B828" s="5" t="s">
        <v>1865</v>
      </c>
    </row>
    <row r="829" spans="1:2" x14ac:dyDescent="0.3">
      <c r="A829" s="23">
        <f>YEAR(Table1[[#This Row],[Order Date]])</f>
        <v>2015</v>
      </c>
      <c r="B829" s="6" t="s">
        <v>1867</v>
      </c>
    </row>
    <row r="830" spans="1:2" x14ac:dyDescent="0.3">
      <c r="A830" s="22">
        <f>YEAR(Table1[[#This Row],[Order Date]])</f>
        <v>2015</v>
      </c>
      <c r="B830" s="5" t="s">
        <v>980</v>
      </c>
    </row>
    <row r="831" spans="1:2" x14ac:dyDescent="0.3">
      <c r="A831" s="23">
        <f>YEAR(Table1[[#This Row],[Order Date]])</f>
        <v>2015</v>
      </c>
      <c r="B831" s="6" t="s">
        <v>2103</v>
      </c>
    </row>
    <row r="832" spans="1:2" x14ac:dyDescent="0.3">
      <c r="A832" s="22">
        <f>YEAR(Table1[[#This Row],[Order Date]])</f>
        <v>2015</v>
      </c>
      <c r="B832" s="5" t="s">
        <v>1152</v>
      </c>
    </row>
    <row r="833" spans="1:2" x14ac:dyDescent="0.3">
      <c r="A833" s="23">
        <f>YEAR(Table1[[#This Row],[Order Date]])</f>
        <v>2015</v>
      </c>
      <c r="B833" s="6" t="s">
        <v>1871</v>
      </c>
    </row>
    <row r="834" spans="1:2" x14ac:dyDescent="0.3">
      <c r="A834" s="22">
        <f>YEAR(Table1[[#This Row],[Order Date]])</f>
        <v>2015</v>
      </c>
      <c r="B834" s="5" t="s">
        <v>937</v>
      </c>
    </row>
    <row r="835" spans="1:2" x14ac:dyDescent="0.3">
      <c r="A835" s="23">
        <f>YEAR(Table1[[#This Row],[Order Date]])</f>
        <v>2015</v>
      </c>
      <c r="B835" s="6" t="s">
        <v>1457</v>
      </c>
    </row>
    <row r="836" spans="1:2" x14ac:dyDescent="0.3">
      <c r="A836" s="22">
        <f>YEAR(Table1[[#This Row],[Order Date]])</f>
        <v>2015</v>
      </c>
      <c r="B836" s="5" t="s">
        <v>1457</v>
      </c>
    </row>
    <row r="837" spans="1:2" x14ac:dyDescent="0.3">
      <c r="A837" s="23">
        <f>YEAR(Table1[[#This Row],[Order Date]])</f>
        <v>2015</v>
      </c>
      <c r="B837" s="6" t="s">
        <v>556</v>
      </c>
    </row>
    <row r="838" spans="1:2" x14ac:dyDescent="0.3">
      <c r="A838" s="22">
        <f>YEAR(Table1[[#This Row],[Order Date]])</f>
        <v>2015</v>
      </c>
      <c r="B838" s="5" t="s">
        <v>556</v>
      </c>
    </row>
    <row r="839" spans="1:2" x14ac:dyDescent="0.3">
      <c r="A839" s="23">
        <f>YEAR(Table1[[#This Row],[Order Date]])</f>
        <v>2015</v>
      </c>
      <c r="B839" s="6" t="s">
        <v>170</v>
      </c>
    </row>
    <row r="840" spans="1:2" x14ac:dyDescent="0.3">
      <c r="A840" s="22">
        <f>YEAR(Table1[[#This Row],[Order Date]])</f>
        <v>2015</v>
      </c>
      <c r="B840" s="5" t="s">
        <v>1654</v>
      </c>
    </row>
    <row r="841" spans="1:2" x14ac:dyDescent="0.3">
      <c r="A841" s="23">
        <f>YEAR(Table1[[#This Row],[Order Date]])</f>
        <v>2015</v>
      </c>
      <c r="B841" s="6" t="s">
        <v>1071</v>
      </c>
    </row>
    <row r="842" spans="1:2" x14ac:dyDescent="0.3">
      <c r="A842" s="22">
        <f>YEAR(Table1[[#This Row],[Order Date]])</f>
        <v>2015</v>
      </c>
      <c r="B842" s="5" t="s">
        <v>2275</v>
      </c>
    </row>
    <row r="843" spans="1:2" x14ac:dyDescent="0.3">
      <c r="A843" s="23">
        <f>YEAR(Table1[[#This Row],[Order Date]])</f>
        <v>2015</v>
      </c>
      <c r="B843" s="6" t="s">
        <v>2166</v>
      </c>
    </row>
    <row r="844" spans="1:2" x14ac:dyDescent="0.3">
      <c r="A844" s="22">
        <f>YEAR(Table1[[#This Row],[Order Date]])</f>
        <v>2015</v>
      </c>
      <c r="B844" s="5" t="s">
        <v>806</v>
      </c>
    </row>
    <row r="845" spans="1:2" x14ac:dyDescent="0.3">
      <c r="A845" s="23">
        <f>YEAR(Table1[[#This Row],[Order Date]])</f>
        <v>2015</v>
      </c>
      <c r="B845" s="6" t="s">
        <v>806</v>
      </c>
    </row>
    <row r="846" spans="1:2" x14ac:dyDescent="0.3">
      <c r="A846" s="22">
        <f>YEAR(Table1[[#This Row],[Order Date]])</f>
        <v>2015</v>
      </c>
      <c r="B846" s="5" t="s">
        <v>806</v>
      </c>
    </row>
    <row r="847" spans="1:2" x14ac:dyDescent="0.3">
      <c r="A847" s="23">
        <f>YEAR(Table1[[#This Row],[Order Date]])</f>
        <v>2015</v>
      </c>
      <c r="B847" s="6" t="s">
        <v>1193</v>
      </c>
    </row>
    <row r="848" spans="1:2" x14ac:dyDescent="0.3">
      <c r="A848" s="22">
        <f>YEAR(Table1[[#This Row],[Order Date]])</f>
        <v>2015</v>
      </c>
      <c r="B848" s="5" t="s">
        <v>1193</v>
      </c>
    </row>
    <row r="849" spans="1:2" x14ac:dyDescent="0.3">
      <c r="A849" s="23">
        <f>YEAR(Table1[[#This Row],[Order Date]])</f>
        <v>2015</v>
      </c>
      <c r="B849" s="6" t="s">
        <v>950</v>
      </c>
    </row>
    <row r="850" spans="1:2" x14ac:dyDescent="0.3">
      <c r="A850" s="22">
        <f>YEAR(Table1[[#This Row],[Order Date]])</f>
        <v>2015</v>
      </c>
      <c r="B850" s="5" t="s">
        <v>125</v>
      </c>
    </row>
    <row r="851" spans="1:2" x14ac:dyDescent="0.3">
      <c r="A851" s="23">
        <f>YEAR(Table1[[#This Row],[Order Date]])</f>
        <v>2015</v>
      </c>
      <c r="B851" s="6" t="s">
        <v>125</v>
      </c>
    </row>
    <row r="852" spans="1:2" x14ac:dyDescent="0.3">
      <c r="A852" s="22">
        <f>YEAR(Table1[[#This Row],[Order Date]])</f>
        <v>2015</v>
      </c>
      <c r="B852" s="5" t="s">
        <v>260</v>
      </c>
    </row>
    <row r="853" spans="1:2" x14ac:dyDescent="0.3">
      <c r="A853" s="23">
        <f>YEAR(Table1[[#This Row],[Order Date]])</f>
        <v>2015</v>
      </c>
      <c r="B853" s="6" t="s">
        <v>1018</v>
      </c>
    </row>
    <row r="854" spans="1:2" x14ac:dyDescent="0.3">
      <c r="A854" s="22">
        <f>YEAR(Table1[[#This Row],[Order Date]])</f>
        <v>2015</v>
      </c>
      <c r="B854" s="5" t="s">
        <v>2007</v>
      </c>
    </row>
    <row r="855" spans="1:2" x14ac:dyDescent="0.3">
      <c r="A855" s="23">
        <f>YEAR(Table1[[#This Row],[Order Date]])</f>
        <v>2015</v>
      </c>
      <c r="B855" s="6" t="s">
        <v>948</v>
      </c>
    </row>
    <row r="856" spans="1:2" x14ac:dyDescent="0.3">
      <c r="A856" s="22">
        <f>YEAR(Table1[[#This Row],[Order Date]])</f>
        <v>2015</v>
      </c>
      <c r="B856" s="5" t="s">
        <v>948</v>
      </c>
    </row>
    <row r="857" spans="1:2" x14ac:dyDescent="0.3">
      <c r="A857" s="23">
        <f>YEAR(Table1[[#This Row],[Order Date]])</f>
        <v>2015</v>
      </c>
      <c r="B857" s="6" t="s">
        <v>605</v>
      </c>
    </row>
    <row r="858" spans="1:2" x14ac:dyDescent="0.3">
      <c r="A858" s="22">
        <f>YEAR(Table1[[#This Row],[Order Date]])</f>
        <v>2015</v>
      </c>
      <c r="B858" s="5" t="s">
        <v>605</v>
      </c>
    </row>
    <row r="859" spans="1:2" x14ac:dyDescent="0.3">
      <c r="A859" s="23">
        <f>YEAR(Table1[[#This Row],[Order Date]])</f>
        <v>2015</v>
      </c>
      <c r="B859" s="6" t="s">
        <v>1149</v>
      </c>
    </row>
    <row r="860" spans="1:2" x14ac:dyDescent="0.3">
      <c r="A860" s="22">
        <f>YEAR(Table1[[#This Row],[Order Date]])</f>
        <v>2015</v>
      </c>
      <c r="B860" s="5" t="s">
        <v>697</v>
      </c>
    </row>
    <row r="861" spans="1:2" x14ac:dyDescent="0.3">
      <c r="A861" s="23">
        <f>YEAR(Table1[[#This Row],[Order Date]])</f>
        <v>2015</v>
      </c>
      <c r="B861" s="6" t="s">
        <v>2018</v>
      </c>
    </row>
    <row r="862" spans="1:2" x14ac:dyDescent="0.3">
      <c r="A862" s="22">
        <f>YEAR(Table1[[#This Row],[Order Date]])</f>
        <v>2015</v>
      </c>
      <c r="B862" s="5" t="s">
        <v>1243</v>
      </c>
    </row>
    <row r="863" spans="1:2" x14ac:dyDescent="0.3">
      <c r="A863" s="23">
        <f>YEAR(Table1[[#This Row],[Order Date]])</f>
        <v>2015</v>
      </c>
      <c r="B863" s="6" t="s">
        <v>2057</v>
      </c>
    </row>
    <row r="864" spans="1:2" x14ac:dyDescent="0.3">
      <c r="A864" s="22">
        <f>YEAR(Table1[[#This Row],[Order Date]])</f>
        <v>2015</v>
      </c>
      <c r="B864" s="5" t="s">
        <v>2132</v>
      </c>
    </row>
    <row r="865" spans="1:2" x14ac:dyDescent="0.3">
      <c r="A865" s="23">
        <f>YEAR(Table1[[#This Row],[Order Date]])</f>
        <v>2015</v>
      </c>
      <c r="B865" s="6" t="s">
        <v>1379</v>
      </c>
    </row>
    <row r="866" spans="1:2" x14ac:dyDescent="0.3">
      <c r="A866" s="22">
        <f>YEAR(Table1[[#This Row],[Order Date]])</f>
        <v>2015</v>
      </c>
      <c r="B866" s="5" t="s">
        <v>1379</v>
      </c>
    </row>
    <row r="867" spans="1:2" x14ac:dyDescent="0.3">
      <c r="A867" s="23">
        <f>YEAR(Table1[[#This Row],[Order Date]])</f>
        <v>2015</v>
      </c>
      <c r="B867" s="6" t="s">
        <v>852</v>
      </c>
    </row>
    <row r="868" spans="1:2" x14ac:dyDescent="0.3">
      <c r="A868" s="22">
        <f>YEAR(Table1[[#This Row],[Order Date]])</f>
        <v>2015</v>
      </c>
      <c r="B868" s="5" t="s">
        <v>2135</v>
      </c>
    </row>
    <row r="869" spans="1:2" x14ac:dyDescent="0.3">
      <c r="A869" s="23">
        <f>YEAR(Table1[[#This Row],[Order Date]])</f>
        <v>2015</v>
      </c>
      <c r="B869" s="6" t="s">
        <v>2135</v>
      </c>
    </row>
    <row r="870" spans="1:2" x14ac:dyDescent="0.3">
      <c r="A870" s="22">
        <f>YEAR(Table1[[#This Row],[Order Date]])</f>
        <v>2015</v>
      </c>
      <c r="B870" s="5" t="s">
        <v>1418</v>
      </c>
    </row>
    <row r="871" spans="1:2" x14ac:dyDescent="0.3">
      <c r="A871" s="23">
        <f>YEAR(Table1[[#This Row],[Order Date]])</f>
        <v>2015</v>
      </c>
      <c r="B871" s="6" t="s">
        <v>955</v>
      </c>
    </row>
    <row r="872" spans="1:2" x14ac:dyDescent="0.3">
      <c r="A872" s="22">
        <f>YEAR(Table1[[#This Row],[Order Date]])</f>
        <v>2015</v>
      </c>
      <c r="B872" s="5" t="s">
        <v>1223</v>
      </c>
    </row>
    <row r="873" spans="1:2" x14ac:dyDescent="0.3">
      <c r="A873" s="23">
        <f>YEAR(Table1[[#This Row],[Order Date]])</f>
        <v>2015</v>
      </c>
      <c r="B873" s="6" t="s">
        <v>1202</v>
      </c>
    </row>
    <row r="874" spans="1:2" x14ac:dyDescent="0.3">
      <c r="A874" s="22">
        <f>YEAR(Table1[[#This Row],[Order Date]])</f>
        <v>2015</v>
      </c>
      <c r="B874" s="5" t="s">
        <v>1202</v>
      </c>
    </row>
    <row r="875" spans="1:2" x14ac:dyDescent="0.3">
      <c r="A875" s="23">
        <f>YEAR(Table1[[#This Row],[Order Date]])</f>
        <v>2015</v>
      </c>
      <c r="B875" s="6" t="s">
        <v>1071</v>
      </c>
    </row>
    <row r="876" spans="1:2" x14ac:dyDescent="0.3">
      <c r="A876" s="22">
        <f>YEAR(Table1[[#This Row],[Order Date]])</f>
        <v>2015</v>
      </c>
      <c r="B876" s="5" t="s">
        <v>1071</v>
      </c>
    </row>
    <row r="877" spans="1:2" x14ac:dyDescent="0.3">
      <c r="A877" s="23">
        <f>YEAR(Table1[[#This Row],[Order Date]])</f>
        <v>2015</v>
      </c>
      <c r="B877" s="6" t="s">
        <v>1071</v>
      </c>
    </row>
    <row r="878" spans="1:2" x14ac:dyDescent="0.3">
      <c r="A878" s="22">
        <f>YEAR(Table1[[#This Row],[Order Date]])</f>
        <v>2015</v>
      </c>
      <c r="B878" s="5" t="s">
        <v>1071</v>
      </c>
    </row>
    <row r="879" spans="1:2" x14ac:dyDescent="0.3">
      <c r="A879" s="23">
        <f>YEAR(Table1[[#This Row],[Order Date]])</f>
        <v>2015</v>
      </c>
      <c r="B879" s="6" t="s">
        <v>415</v>
      </c>
    </row>
    <row r="880" spans="1:2" x14ac:dyDescent="0.3">
      <c r="A880" s="22">
        <f>YEAR(Table1[[#This Row],[Order Date]])</f>
        <v>2015</v>
      </c>
      <c r="B880" s="5" t="s">
        <v>1304</v>
      </c>
    </row>
    <row r="881" spans="1:2" x14ac:dyDescent="0.3">
      <c r="A881" s="23">
        <f>YEAR(Table1[[#This Row],[Order Date]])</f>
        <v>2015</v>
      </c>
      <c r="B881" s="6" t="s">
        <v>1304</v>
      </c>
    </row>
    <row r="882" spans="1:2" x14ac:dyDescent="0.3">
      <c r="A882" s="22">
        <f>YEAR(Table1[[#This Row],[Order Date]])</f>
        <v>2015</v>
      </c>
      <c r="B882" s="5" t="s">
        <v>415</v>
      </c>
    </row>
    <row r="883" spans="1:2" x14ac:dyDescent="0.3">
      <c r="A883" s="23">
        <f>YEAR(Table1[[#This Row],[Order Date]])</f>
        <v>2015</v>
      </c>
      <c r="B883" s="6" t="s">
        <v>312</v>
      </c>
    </row>
    <row r="884" spans="1:2" x14ac:dyDescent="0.3">
      <c r="A884" s="22">
        <f>YEAR(Table1[[#This Row],[Order Date]])</f>
        <v>2015</v>
      </c>
      <c r="B884" s="5" t="s">
        <v>2279</v>
      </c>
    </row>
    <row r="885" spans="1:2" x14ac:dyDescent="0.3">
      <c r="A885" s="23">
        <f>YEAR(Table1[[#This Row],[Order Date]])</f>
        <v>2015</v>
      </c>
      <c r="B885" s="6" t="s">
        <v>1773</v>
      </c>
    </row>
    <row r="886" spans="1:2" x14ac:dyDescent="0.3">
      <c r="A886" s="22">
        <f>YEAR(Table1[[#This Row],[Order Date]])</f>
        <v>2015</v>
      </c>
      <c r="B886" s="5" t="s">
        <v>1773</v>
      </c>
    </row>
    <row r="887" spans="1:2" x14ac:dyDescent="0.3">
      <c r="A887" s="23">
        <f>YEAR(Table1[[#This Row],[Order Date]])</f>
        <v>2015</v>
      </c>
      <c r="B887" s="6" t="s">
        <v>1773</v>
      </c>
    </row>
    <row r="888" spans="1:2" x14ac:dyDescent="0.3">
      <c r="A888" s="22">
        <f>YEAR(Table1[[#This Row],[Order Date]])</f>
        <v>2015</v>
      </c>
      <c r="B888" s="5" t="s">
        <v>1773</v>
      </c>
    </row>
    <row r="889" spans="1:2" x14ac:dyDescent="0.3">
      <c r="A889" s="23">
        <f>YEAR(Table1[[#This Row],[Order Date]])</f>
        <v>2015</v>
      </c>
      <c r="B889" s="6" t="s">
        <v>1455</v>
      </c>
    </row>
    <row r="890" spans="1:2" x14ac:dyDescent="0.3">
      <c r="A890" s="22">
        <f>YEAR(Table1[[#This Row],[Order Date]])</f>
        <v>2015</v>
      </c>
      <c r="B890" s="5" t="s">
        <v>1676</v>
      </c>
    </row>
    <row r="891" spans="1:2" x14ac:dyDescent="0.3">
      <c r="A891" s="23">
        <f>YEAR(Table1[[#This Row],[Order Date]])</f>
        <v>2015</v>
      </c>
      <c r="B891" s="6" t="s">
        <v>1676</v>
      </c>
    </row>
    <row r="892" spans="1:2" x14ac:dyDescent="0.3">
      <c r="A892" s="22">
        <f>YEAR(Table1[[#This Row],[Order Date]])</f>
        <v>2015</v>
      </c>
      <c r="B892" s="5" t="s">
        <v>1676</v>
      </c>
    </row>
    <row r="893" spans="1:2" x14ac:dyDescent="0.3">
      <c r="A893" s="23">
        <f>YEAR(Table1[[#This Row],[Order Date]])</f>
        <v>2015</v>
      </c>
      <c r="B893" s="6" t="s">
        <v>352</v>
      </c>
    </row>
    <row r="894" spans="1:2" x14ac:dyDescent="0.3">
      <c r="A894" s="22">
        <f>YEAR(Table1[[#This Row],[Order Date]])</f>
        <v>2015</v>
      </c>
      <c r="B894" s="5" t="s">
        <v>776</v>
      </c>
    </row>
    <row r="895" spans="1:2" x14ac:dyDescent="0.3">
      <c r="A895" s="23">
        <f>YEAR(Table1[[#This Row],[Order Date]])</f>
        <v>2015</v>
      </c>
      <c r="B895" s="6" t="s">
        <v>776</v>
      </c>
    </row>
    <row r="896" spans="1:2" x14ac:dyDescent="0.3">
      <c r="A896" s="22">
        <f>YEAR(Table1[[#This Row],[Order Date]])</f>
        <v>2015</v>
      </c>
      <c r="B896" s="5" t="s">
        <v>776</v>
      </c>
    </row>
    <row r="897" spans="1:2" x14ac:dyDescent="0.3">
      <c r="A897" s="23">
        <f>YEAR(Table1[[#This Row],[Order Date]])</f>
        <v>2015</v>
      </c>
      <c r="B897" s="6" t="s">
        <v>1896</v>
      </c>
    </row>
    <row r="898" spans="1:2" x14ac:dyDescent="0.3">
      <c r="A898" s="22">
        <f>YEAR(Table1[[#This Row],[Order Date]])</f>
        <v>2015</v>
      </c>
      <c r="B898" s="5" t="s">
        <v>1896</v>
      </c>
    </row>
    <row r="899" spans="1:2" x14ac:dyDescent="0.3">
      <c r="A899" s="23">
        <f>YEAR(Table1[[#This Row],[Order Date]])</f>
        <v>2015</v>
      </c>
      <c r="B899" s="6" t="s">
        <v>1896</v>
      </c>
    </row>
    <row r="900" spans="1:2" x14ac:dyDescent="0.3">
      <c r="A900" s="22">
        <f>YEAR(Table1[[#This Row],[Order Date]])</f>
        <v>2015</v>
      </c>
      <c r="B900" s="5" t="s">
        <v>1896</v>
      </c>
    </row>
    <row r="901" spans="1:2" x14ac:dyDescent="0.3">
      <c r="A901" s="23">
        <f>YEAR(Table1[[#This Row],[Order Date]])</f>
        <v>2015</v>
      </c>
      <c r="B901" s="6" t="s">
        <v>870</v>
      </c>
    </row>
    <row r="902" spans="1:2" x14ac:dyDescent="0.3">
      <c r="A902" s="22">
        <f>YEAR(Table1[[#This Row],[Order Date]])</f>
        <v>2015</v>
      </c>
      <c r="B902" s="5" t="s">
        <v>1239</v>
      </c>
    </row>
    <row r="903" spans="1:2" x14ac:dyDescent="0.3">
      <c r="A903" s="23">
        <f>YEAR(Table1[[#This Row],[Order Date]])</f>
        <v>2015</v>
      </c>
      <c r="B903" s="6" t="s">
        <v>828</v>
      </c>
    </row>
    <row r="904" spans="1:2" x14ac:dyDescent="0.3">
      <c r="A904" s="22">
        <f>YEAR(Table1[[#This Row],[Order Date]])</f>
        <v>2015</v>
      </c>
      <c r="B904" s="5" t="s">
        <v>1798</v>
      </c>
    </row>
    <row r="905" spans="1:2" x14ac:dyDescent="0.3">
      <c r="A905" s="23">
        <f>YEAR(Table1[[#This Row],[Order Date]])</f>
        <v>2015</v>
      </c>
      <c r="B905" s="6" t="s">
        <v>1841</v>
      </c>
    </row>
    <row r="906" spans="1:2" x14ac:dyDescent="0.3">
      <c r="A906" s="22">
        <f>YEAR(Table1[[#This Row],[Order Date]])</f>
        <v>2015</v>
      </c>
      <c r="B906" s="5" t="s">
        <v>1841</v>
      </c>
    </row>
    <row r="907" spans="1:2" x14ac:dyDescent="0.3">
      <c r="A907" s="23">
        <f>YEAR(Table1[[#This Row],[Order Date]])</f>
        <v>2015</v>
      </c>
      <c r="B907" s="6" t="s">
        <v>1841</v>
      </c>
    </row>
    <row r="908" spans="1:2" x14ac:dyDescent="0.3">
      <c r="A908" s="22">
        <f>YEAR(Table1[[#This Row],[Order Date]])</f>
        <v>2015</v>
      </c>
      <c r="B908" s="5" t="s">
        <v>1841</v>
      </c>
    </row>
    <row r="909" spans="1:2" x14ac:dyDescent="0.3">
      <c r="A909" s="23">
        <f>YEAR(Table1[[#This Row],[Order Date]])</f>
        <v>2015</v>
      </c>
      <c r="B909" s="6" t="s">
        <v>1841</v>
      </c>
    </row>
    <row r="910" spans="1:2" x14ac:dyDescent="0.3">
      <c r="A910" s="22">
        <f>YEAR(Table1[[#This Row],[Order Date]])</f>
        <v>2015</v>
      </c>
      <c r="B910" s="5" t="s">
        <v>1340</v>
      </c>
    </row>
    <row r="911" spans="1:2" x14ac:dyDescent="0.3">
      <c r="A911" s="23">
        <f>YEAR(Table1[[#This Row],[Order Date]])</f>
        <v>2015</v>
      </c>
      <c r="B911" s="6" t="s">
        <v>2139</v>
      </c>
    </row>
    <row r="912" spans="1:2" x14ac:dyDescent="0.3">
      <c r="A912" s="22">
        <f>YEAR(Table1[[#This Row],[Order Date]])</f>
        <v>2015</v>
      </c>
      <c r="B912" s="5" t="s">
        <v>2139</v>
      </c>
    </row>
    <row r="913" spans="1:2" x14ac:dyDescent="0.3">
      <c r="A913" s="23">
        <f>YEAR(Table1[[#This Row],[Order Date]])</f>
        <v>2015</v>
      </c>
      <c r="B913" s="6" t="s">
        <v>646</v>
      </c>
    </row>
    <row r="914" spans="1:2" x14ac:dyDescent="0.3">
      <c r="A914" s="22">
        <f>YEAR(Table1[[#This Row],[Order Date]])</f>
        <v>2015</v>
      </c>
      <c r="B914" s="5" t="s">
        <v>1673</v>
      </c>
    </row>
    <row r="915" spans="1:2" x14ac:dyDescent="0.3">
      <c r="A915" s="23">
        <f>YEAR(Table1[[#This Row],[Order Date]])</f>
        <v>2015</v>
      </c>
      <c r="B915" s="6" t="s">
        <v>2236</v>
      </c>
    </row>
    <row r="916" spans="1:2" x14ac:dyDescent="0.3">
      <c r="A916" s="22">
        <f>YEAR(Table1[[#This Row],[Order Date]])</f>
        <v>2015</v>
      </c>
      <c r="B916" s="5" t="s">
        <v>866</v>
      </c>
    </row>
    <row r="917" spans="1:2" x14ac:dyDescent="0.3">
      <c r="A917" s="23">
        <f>YEAR(Table1[[#This Row],[Order Date]])</f>
        <v>2015</v>
      </c>
      <c r="B917" s="6" t="s">
        <v>186</v>
      </c>
    </row>
    <row r="918" spans="1:2" x14ac:dyDescent="0.3">
      <c r="A918" s="22">
        <f>YEAR(Table1[[#This Row],[Order Date]])</f>
        <v>2015</v>
      </c>
      <c r="B918" s="5" t="s">
        <v>186</v>
      </c>
    </row>
    <row r="919" spans="1:2" x14ac:dyDescent="0.3">
      <c r="A919" s="23">
        <f>YEAR(Table1[[#This Row],[Order Date]])</f>
        <v>2015</v>
      </c>
      <c r="B919" s="6" t="s">
        <v>2081</v>
      </c>
    </row>
    <row r="920" spans="1:2" x14ac:dyDescent="0.3">
      <c r="A920" s="22">
        <f>YEAR(Table1[[#This Row],[Order Date]])</f>
        <v>2015</v>
      </c>
      <c r="B920" s="5" t="s">
        <v>2093</v>
      </c>
    </row>
    <row r="921" spans="1:2" x14ac:dyDescent="0.3">
      <c r="A921" s="23">
        <f>YEAR(Table1[[#This Row],[Order Date]])</f>
        <v>2015</v>
      </c>
      <c r="B921" s="6" t="s">
        <v>1361</v>
      </c>
    </row>
    <row r="922" spans="1:2" x14ac:dyDescent="0.3">
      <c r="A922" s="22">
        <f>YEAR(Table1[[#This Row],[Order Date]])</f>
        <v>2015</v>
      </c>
      <c r="B922" s="5" t="s">
        <v>1361</v>
      </c>
    </row>
    <row r="923" spans="1:2" x14ac:dyDescent="0.3">
      <c r="A923" s="23">
        <f>YEAR(Table1[[#This Row],[Order Date]])</f>
        <v>2015</v>
      </c>
      <c r="B923" s="6" t="s">
        <v>1361</v>
      </c>
    </row>
    <row r="924" spans="1:2" x14ac:dyDescent="0.3">
      <c r="A924" s="22">
        <f>YEAR(Table1[[#This Row],[Order Date]])</f>
        <v>2015</v>
      </c>
      <c r="B924" s="5" t="s">
        <v>852</v>
      </c>
    </row>
    <row r="925" spans="1:2" x14ac:dyDescent="0.3">
      <c r="A925" s="23">
        <f>YEAR(Table1[[#This Row],[Order Date]])</f>
        <v>2015</v>
      </c>
      <c r="B925" s="6" t="s">
        <v>852</v>
      </c>
    </row>
    <row r="926" spans="1:2" x14ac:dyDescent="0.3">
      <c r="A926" s="22">
        <f>YEAR(Table1[[#This Row],[Order Date]])</f>
        <v>2015</v>
      </c>
      <c r="B926" s="5" t="s">
        <v>327</v>
      </c>
    </row>
    <row r="927" spans="1:2" x14ac:dyDescent="0.3">
      <c r="A927" s="23">
        <f>YEAR(Table1[[#This Row],[Order Date]])</f>
        <v>2015</v>
      </c>
      <c r="B927" s="6" t="s">
        <v>2234</v>
      </c>
    </row>
    <row r="928" spans="1:2" x14ac:dyDescent="0.3">
      <c r="A928" s="22">
        <f>YEAR(Table1[[#This Row],[Order Date]])</f>
        <v>2015</v>
      </c>
      <c r="B928" s="5" t="s">
        <v>1846</v>
      </c>
    </row>
    <row r="929" spans="1:2" x14ac:dyDescent="0.3">
      <c r="A929" s="23">
        <f>YEAR(Table1[[#This Row],[Order Date]])</f>
        <v>2015</v>
      </c>
      <c r="B929" s="6" t="s">
        <v>360</v>
      </c>
    </row>
    <row r="930" spans="1:2" x14ac:dyDescent="0.3">
      <c r="A930" s="22">
        <f>YEAR(Table1[[#This Row],[Order Date]])</f>
        <v>2015</v>
      </c>
      <c r="B930" s="5" t="s">
        <v>360</v>
      </c>
    </row>
    <row r="931" spans="1:2" x14ac:dyDescent="0.3">
      <c r="A931" s="23">
        <f>YEAR(Table1[[#This Row],[Order Date]])</f>
        <v>2015</v>
      </c>
      <c r="B931" s="6" t="s">
        <v>360</v>
      </c>
    </row>
    <row r="932" spans="1:2" x14ac:dyDescent="0.3">
      <c r="A932" s="22">
        <f>YEAR(Table1[[#This Row],[Order Date]])</f>
        <v>2015</v>
      </c>
      <c r="B932" s="5" t="s">
        <v>490</v>
      </c>
    </row>
    <row r="933" spans="1:2" x14ac:dyDescent="0.3">
      <c r="A933" s="23">
        <f>YEAR(Table1[[#This Row],[Order Date]])</f>
        <v>2015</v>
      </c>
      <c r="B933" s="6" t="s">
        <v>1452</v>
      </c>
    </row>
    <row r="934" spans="1:2" x14ac:dyDescent="0.3">
      <c r="A934" s="22">
        <f>YEAR(Table1[[#This Row],[Order Date]])</f>
        <v>2015</v>
      </c>
      <c r="B934" s="5" t="s">
        <v>417</v>
      </c>
    </row>
    <row r="935" spans="1:2" x14ac:dyDescent="0.3">
      <c r="A935" s="23">
        <f>YEAR(Table1[[#This Row],[Order Date]])</f>
        <v>2015</v>
      </c>
      <c r="B935" s="6" t="s">
        <v>2060</v>
      </c>
    </row>
    <row r="936" spans="1:2" x14ac:dyDescent="0.3">
      <c r="A936" s="22">
        <f>YEAR(Table1[[#This Row],[Order Date]])</f>
        <v>2015</v>
      </c>
      <c r="B936" s="5" t="s">
        <v>2060</v>
      </c>
    </row>
    <row r="937" spans="1:2" x14ac:dyDescent="0.3">
      <c r="A937" s="23">
        <f>YEAR(Table1[[#This Row],[Order Date]])</f>
        <v>2015</v>
      </c>
      <c r="B937" s="6" t="s">
        <v>1838</v>
      </c>
    </row>
    <row r="938" spans="1:2" x14ac:dyDescent="0.3">
      <c r="A938" s="22">
        <f>YEAR(Table1[[#This Row],[Order Date]])</f>
        <v>2015</v>
      </c>
      <c r="B938" s="5" t="s">
        <v>1673</v>
      </c>
    </row>
    <row r="939" spans="1:2" x14ac:dyDescent="0.3">
      <c r="A939" s="23">
        <f>YEAR(Table1[[#This Row],[Order Date]])</f>
        <v>2015</v>
      </c>
      <c r="B939" s="6" t="s">
        <v>1673</v>
      </c>
    </row>
    <row r="940" spans="1:2" x14ac:dyDescent="0.3">
      <c r="A940" s="22">
        <f>YEAR(Table1[[#This Row],[Order Date]])</f>
        <v>2015</v>
      </c>
      <c r="B940" s="5" t="s">
        <v>1673</v>
      </c>
    </row>
    <row r="941" spans="1:2" x14ac:dyDescent="0.3">
      <c r="A941" s="23">
        <f>YEAR(Table1[[#This Row],[Order Date]])</f>
        <v>2015</v>
      </c>
      <c r="B941" s="6" t="s">
        <v>1673</v>
      </c>
    </row>
    <row r="942" spans="1:2" x14ac:dyDescent="0.3">
      <c r="A942" s="22">
        <f>YEAR(Table1[[#This Row],[Order Date]])</f>
        <v>2015</v>
      </c>
      <c r="B942" s="5" t="s">
        <v>1673</v>
      </c>
    </row>
    <row r="943" spans="1:2" x14ac:dyDescent="0.3">
      <c r="A943" s="23">
        <f>YEAR(Table1[[#This Row],[Order Date]])</f>
        <v>2015</v>
      </c>
      <c r="B943" s="6" t="s">
        <v>1673</v>
      </c>
    </row>
    <row r="944" spans="1:2" x14ac:dyDescent="0.3">
      <c r="A944" s="22">
        <f>YEAR(Table1[[#This Row],[Order Date]])</f>
        <v>2015</v>
      </c>
      <c r="B944" s="5" t="s">
        <v>1673</v>
      </c>
    </row>
    <row r="945" spans="1:2" x14ac:dyDescent="0.3">
      <c r="A945" s="23">
        <f>YEAR(Table1[[#This Row],[Order Date]])</f>
        <v>2015</v>
      </c>
      <c r="B945" s="6" t="s">
        <v>1692</v>
      </c>
    </row>
    <row r="946" spans="1:2" x14ac:dyDescent="0.3">
      <c r="A946" s="22">
        <f>YEAR(Table1[[#This Row],[Order Date]])</f>
        <v>2015</v>
      </c>
      <c r="B946" s="5" t="s">
        <v>504</v>
      </c>
    </row>
    <row r="947" spans="1:2" x14ac:dyDescent="0.3">
      <c r="A947" s="23">
        <f>YEAR(Table1[[#This Row],[Order Date]])</f>
        <v>2015</v>
      </c>
      <c r="B947" s="6" t="s">
        <v>576</v>
      </c>
    </row>
    <row r="948" spans="1:2" x14ac:dyDescent="0.3">
      <c r="A948" s="22">
        <f>YEAR(Table1[[#This Row],[Order Date]])</f>
        <v>2015</v>
      </c>
      <c r="B948" s="5" t="s">
        <v>654</v>
      </c>
    </row>
    <row r="949" spans="1:2" x14ac:dyDescent="0.3">
      <c r="A949" s="23">
        <f>YEAR(Table1[[#This Row],[Order Date]])</f>
        <v>2015</v>
      </c>
      <c r="B949" s="6" t="s">
        <v>654</v>
      </c>
    </row>
    <row r="950" spans="1:2" x14ac:dyDescent="0.3">
      <c r="A950" s="22">
        <f>YEAR(Table1[[#This Row],[Order Date]])</f>
        <v>2015</v>
      </c>
      <c r="B950" s="5" t="s">
        <v>654</v>
      </c>
    </row>
    <row r="951" spans="1:2" x14ac:dyDescent="0.3">
      <c r="A951" s="23">
        <f>YEAR(Table1[[#This Row],[Order Date]])</f>
        <v>2015</v>
      </c>
      <c r="B951" s="6" t="s">
        <v>484</v>
      </c>
    </row>
    <row r="952" spans="1:2" x14ac:dyDescent="0.3">
      <c r="A952" s="22">
        <f>YEAR(Table1[[#This Row],[Order Date]])</f>
        <v>2015</v>
      </c>
      <c r="B952" s="5" t="s">
        <v>220</v>
      </c>
    </row>
    <row r="953" spans="1:2" x14ac:dyDescent="0.3">
      <c r="A953" s="23">
        <f>YEAR(Table1[[#This Row],[Order Date]])</f>
        <v>2015</v>
      </c>
      <c r="B953" s="6" t="s">
        <v>1283</v>
      </c>
    </row>
    <row r="954" spans="1:2" x14ac:dyDescent="0.3">
      <c r="A954" s="22">
        <f>YEAR(Table1[[#This Row],[Order Date]])</f>
        <v>2015</v>
      </c>
      <c r="B954" s="5" t="s">
        <v>901</v>
      </c>
    </row>
    <row r="955" spans="1:2" x14ac:dyDescent="0.3">
      <c r="A955" s="23">
        <f>YEAR(Table1[[#This Row],[Order Date]])</f>
        <v>2015</v>
      </c>
      <c r="B955" s="6" t="s">
        <v>803</v>
      </c>
    </row>
    <row r="956" spans="1:2" x14ac:dyDescent="0.3">
      <c r="A956" s="22">
        <f>YEAR(Table1[[#This Row],[Order Date]])</f>
        <v>2015</v>
      </c>
      <c r="B956" s="5" t="s">
        <v>803</v>
      </c>
    </row>
    <row r="957" spans="1:2" x14ac:dyDescent="0.3">
      <c r="A957" s="23">
        <f>YEAR(Table1[[#This Row],[Order Date]])</f>
        <v>2015</v>
      </c>
      <c r="B957" s="6" t="s">
        <v>2112</v>
      </c>
    </row>
    <row r="958" spans="1:2" x14ac:dyDescent="0.3">
      <c r="A958" s="22">
        <f>YEAR(Table1[[#This Row],[Order Date]])</f>
        <v>2015</v>
      </c>
      <c r="B958" s="5" t="s">
        <v>2112</v>
      </c>
    </row>
    <row r="959" spans="1:2" x14ac:dyDescent="0.3">
      <c r="A959" s="23">
        <f>YEAR(Table1[[#This Row],[Order Date]])</f>
        <v>2015</v>
      </c>
      <c r="B959" s="6" t="s">
        <v>2209</v>
      </c>
    </row>
    <row r="960" spans="1:2" x14ac:dyDescent="0.3">
      <c r="A960" s="22">
        <f>YEAR(Table1[[#This Row],[Order Date]])</f>
        <v>2015</v>
      </c>
      <c r="B960" s="5" t="s">
        <v>1330</v>
      </c>
    </row>
    <row r="961" spans="1:2" x14ac:dyDescent="0.3">
      <c r="A961" s="23">
        <f>YEAR(Table1[[#This Row],[Order Date]])</f>
        <v>2015</v>
      </c>
      <c r="B961" s="6" t="s">
        <v>1330</v>
      </c>
    </row>
    <row r="962" spans="1:2" x14ac:dyDescent="0.3">
      <c r="A962" s="22">
        <f>YEAR(Table1[[#This Row],[Order Date]])</f>
        <v>2015</v>
      </c>
      <c r="B962" s="5" t="s">
        <v>1330</v>
      </c>
    </row>
    <row r="963" spans="1:2" x14ac:dyDescent="0.3">
      <c r="A963" s="23">
        <f>YEAR(Table1[[#This Row],[Order Date]])</f>
        <v>2015</v>
      </c>
      <c r="B963" s="6" t="s">
        <v>839</v>
      </c>
    </row>
    <row r="964" spans="1:2" x14ac:dyDescent="0.3">
      <c r="A964" s="22">
        <f>YEAR(Table1[[#This Row],[Order Date]])</f>
        <v>2015</v>
      </c>
      <c r="B964" s="5" t="s">
        <v>839</v>
      </c>
    </row>
    <row r="965" spans="1:2" x14ac:dyDescent="0.3">
      <c r="A965" s="23">
        <f>YEAR(Table1[[#This Row],[Order Date]])</f>
        <v>2015</v>
      </c>
      <c r="B965" s="6" t="s">
        <v>1912</v>
      </c>
    </row>
    <row r="966" spans="1:2" x14ac:dyDescent="0.3">
      <c r="A966" s="22">
        <f>YEAR(Table1[[#This Row],[Order Date]])</f>
        <v>2015</v>
      </c>
      <c r="B966" s="5" t="s">
        <v>77</v>
      </c>
    </row>
    <row r="967" spans="1:2" x14ac:dyDescent="0.3">
      <c r="A967" s="23">
        <f>YEAR(Table1[[#This Row],[Order Date]])</f>
        <v>2015</v>
      </c>
      <c r="B967" s="6" t="s">
        <v>94</v>
      </c>
    </row>
    <row r="968" spans="1:2" x14ac:dyDescent="0.3">
      <c r="A968" s="22">
        <f>YEAR(Table1[[#This Row],[Order Date]])</f>
        <v>2015</v>
      </c>
      <c r="B968" s="5" t="s">
        <v>1462</v>
      </c>
    </row>
    <row r="969" spans="1:2" x14ac:dyDescent="0.3">
      <c r="A969" s="23">
        <f>YEAR(Table1[[#This Row],[Order Date]])</f>
        <v>2015</v>
      </c>
      <c r="B969" s="6" t="s">
        <v>1462</v>
      </c>
    </row>
    <row r="970" spans="1:2" x14ac:dyDescent="0.3">
      <c r="A970" s="22">
        <f>YEAR(Table1[[#This Row],[Order Date]])</f>
        <v>2015</v>
      </c>
      <c r="B970" s="5" t="s">
        <v>888</v>
      </c>
    </row>
    <row r="971" spans="1:2" x14ac:dyDescent="0.3">
      <c r="A971" s="23">
        <f>YEAR(Table1[[#This Row],[Order Date]])</f>
        <v>2015</v>
      </c>
      <c r="B971" s="6" t="s">
        <v>1511</v>
      </c>
    </row>
    <row r="972" spans="1:2" x14ac:dyDescent="0.3">
      <c r="A972" s="22">
        <f>YEAR(Table1[[#This Row],[Order Date]])</f>
        <v>2015</v>
      </c>
      <c r="B972" s="5" t="s">
        <v>1511</v>
      </c>
    </row>
    <row r="973" spans="1:2" x14ac:dyDescent="0.3">
      <c r="A973" s="23">
        <f>YEAR(Table1[[#This Row],[Order Date]])</f>
        <v>2015</v>
      </c>
      <c r="B973" s="6" t="s">
        <v>2049</v>
      </c>
    </row>
    <row r="974" spans="1:2" x14ac:dyDescent="0.3">
      <c r="A974" s="22">
        <f>YEAR(Table1[[#This Row],[Order Date]])</f>
        <v>2015</v>
      </c>
      <c r="B974" s="5" t="s">
        <v>251</v>
      </c>
    </row>
    <row r="975" spans="1:2" x14ac:dyDescent="0.3">
      <c r="A975" s="23">
        <f>YEAR(Table1[[#This Row],[Order Date]])</f>
        <v>2015</v>
      </c>
      <c r="B975" s="6" t="s">
        <v>1692</v>
      </c>
    </row>
    <row r="976" spans="1:2" x14ac:dyDescent="0.3">
      <c r="A976" s="22">
        <f>YEAR(Table1[[#This Row],[Order Date]])</f>
        <v>2015</v>
      </c>
      <c r="B976" s="5" t="s">
        <v>2186</v>
      </c>
    </row>
    <row r="977" spans="1:2" x14ac:dyDescent="0.3">
      <c r="A977" s="23">
        <f>YEAR(Table1[[#This Row],[Order Date]])</f>
        <v>2015</v>
      </c>
      <c r="B977" s="6" t="s">
        <v>1301</v>
      </c>
    </row>
    <row r="978" spans="1:2" x14ac:dyDescent="0.3">
      <c r="A978" s="22">
        <f>YEAR(Table1[[#This Row],[Order Date]])</f>
        <v>2015</v>
      </c>
      <c r="B978" s="5" t="s">
        <v>1824</v>
      </c>
    </row>
    <row r="979" spans="1:2" x14ac:dyDescent="0.3">
      <c r="A979" s="23">
        <f>YEAR(Table1[[#This Row],[Order Date]])</f>
        <v>2015</v>
      </c>
      <c r="B979" s="6" t="s">
        <v>1720</v>
      </c>
    </row>
    <row r="980" spans="1:2" x14ac:dyDescent="0.3">
      <c r="A980" s="22">
        <f>YEAR(Table1[[#This Row],[Order Date]])</f>
        <v>2015</v>
      </c>
      <c r="B980" s="5" t="s">
        <v>1690</v>
      </c>
    </row>
    <row r="981" spans="1:2" x14ac:dyDescent="0.3">
      <c r="A981" s="23">
        <f>YEAR(Table1[[#This Row],[Order Date]])</f>
        <v>2015</v>
      </c>
      <c r="B981" s="6" t="s">
        <v>1690</v>
      </c>
    </row>
    <row r="982" spans="1:2" x14ac:dyDescent="0.3">
      <c r="A982" s="22">
        <f>YEAR(Table1[[#This Row],[Order Date]])</f>
        <v>2015</v>
      </c>
      <c r="B982" s="5" t="s">
        <v>1753</v>
      </c>
    </row>
    <row r="983" spans="1:2" x14ac:dyDescent="0.3">
      <c r="A983" s="23">
        <f>YEAR(Table1[[#This Row],[Order Date]])</f>
        <v>2015</v>
      </c>
      <c r="B983" s="6" t="s">
        <v>1361</v>
      </c>
    </row>
    <row r="984" spans="1:2" x14ac:dyDescent="0.3">
      <c r="A984" s="22">
        <f>YEAR(Table1[[#This Row],[Order Date]])</f>
        <v>2015</v>
      </c>
      <c r="B984" s="5" t="s">
        <v>1778</v>
      </c>
    </row>
    <row r="985" spans="1:2" x14ac:dyDescent="0.3">
      <c r="A985" s="23">
        <f>YEAR(Table1[[#This Row],[Order Date]])</f>
        <v>2015</v>
      </c>
      <c r="B985" s="6" t="s">
        <v>1778</v>
      </c>
    </row>
    <row r="986" spans="1:2" x14ac:dyDescent="0.3">
      <c r="A986" s="22">
        <f>YEAR(Table1[[#This Row],[Order Date]])</f>
        <v>2015</v>
      </c>
      <c r="B986" s="5" t="s">
        <v>1778</v>
      </c>
    </row>
    <row r="987" spans="1:2" x14ac:dyDescent="0.3">
      <c r="A987" s="23">
        <f>YEAR(Table1[[#This Row],[Order Date]])</f>
        <v>2015</v>
      </c>
      <c r="B987" s="6" t="s">
        <v>1064</v>
      </c>
    </row>
    <row r="988" spans="1:2" x14ac:dyDescent="0.3">
      <c r="A988" s="22">
        <f>YEAR(Table1[[#This Row],[Order Date]])</f>
        <v>2015</v>
      </c>
      <c r="B988" s="5" t="s">
        <v>1064</v>
      </c>
    </row>
    <row r="989" spans="1:2" x14ac:dyDescent="0.3">
      <c r="A989" s="23">
        <f>YEAR(Table1[[#This Row],[Order Date]])</f>
        <v>2015</v>
      </c>
      <c r="B989" s="6" t="s">
        <v>1064</v>
      </c>
    </row>
    <row r="990" spans="1:2" x14ac:dyDescent="0.3">
      <c r="A990" s="22">
        <f>YEAR(Table1[[#This Row],[Order Date]])</f>
        <v>2015</v>
      </c>
      <c r="B990" s="5" t="s">
        <v>1921</v>
      </c>
    </row>
    <row r="991" spans="1:2" x14ac:dyDescent="0.3">
      <c r="A991" s="23">
        <f>YEAR(Table1[[#This Row],[Order Date]])</f>
        <v>2015</v>
      </c>
      <c r="B991" s="6" t="s">
        <v>494</v>
      </c>
    </row>
    <row r="992" spans="1:2" x14ac:dyDescent="0.3">
      <c r="A992" s="22">
        <f>YEAR(Table1[[#This Row],[Order Date]])</f>
        <v>2015</v>
      </c>
      <c r="B992" s="5" t="s">
        <v>494</v>
      </c>
    </row>
    <row r="993" spans="1:2" x14ac:dyDescent="0.3">
      <c r="A993" s="23">
        <f>YEAR(Table1[[#This Row],[Order Date]])</f>
        <v>2015</v>
      </c>
      <c r="B993" s="6" t="s">
        <v>1184</v>
      </c>
    </row>
    <row r="994" spans="1:2" x14ac:dyDescent="0.3">
      <c r="A994" s="22">
        <f>YEAR(Table1[[#This Row],[Order Date]])</f>
        <v>2015</v>
      </c>
      <c r="B994" s="5" t="s">
        <v>1184</v>
      </c>
    </row>
    <row r="995" spans="1:2" x14ac:dyDescent="0.3">
      <c r="A995" s="23">
        <f>YEAR(Table1[[#This Row],[Order Date]])</f>
        <v>2015</v>
      </c>
      <c r="B995" s="6" t="s">
        <v>1660</v>
      </c>
    </row>
    <row r="996" spans="1:2" x14ac:dyDescent="0.3">
      <c r="A996" s="22">
        <f>YEAR(Table1[[#This Row],[Order Date]])</f>
        <v>2015</v>
      </c>
      <c r="B996" s="5" t="s">
        <v>519</v>
      </c>
    </row>
    <row r="997" spans="1:2" x14ac:dyDescent="0.3">
      <c r="A997" s="23">
        <f>YEAR(Table1[[#This Row],[Order Date]])</f>
        <v>2015</v>
      </c>
      <c r="B997" s="6" t="s">
        <v>72</v>
      </c>
    </row>
    <row r="998" spans="1:2" x14ac:dyDescent="0.3">
      <c r="A998" s="22">
        <f>YEAR(Table1[[#This Row],[Order Date]])</f>
        <v>2015</v>
      </c>
      <c r="B998" s="5" t="s">
        <v>72</v>
      </c>
    </row>
    <row r="999" spans="1:2" x14ac:dyDescent="0.3">
      <c r="A999" s="23">
        <f>YEAR(Table1[[#This Row],[Order Date]])</f>
        <v>2015</v>
      </c>
      <c r="B999" s="6" t="s">
        <v>1434</v>
      </c>
    </row>
    <row r="1000" spans="1:2" x14ac:dyDescent="0.3">
      <c r="A1000" s="22">
        <f>YEAR(Table1[[#This Row],[Order Date]])</f>
        <v>2015</v>
      </c>
      <c r="B1000" s="5" t="s">
        <v>1434</v>
      </c>
    </row>
    <row r="1001" spans="1:2" x14ac:dyDescent="0.3">
      <c r="A1001" s="23">
        <f>YEAR(Table1[[#This Row],[Order Date]])</f>
        <v>2015</v>
      </c>
      <c r="B1001" s="6" t="s">
        <v>1434</v>
      </c>
    </row>
    <row r="1002" spans="1:2" x14ac:dyDescent="0.3">
      <c r="A1002" s="22">
        <f>YEAR(Table1[[#This Row],[Order Date]])</f>
        <v>2015</v>
      </c>
      <c r="B1002" s="5" t="s">
        <v>1796</v>
      </c>
    </row>
    <row r="1003" spans="1:2" x14ac:dyDescent="0.3">
      <c r="A1003" s="23">
        <f>YEAR(Table1[[#This Row],[Order Date]])</f>
        <v>2015</v>
      </c>
      <c r="B1003" s="6" t="s">
        <v>1796</v>
      </c>
    </row>
    <row r="1004" spans="1:2" x14ac:dyDescent="0.3">
      <c r="A1004" s="22">
        <f>YEAR(Table1[[#This Row],[Order Date]])</f>
        <v>2015</v>
      </c>
      <c r="B1004" s="5" t="s">
        <v>1796</v>
      </c>
    </row>
    <row r="1005" spans="1:2" x14ac:dyDescent="0.3">
      <c r="A1005" s="23">
        <f>YEAR(Table1[[#This Row],[Order Date]])</f>
        <v>2015</v>
      </c>
      <c r="B1005" s="6" t="s">
        <v>225</v>
      </c>
    </row>
    <row r="1006" spans="1:2" x14ac:dyDescent="0.3">
      <c r="A1006" s="22">
        <f>YEAR(Table1[[#This Row],[Order Date]])</f>
        <v>2015</v>
      </c>
      <c r="B1006" s="5" t="s">
        <v>1482</v>
      </c>
    </row>
    <row r="1007" spans="1:2" x14ac:dyDescent="0.3">
      <c r="A1007" s="23">
        <f>YEAR(Table1[[#This Row],[Order Date]])</f>
        <v>2015</v>
      </c>
      <c r="B1007" s="6" t="s">
        <v>1482</v>
      </c>
    </row>
    <row r="1008" spans="1:2" x14ac:dyDescent="0.3">
      <c r="A1008" s="22">
        <f>YEAR(Table1[[#This Row],[Order Date]])</f>
        <v>2015</v>
      </c>
      <c r="B1008" s="5" t="s">
        <v>2144</v>
      </c>
    </row>
    <row r="1009" spans="1:2" x14ac:dyDescent="0.3">
      <c r="A1009" s="23">
        <f>YEAR(Table1[[#This Row],[Order Date]])</f>
        <v>2015</v>
      </c>
      <c r="B1009" s="6" t="s">
        <v>749</v>
      </c>
    </row>
    <row r="1010" spans="1:2" x14ac:dyDescent="0.3">
      <c r="A1010" s="22">
        <f>YEAR(Table1[[#This Row],[Order Date]])</f>
        <v>2015</v>
      </c>
      <c r="B1010" s="5" t="s">
        <v>749</v>
      </c>
    </row>
    <row r="1011" spans="1:2" x14ac:dyDescent="0.3">
      <c r="A1011" s="23">
        <f>YEAR(Table1[[#This Row],[Order Date]])</f>
        <v>2015</v>
      </c>
      <c r="B1011" s="6" t="s">
        <v>890</v>
      </c>
    </row>
    <row r="1012" spans="1:2" x14ac:dyDescent="0.3">
      <c r="A1012" s="22">
        <f>YEAR(Table1[[#This Row],[Order Date]])</f>
        <v>2015</v>
      </c>
      <c r="B1012" s="5" t="s">
        <v>890</v>
      </c>
    </row>
    <row r="1013" spans="1:2" x14ac:dyDescent="0.3">
      <c r="A1013" s="23">
        <f>YEAR(Table1[[#This Row],[Order Date]])</f>
        <v>2015</v>
      </c>
      <c r="B1013" s="6" t="s">
        <v>890</v>
      </c>
    </row>
    <row r="1014" spans="1:2" x14ac:dyDescent="0.3">
      <c r="A1014" s="22">
        <f>YEAR(Table1[[#This Row],[Order Date]])</f>
        <v>2015</v>
      </c>
      <c r="B1014" s="5" t="s">
        <v>570</v>
      </c>
    </row>
    <row r="1015" spans="1:2" x14ac:dyDescent="0.3">
      <c r="A1015" s="23">
        <f>YEAR(Table1[[#This Row],[Order Date]])</f>
        <v>2015</v>
      </c>
      <c r="B1015" s="6" t="s">
        <v>2071</v>
      </c>
    </row>
    <row r="1016" spans="1:2" x14ac:dyDescent="0.3">
      <c r="A1016" s="22">
        <f>YEAR(Table1[[#This Row],[Order Date]])</f>
        <v>2015</v>
      </c>
      <c r="B1016" s="5" t="s">
        <v>2071</v>
      </c>
    </row>
    <row r="1017" spans="1:2" x14ac:dyDescent="0.3">
      <c r="A1017" s="23">
        <f>YEAR(Table1[[#This Row],[Order Date]])</f>
        <v>2015</v>
      </c>
      <c r="B1017" s="6" t="s">
        <v>2238</v>
      </c>
    </row>
    <row r="1018" spans="1:2" x14ac:dyDescent="0.3">
      <c r="A1018" s="22">
        <f>YEAR(Table1[[#This Row],[Order Date]])</f>
        <v>2015</v>
      </c>
      <c r="B1018" s="5" t="s">
        <v>2238</v>
      </c>
    </row>
    <row r="1019" spans="1:2" x14ac:dyDescent="0.3">
      <c r="A1019" s="23">
        <f>YEAR(Table1[[#This Row],[Order Date]])</f>
        <v>2015</v>
      </c>
      <c r="B1019" s="6" t="s">
        <v>1512</v>
      </c>
    </row>
    <row r="1020" spans="1:2" x14ac:dyDescent="0.3">
      <c r="A1020" s="22">
        <f>YEAR(Table1[[#This Row],[Order Date]])</f>
        <v>2015</v>
      </c>
      <c r="B1020" s="5" t="s">
        <v>1841</v>
      </c>
    </row>
    <row r="1021" spans="1:2" x14ac:dyDescent="0.3">
      <c r="A1021" s="23">
        <f>YEAR(Table1[[#This Row],[Order Date]])</f>
        <v>2015</v>
      </c>
      <c r="B1021" s="6" t="s">
        <v>1759</v>
      </c>
    </row>
    <row r="1022" spans="1:2" x14ac:dyDescent="0.3">
      <c r="A1022" s="22">
        <f>YEAR(Table1[[#This Row],[Order Date]])</f>
        <v>2015</v>
      </c>
      <c r="B1022" s="5" t="s">
        <v>1759</v>
      </c>
    </row>
    <row r="1023" spans="1:2" x14ac:dyDescent="0.3">
      <c r="A1023" s="23">
        <f>YEAR(Table1[[#This Row],[Order Date]])</f>
        <v>2015</v>
      </c>
      <c r="B1023" s="6" t="s">
        <v>1759</v>
      </c>
    </row>
    <row r="1024" spans="1:2" x14ac:dyDescent="0.3">
      <c r="A1024" s="22">
        <f>YEAR(Table1[[#This Row],[Order Date]])</f>
        <v>2015</v>
      </c>
      <c r="B1024" s="5" t="s">
        <v>1759</v>
      </c>
    </row>
    <row r="1025" spans="1:2" x14ac:dyDescent="0.3">
      <c r="A1025" s="23">
        <f>YEAR(Table1[[#This Row],[Order Date]])</f>
        <v>2015</v>
      </c>
      <c r="B1025" s="6" t="s">
        <v>1759</v>
      </c>
    </row>
    <row r="1026" spans="1:2" x14ac:dyDescent="0.3">
      <c r="A1026" s="22">
        <f>YEAR(Table1[[#This Row],[Order Date]])</f>
        <v>2015</v>
      </c>
      <c r="B1026" s="5" t="s">
        <v>858</v>
      </c>
    </row>
    <row r="1027" spans="1:2" x14ac:dyDescent="0.3">
      <c r="A1027" s="23">
        <f>YEAR(Table1[[#This Row],[Order Date]])</f>
        <v>2015</v>
      </c>
      <c r="B1027" s="6" t="s">
        <v>1846</v>
      </c>
    </row>
    <row r="1028" spans="1:2" x14ac:dyDescent="0.3">
      <c r="A1028" s="22">
        <f>YEAR(Table1[[#This Row],[Order Date]])</f>
        <v>2015</v>
      </c>
      <c r="B1028" s="5" t="s">
        <v>1847</v>
      </c>
    </row>
    <row r="1029" spans="1:2" x14ac:dyDescent="0.3">
      <c r="A1029" s="23">
        <f>YEAR(Table1[[#This Row],[Order Date]])</f>
        <v>2015</v>
      </c>
      <c r="B1029" s="6" t="s">
        <v>1847</v>
      </c>
    </row>
    <row r="1030" spans="1:2" x14ac:dyDescent="0.3">
      <c r="A1030" s="22">
        <f>YEAR(Table1[[#This Row],[Order Date]])</f>
        <v>2015</v>
      </c>
      <c r="B1030" s="5" t="s">
        <v>1847</v>
      </c>
    </row>
    <row r="1031" spans="1:2" x14ac:dyDescent="0.3">
      <c r="A1031" s="23">
        <f>YEAR(Table1[[#This Row],[Order Date]])</f>
        <v>2015</v>
      </c>
      <c r="B1031" s="6" t="s">
        <v>1900</v>
      </c>
    </row>
    <row r="1032" spans="1:2" x14ac:dyDescent="0.3">
      <c r="A1032" s="22">
        <f>YEAR(Table1[[#This Row],[Order Date]])</f>
        <v>2015</v>
      </c>
      <c r="B1032" s="5" t="s">
        <v>1965</v>
      </c>
    </row>
    <row r="1033" spans="1:2" x14ac:dyDescent="0.3">
      <c r="A1033" s="23">
        <f>YEAR(Table1[[#This Row],[Order Date]])</f>
        <v>2015</v>
      </c>
      <c r="B1033" s="6" t="s">
        <v>383</v>
      </c>
    </row>
    <row r="1034" spans="1:2" x14ac:dyDescent="0.3">
      <c r="A1034" s="22">
        <f>YEAR(Table1[[#This Row],[Order Date]])</f>
        <v>2015</v>
      </c>
      <c r="B1034" s="5" t="s">
        <v>383</v>
      </c>
    </row>
    <row r="1035" spans="1:2" x14ac:dyDescent="0.3">
      <c r="A1035" s="23">
        <f>YEAR(Table1[[#This Row],[Order Date]])</f>
        <v>2015</v>
      </c>
      <c r="B1035" s="6" t="s">
        <v>1705</v>
      </c>
    </row>
    <row r="1036" spans="1:2" x14ac:dyDescent="0.3">
      <c r="A1036" s="22">
        <f>YEAR(Table1[[#This Row],[Order Date]])</f>
        <v>2015</v>
      </c>
      <c r="B1036" s="5" t="s">
        <v>1705</v>
      </c>
    </row>
    <row r="1037" spans="1:2" x14ac:dyDescent="0.3">
      <c r="A1037" s="23">
        <f>YEAR(Table1[[#This Row],[Order Date]])</f>
        <v>2015</v>
      </c>
      <c r="B1037" s="6" t="s">
        <v>638</v>
      </c>
    </row>
    <row r="1038" spans="1:2" x14ac:dyDescent="0.3">
      <c r="A1038" s="22">
        <f>YEAR(Table1[[#This Row],[Order Date]])</f>
        <v>2015</v>
      </c>
      <c r="B1038" s="5" t="s">
        <v>638</v>
      </c>
    </row>
    <row r="1039" spans="1:2" x14ac:dyDescent="0.3">
      <c r="A1039" s="23">
        <f>YEAR(Table1[[#This Row],[Order Date]])</f>
        <v>2015</v>
      </c>
      <c r="B1039" s="6" t="s">
        <v>211</v>
      </c>
    </row>
    <row r="1040" spans="1:2" x14ac:dyDescent="0.3">
      <c r="A1040" s="22">
        <f>YEAR(Table1[[#This Row],[Order Date]])</f>
        <v>2015</v>
      </c>
      <c r="B1040" s="5" t="s">
        <v>211</v>
      </c>
    </row>
    <row r="1041" spans="1:2" x14ac:dyDescent="0.3">
      <c r="A1041" s="23">
        <f>YEAR(Table1[[#This Row],[Order Date]])</f>
        <v>2015</v>
      </c>
      <c r="B1041" s="6" t="s">
        <v>402</v>
      </c>
    </row>
    <row r="1042" spans="1:2" x14ac:dyDescent="0.3">
      <c r="A1042" s="22">
        <f>YEAR(Table1[[#This Row],[Order Date]])</f>
        <v>2015</v>
      </c>
      <c r="B1042" s="5" t="s">
        <v>402</v>
      </c>
    </row>
    <row r="1043" spans="1:2" x14ac:dyDescent="0.3">
      <c r="A1043" s="23">
        <f>YEAR(Table1[[#This Row],[Order Date]])</f>
        <v>2015</v>
      </c>
      <c r="B1043" s="6" t="s">
        <v>1283</v>
      </c>
    </row>
    <row r="1044" spans="1:2" x14ac:dyDescent="0.3">
      <c r="A1044" s="22">
        <f>YEAR(Table1[[#This Row],[Order Date]])</f>
        <v>2015</v>
      </c>
      <c r="B1044" s="5" t="s">
        <v>1193</v>
      </c>
    </row>
    <row r="1045" spans="1:2" x14ac:dyDescent="0.3">
      <c r="A1045" s="23">
        <f>YEAR(Table1[[#This Row],[Order Date]])</f>
        <v>2015</v>
      </c>
      <c r="B1045" s="6" t="s">
        <v>107</v>
      </c>
    </row>
    <row r="1046" spans="1:2" x14ac:dyDescent="0.3">
      <c r="A1046" s="22">
        <f>YEAR(Table1[[#This Row],[Order Date]])</f>
        <v>2015</v>
      </c>
      <c r="B1046" s="5" t="s">
        <v>107</v>
      </c>
    </row>
    <row r="1047" spans="1:2" x14ac:dyDescent="0.3">
      <c r="A1047" s="23">
        <f>YEAR(Table1[[#This Row],[Order Date]])</f>
        <v>2015</v>
      </c>
      <c r="B1047" s="6" t="s">
        <v>866</v>
      </c>
    </row>
    <row r="1048" spans="1:2" x14ac:dyDescent="0.3">
      <c r="A1048" s="22">
        <f>YEAR(Table1[[#This Row],[Order Date]])</f>
        <v>2015</v>
      </c>
      <c r="B1048" s="5" t="s">
        <v>378</v>
      </c>
    </row>
    <row r="1049" spans="1:2" x14ac:dyDescent="0.3">
      <c r="A1049" s="23">
        <f>YEAR(Table1[[#This Row],[Order Date]])</f>
        <v>2016</v>
      </c>
      <c r="B1049" s="6" t="s">
        <v>1562</v>
      </c>
    </row>
    <row r="1050" spans="1:2" x14ac:dyDescent="0.3">
      <c r="A1050" s="22">
        <f>YEAR(Table1[[#This Row],[Order Date]])</f>
        <v>2016</v>
      </c>
      <c r="B1050" s="5" t="s">
        <v>1262</v>
      </c>
    </row>
    <row r="1051" spans="1:2" x14ac:dyDescent="0.3">
      <c r="A1051" s="23">
        <f>YEAR(Table1[[#This Row],[Order Date]])</f>
        <v>2016</v>
      </c>
      <c r="B1051" s="6" t="s">
        <v>2440</v>
      </c>
    </row>
    <row r="1052" spans="1:2" x14ac:dyDescent="0.3">
      <c r="A1052" s="22">
        <f>YEAR(Table1[[#This Row],[Order Date]])</f>
        <v>2016</v>
      </c>
      <c r="B1052" s="5" t="s">
        <v>2440</v>
      </c>
    </row>
    <row r="1053" spans="1:2" x14ac:dyDescent="0.3">
      <c r="A1053" s="23">
        <f>YEAR(Table1[[#This Row],[Order Date]])</f>
        <v>2016</v>
      </c>
      <c r="B1053" s="6" t="s">
        <v>1011</v>
      </c>
    </row>
    <row r="1054" spans="1:2" x14ac:dyDescent="0.3">
      <c r="A1054" s="22">
        <f>YEAR(Table1[[#This Row],[Order Date]])</f>
        <v>2016</v>
      </c>
      <c r="B1054" s="5" t="s">
        <v>2412</v>
      </c>
    </row>
    <row r="1055" spans="1:2" x14ac:dyDescent="0.3">
      <c r="A1055" s="23">
        <f>YEAR(Table1[[#This Row],[Order Date]])</f>
        <v>2016</v>
      </c>
      <c r="B1055" s="6" t="s">
        <v>1714</v>
      </c>
    </row>
    <row r="1056" spans="1:2" x14ac:dyDescent="0.3">
      <c r="A1056" s="22">
        <f>YEAR(Table1[[#This Row],[Order Date]])</f>
        <v>2016</v>
      </c>
      <c r="B1056" s="5" t="s">
        <v>1476</v>
      </c>
    </row>
    <row r="1057" spans="1:2" x14ac:dyDescent="0.3">
      <c r="A1057" s="23">
        <f>YEAR(Table1[[#This Row],[Order Date]])</f>
        <v>2016</v>
      </c>
      <c r="B1057" s="6" t="s">
        <v>565</v>
      </c>
    </row>
    <row r="1058" spans="1:2" x14ac:dyDescent="0.3">
      <c r="A1058" s="22">
        <f>YEAR(Table1[[#This Row],[Order Date]])</f>
        <v>2016</v>
      </c>
      <c r="B1058" s="5" t="s">
        <v>2470</v>
      </c>
    </row>
    <row r="1059" spans="1:2" x14ac:dyDescent="0.3">
      <c r="A1059" s="23">
        <f>YEAR(Table1[[#This Row],[Order Date]])</f>
        <v>2016</v>
      </c>
      <c r="B1059" s="6" t="s">
        <v>2470</v>
      </c>
    </row>
    <row r="1060" spans="1:2" x14ac:dyDescent="0.3">
      <c r="A1060" s="22">
        <f>YEAR(Table1[[#This Row],[Order Date]])</f>
        <v>2016</v>
      </c>
      <c r="B1060" s="5" t="s">
        <v>2249</v>
      </c>
    </row>
    <row r="1061" spans="1:2" x14ac:dyDescent="0.3">
      <c r="A1061" s="23">
        <f>YEAR(Table1[[#This Row],[Order Date]])</f>
        <v>2016</v>
      </c>
      <c r="B1061" s="6" t="s">
        <v>2341</v>
      </c>
    </row>
    <row r="1062" spans="1:2" x14ac:dyDescent="0.3">
      <c r="A1062" s="22">
        <f>YEAR(Table1[[#This Row],[Order Date]])</f>
        <v>2016</v>
      </c>
      <c r="B1062" s="5" t="s">
        <v>2341</v>
      </c>
    </row>
    <row r="1063" spans="1:2" x14ac:dyDescent="0.3">
      <c r="A1063" s="23">
        <f>YEAR(Table1[[#This Row],[Order Date]])</f>
        <v>2016</v>
      </c>
      <c r="B1063" s="6" t="s">
        <v>2341</v>
      </c>
    </row>
    <row r="1064" spans="1:2" x14ac:dyDescent="0.3">
      <c r="A1064" s="22">
        <f>YEAR(Table1[[#This Row],[Order Date]])</f>
        <v>2016</v>
      </c>
      <c r="B1064" s="5" t="s">
        <v>350</v>
      </c>
    </row>
    <row r="1065" spans="1:2" x14ac:dyDescent="0.3">
      <c r="A1065" s="23">
        <f>YEAR(Table1[[#This Row],[Order Date]])</f>
        <v>2016</v>
      </c>
      <c r="B1065" s="6" t="s">
        <v>1778</v>
      </c>
    </row>
    <row r="1066" spans="1:2" x14ac:dyDescent="0.3">
      <c r="A1066" s="22">
        <f>YEAR(Table1[[#This Row],[Order Date]])</f>
        <v>2016</v>
      </c>
      <c r="B1066" s="5" t="s">
        <v>2208</v>
      </c>
    </row>
    <row r="1067" spans="1:2" x14ac:dyDescent="0.3">
      <c r="A1067" s="23">
        <f>YEAR(Table1[[#This Row],[Order Date]])</f>
        <v>2016</v>
      </c>
      <c r="B1067" s="6" t="s">
        <v>2208</v>
      </c>
    </row>
    <row r="1068" spans="1:2" x14ac:dyDescent="0.3">
      <c r="A1068" s="22">
        <f>YEAR(Table1[[#This Row],[Order Date]])</f>
        <v>2016</v>
      </c>
      <c r="B1068" s="5" t="s">
        <v>282</v>
      </c>
    </row>
    <row r="1069" spans="1:2" x14ac:dyDescent="0.3">
      <c r="A1069" s="23">
        <f>YEAR(Table1[[#This Row],[Order Date]])</f>
        <v>2016</v>
      </c>
      <c r="B1069" s="6" t="s">
        <v>282</v>
      </c>
    </row>
    <row r="1070" spans="1:2" x14ac:dyDescent="0.3">
      <c r="A1070" s="22">
        <f>YEAR(Table1[[#This Row],[Order Date]])</f>
        <v>2016</v>
      </c>
      <c r="B1070" s="5" t="s">
        <v>1293</v>
      </c>
    </row>
    <row r="1071" spans="1:2" x14ac:dyDescent="0.3">
      <c r="A1071" s="23">
        <f>YEAR(Table1[[#This Row],[Order Date]])</f>
        <v>2016</v>
      </c>
      <c r="B1071" s="6" t="s">
        <v>1293</v>
      </c>
    </row>
    <row r="1072" spans="1:2" x14ac:dyDescent="0.3">
      <c r="A1072" s="22">
        <f>YEAR(Table1[[#This Row],[Order Date]])</f>
        <v>2016</v>
      </c>
      <c r="B1072" s="5" t="s">
        <v>1847</v>
      </c>
    </row>
    <row r="1073" spans="1:2" x14ac:dyDescent="0.3">
      <c r="A1073" s="23">
        <f>YEAR(Table1[[#This Row],[Order Date]])</f>
        <v>2016</v>
      </c>
      <c r="B1073" s="6" t="s">
        <v>1050</v>
      </c>
    </row>
    <row r="1074" spans="1:2" x14ac:dyDescent="0.3">
      <c r="A1074" s="22">
        <f>YEAR(Table1[[#This Row],[Order Date]])</f>
        <v>2016</v>
      </c>
      <c r="B1074" s="5" t="s">
        <v>246</v>
      </c>
    </row>
    <row r="1075" spans="1:2" x14ac:dyDescent="0.3">
      <c r="A1075" s="23">
        <f>YEAR(Table1[[#This Row],[Order Date]])</f>
        <v>2016</v>
      </c>
      <c r="B1075" s="6" t="s">
        <v>378</v>
      </c>
    </row>
    <row r="1076" spans="1:2" x14ac:dyDescent="0.3">
      <c r="A1076" s="22">
        <f>YEAR(Table1[[#This Row],[Order Date]])</f>
        <v>2016</v>
      </c>
      <c r="B1076" s="5" t="s">
        <v>549</v>
      </c>
    </row>
    <row r="1077" spans="1:2" x14ac:dyDescent="0.3">
      <c r="A1077" s="23">
        <f>YEAR(Table1[[#This Row],[Order Date]])</f>
        <v>2016</v>
      </c>
      <c r="B1077" s="6" t="s">
        <v>549</v>
      </c>
    </row>
    <row r="1078" spans="1:2" x14ac:dyDescent="0.3">
      <c r="A1078" s="22">
        <f>YEAR(Table1[[#This Row],[Order Date]])</f>
        <v>2016</v>
      </c>
      <c r="B1078" s="5" t="s">
        <v>2199</v>
      </c>
    </row>
    <row r="1079" spans="1:2" x14ac:dyDescent="0.3">
      <c r="A1079" s="23">
        <f>YEAR(Table1[[#This Row],[Order Date]])</f>
        <v>2016</v>
      </c>
      <c r="B1079" s="6" t="s">
        <v>2199</v>
      </c>
    </row>
    <row r="1080" spans="1:2" x14ac:dyDescent="0.3">
      <c r="A1080" s="22">
        <f>YEAR(Table1[[#This Row],[Order Date]])</f>
        <v>2016</v>
      </c>
      <c r="B1080" s="5" t="s">
        <v>494</v>
      </c>
    </row>
    <row r="1081" spans="1:2" x14ac:dyDescent="0.3">
      <c r="A1081" s="23">
        <f>YEAR(Table1[[#This Row],[Order Date]])</f>
        <v>2016</v>
      </c>
      <c r="B1081" s="6" t="s">
        <v>852</v>
      </c>
    </row>
    <row r="1082" spans="1:2" x14ac:dyDescent="0.3">
      <c r="A1082" s="22">
        <f>YEAR(Table1[[#This Row],[Order Date]])</f>
        <v>2016</v>
      </c>
      <c r="B1082" s="5" t="s">
        <v>1720</v>
      </c>
    </row>
    <row r="1083" spans="1:2" x14ac:dyDescent="0.3">
      <c r="A1083" s="23">
        <f>YEAR(Table1[[#This Row],[Order Date]])</f>
        <v>2016</v>
      </c>
      <c r="B1083" s="6" t="s">
        <v>659</v>
      </c>
    </row>
    <row r="1084" spans="1:2" x14ac:dyDescent="0.3">
      <c r="A1084" s="22">
        <f>YEAR(Table1[[#This Row],[Order Date]])</f>
        <v>2016</v>
      </c>
      <c r="B1084" s="5" t="s">
        <v>863</v>
      </c>
    </row>
    <row r="1085" spans="1:2" x14ac:dyDescent="0.3">
      <c r="A1085" s="23">
        <f>YEAR(Table1[[#This Row],[Order Date]])</f>
        <v>2016</v>
      </c>
      <c r="B1085" s="6" t="s">
        <v>1330</v>
      </c>
    </row>
    <row r="1086" spans="1:2" x14ac:dyDescent="0.3">
      <c r="A1086" s="22">
        <f>YEAR(Table1[[#This Row],[Order Date]])</f>
        <v>2016</v>
      </c>
      <c r="B1086" s="5" t="s">
        <v>1330</v>
      </c>
    </row>
    <row r="1087" spans="1:2" x14ac:dyDescent="0.3">
      <c r="A1087" s="23">
        <f>YEAR(Table1[[#This Row],[Order Date]])</f>
        <v>2016</v>
      </c>
      <c r="B1087" s="6" t="s">
        <v>510</v>
      </c>
    </row>
    <row r="1088" spans="1:2" x14ac:dyDescent="0.3">
      <c r="A1088" s="22">
        <f>YEAR(Table1[[#This Row],[Order Date]])</f>
        <v>2016</v>
      </c>
      <c r="B1088" s="5" t="s">
        <v>583</v>
      </c>
    </row>
    <row r="1089" spans="1:2" x14ac:dyDescent="0.3">
      <c r="A1089" s="23">
        <f>YEAR(Table1[[#This Row],[Order Date]])</f>
        <v>2016</v>
      </c>
      <c r="B1089" s="6" t="s">
        <v>196</v>
      </c>
    </row>
    <row r="1090" spans="1:2" x14ac:dyDescent="0.3">
      <c r="A1090" s="22">
        <f>YEAR(Table1[[#This Row],[Order Date]])</f>
        <v>2016</v>
      </c>
      <c r="B1090" s="5" t="s">
        <v>196</v>
      </c>
    </row>
    <row r="1091" spans="1:2" x14ac:dyDescent="0.3">
      <c r="A1091" s="23">
        <f>YEAR(Table1[[#This Row],[Order Date]])</f>
        <v>2016</v>
      </c>
      <c r="B1091" s="6" t="s">
        <v>196</v>
      </c>
    </row>
    <row r="1092" spans="1:2" x14ac:dyDescent="0.3">
      <c r="A1092" s="22">
        <f>YEAR(Table1[[#This Row],[Order Date]])</f>
        <v>2016</v>
      </c>
      <c r="B1092" s="5" t="s">
        <v>1705</v>
      </c>
    </row>
    <row r="1093" spans="1:2" x14ac:dyDescent="0.3">
      <c r="A1093" s="23">
        <f>YEAR(Table1[[#This Row],[Order Date]])</f>
        <v>2016</v>
      </c>
      <c r="B1093" s="6" t="s">
        <v>1145</v>
      </c>
    </row>
    <row r="1094" spans="1:2" x14ac:dyDescent="0.3">
      <c r="A1094" s="22">
        <f>YEAR(Table1[[#This Row],[Order Date]])</f>
        <v>2016</v>
      </c>
      <c r="B1094" s="5" t="s">
        <v>1145</v>
      </c>
    </row>
    <row r="1095" spans="1:2" x14ac:dyDescent="0.3">
      <c r="A1095" s="23">
        <f>YEAR(Table1[[#This Row],[Order Date]])</f>
        <v>2016</v>
      </c>
      <c r="B1095" s="6" t="s">
        <v>1145</v>
      </c>
    </row>
    <row r="1096" spans="1:2" x14ac:dyDescent="0.3">
      <c r="A1096" s="22">
        <f>YEAR(Table1[[#This Row],[Order Date]])</f>
        <v>2016</v>
      </c>
      <c r="B1096" s="5" t="s">
        <v>1481</v>
      </c>
    </row>
    <row r="1097" spans="1:2" x14ac:dyDescent="0.3">
      <c r="A1097" s="23">
        <f>YEAR(Table1[[#This Row],[Order Date]])</f>
        <v>2016</v>
      </c>
      <c r="B1097" s="6" t="s">
        <v>1206</v>
      </c>
    </row>
    <row r="1098" spans="1:2" x14ac:dyDescent="0.3">
      <c r="A1098" s="22">
        <f>YEAR(Table1[[#This Row],[Order Date]])</f>
        <v>2016</v>
      </c>
      <c r="B1098" s="5" t="s">
        <v>1206</v>
      </c>
    </row>
    <row r="1099" spans="1:2" x14ac:dyDescent="0.3">
      <c r="A1099" s="23">
        <f>YEAR(Table1[[#This Row],[Order Date]])</f>
        <v>2016</v>
      </c>
      <c r="B1099" s="6" t="s">
        <v>1055</v>
      </c>
    </row>
    <row r="1100" spans="1:2" x14ac:dyDescent="0.3">
      <c r="A1100" s="22">
        <f>YEAR(Table1[[#This Row],[Order Date]])</f>
        <v>2016</v>
      </c>
      <c r="B1100" s="5" t="s">
        <v>1055</v>
      </c>
    </row>
    <row r="1101" spans="1:2" x14ac:dyDescent="0.3">
      <c r="A1101" s="23">
        <f>YEAR(Table1[[#This Row],[Order Date]])</f>
        <v>2016</v>
      </c>
      <c r="B1101" s="6" t="s">
        <v>1540</v>
      </c>
    </row>
    <row r="1102" spans="1:2" x14ac:dyDescent="0.3">
      <c r="A1102" s="22">
        <f>YEAR(Table1[[#This Row],[Order Date]])</f>
        <v>2016</v>
      </c>
      <c r="B1102" s="5" t="s">
        <v>1540</v>
      </c>
    </row>
    <row r="1103" spans="1:2" x14ac:dyDescent="0.3">
      <c r="A1103" s="23">
        <f>YEAR(Table1[[#This Row],[Order Date]])</f>
        <v>2016</v>
      </c>
      <c r="B1103" s="6" t="s">
        <v>1361</v>
      </c>
    </row>
    <row r="1104" spans="1:2" x14ac:dyDescent="0.3">
      <c r="A1104" s="22">
        <f>YEAR(Table1[[#This Row],[Order Date]])</f>
        <v>2016</v>
      </c>
      <c r="B1104" s="5" t="s">
        <v>1361</v>
      </c>
    </row>
    <row r="1105" spans="1:2" x14ac:dyDescent="0.3">
      <c r="A1105" s="23">
        <f>YEAR(Table1[[#This Row],[Order Date]])</f>
        <v>2016</v>
      </c>
      <c r="B1105" s="6" t="s">
        <v>161</v>
      </c>
    </row>
    <row r="1106" spans="1:2" x14ac:dyDescent="0.3">
      <c r="A1106" s="22">
        <f>YEAR(Table1[[#This Row],[Order Date]])</f>
        <v>2016</v>
      </c>
      <c r="B1106" s="5" t="s">
        <v>1585</v>
      </c>
    </row>
    <row r="1107" spans="1:2" x14ac:dyDescent="0.3">
      <c r="A1107" s="23">
        <f>YEAR(Table1[[#This Row],[Order Date]])</f>
        <v>2016</v>
      </c>
      <c r="B1107" s="6" t="s">
        <v>565</v>
      </c>
    </row>
    <row r="1108" spans="1:2" x14ac:dyDescent="0.3">
      <c r="A1108" s="22">
        <f>YEAR(Table1[[#This Row],[Order Date]])</f>
        <v>2016</v>
      </c>
      <c r="B1108" s="5" t="s">
        <v>944</v>
      </c>
    </row>
    <row r="1109" spans="1:2" x14ac:dyDescent="0.3">
      <c r="A1109" s="23">
        <f>YEAR(Table1[[#This Row],[Order Date]])</f>
        <v>2016</v>
      </c>
      <c r="B1109" s="6" t="s">
        <v>2386</v>
      </c>
    </row>
    <row r="1110" spans="1:2" x14ac:dyDescent="0.3">
      <c r="A1110" s="22">
        <f>YEAR(Table1[[#This Row],[Order Date]])</f>
        <v>2016</v>
      </c>
      <c r="B1110" s="5" t="s">
        <v>2415</v>
      </c>
    </row>
    <row r="1111" spans="1:2" x14ac:dyDescent="0.3">
      <c r="A1111" s="23">
        <f>YEAR(Table1[[#This Row],[Order Date]])</f>
        <v>2016</v>
      </c>
      <c r="B1111" s="6" t="s">
        <v>1787</v>
      </c>
    </row>
    <row r="1112" spans="1:2" x14ac:dyDescent="0.3">
      <c r="A1112" s="22">
        <f>YEAR(Table1[[#This Row],[Order Date]])</f>
        <v>2016</v>
      </c>
      <c r="B1112" s="5" t="s">
        <v>1243</v>
      </c>
    </row>
    <row r="1113" spans="1:2" x14ac:dyDescent="0.3">
      <c r="A1113" s="23">
        <f>YEAR(Table1[[#This Row],[Order Date]])</f>
        <v>2016</v>
      </c>
      <c r="B1113" s="6" t="s">
        <v>547</v>
      </c>
    </row>
    <row r="1114" spans="1:2" x14ac:dyDescent="0.3">
      <c r="A1114" s="22">
        <f>YEAR(Table1[[#This Row],[Order Date]])</f>
        <v>2016</v>
      </c>
      <c r="B1114" s="5" t="s">
        <v>408</v>
      </c>
    </row>
    <row r="1115" spans="1:2" x14ac:dyDescent="0.3">
      <c r="A1115" s="23">
        <f>YEAR(Table1[[#This Row],[Order Date]])</f>
        <v>2016</v>
      </c>
      <c r="B1115" s="6" t="s">
        <v>771</v>
      </c>
    </row>
    <row r="1116" spans="1:2" x14ac:dyDescent="0.3">
      <c r="A1116" s="22">
        <f>YEAR(Table1[[#This Row],[Order Date]])</f>
        <v>2016</v>
      </c>
      <c r="B1116" s="5" t="s">
        <v>2274</v>
      </c>
    </row>
    <row r="1117" spans="1:2" x14ac:dyDescent="0.3">
      <c r="A1117" s="23">
        <f>YEAR(Table1[[#This Row],[Order Date]])</f>
        <v>2016</v>
      </c>
      <c r="B1117" s="6" t="s">
        <v>2473</v>
      </c>
    </row>
    <row r="1118" spans="1:2" x14ac:dyDescent="0.3">
      <c r="A1118" s="22">
        <f>YEAR(Table1[[#This Row],[Order Date]])</f>
        <v>2016</v>
      </c>
      <c r="B1118" s="5" t="s">
        <v>2473</v>
      </c>
    </row>
    <row r="1119" spans="1:2" x14ac:dyDescent="0.3">
      <c r="A1119" s="23">
        <f>YEAR(Table1[[#This Row],[Order Date]])</f>
        <v>2016</v>
      </c>
      <c r="B1119" s="6" t="s">
        <v>2473</v>
      </c>
    </row>
    <row r="1120" spans="1:2" x14ac:dyDescent="0.3">
      <c r="A1120" s="22">
        <f>YEAR(Table1[[#This Row],[Order Date]])</f>
        <v>2016</v>
      </c>
      <c r="B1120" s="5" t="s">
        <v>312</v>
      </c>
    </row>
    <row r="1121" spans="1:2" x14ac:dyDescent="0.3">
      <c r="A1121" s="23">
        <f>YEAR(Table1[[#This Row],[Order Date]])</f>
        <v>2016</v>
      </c>
      <c r="B1121" s="6" t="s">
        <v>282</v>
      </c>
    </row>
    <row r="1122" spans="1:2" x14ac:dyDescent="0.3">
      <c r="A1122" s="22">
        <f>YEAR(Table1[[#This Row],[Order Date]])</f>
        <v>2016</v>
      </c>
      <c r="B1122" s="5" t="s">
        <v>275</v>
      </c>
    </row>
    <row r="1123" spans="1:2" x14ac:dyDescent="0.3">
      <c r="A1123" s="23">
        <f>YEAR(Table1[[#This Row],[Order Date]])</f>
        <v>2016</v>
      </c>
      <c r="B1123" s="6" t="s">
        <v>2547</v>
      </c>
    </row>
    <row r="1124" spans="1:2" x14ac:dyDescent="0.3">
      <c r="A1124" s="22">
        <f>YEAR(Table1[[#This Row],[Order Date]])</f>
        <v>2016</v>
      </c>
      <c r="B1124" s="5" t="s">
        <v>1511</v>
      </c>
    </row>
    <row r="1125" spans="1:2" x14ac:dyDescent="0.3">
      <c r="A1125" s="23">
        <f>YEAR(Table1[[#This Row],[Order Date]])</f>
        <v>2016</v>
      </c>
      <c r="B1125" s="6" t="s">
        <v>1892</v>
      </c>
    </row>
    <row r="1126" spans="1:2" x14ac:dyDescent="0.3">
      <c r="A1126" s="22">
        <f>YEAR(Table1[[#This Row],[Order Date]])</f>
        <v>2016</v>
      </c>
      <c r="B1126" s="5" t="s">
        <v>2469</v>
      </c>
    </row>
    <row r="1127" spans="1:2" x14ac:dyDescent="0.3">
      <c r="A1127" s="23">
        <f>YEAR(Table1[[#This Row],[Order Date]])</f>
        <v>2016</v>
      </c>
      <c r="B1127" s="6" t="s">
        <v>2340</v>
      </c>
    </row>
    <row r="1128" spans="1:2" x14ac:dyDescent="0.3">
      <c r="A1128" s="22">
        <f>YEAR(Table1[[#This Row],[Order Date]])</f>
        <v>2016</v>
      </c>
      <c r="B1128" s="5" t="s">
        <v>609</v>
      </c>
    </row>
    <row r="1129" spans="1:2" x14ac:dyDescent="0.3">
      <c r="A1129" s="23">
        <f>YEAR(Table1[[#This Row],[Order Date]])</f>
        <v>2016</v>
      </c>
      <c r="B1129" s="6" t="s">
        <v>1886</v>
      </c>
    </row>
    <row r="1130" spans="1:2" x14ac:dyDescent="0.3">
      <c r="A1130" s="22">
        <f>YEAR(Table1[[#This Row],[Order Date]])</f>
        <v>2016</v>
      </c>
      <c r="B1130" s="5" t="s">
        <v>1476</v>
      </c>
    </row>
    <row r="1131" spans="1:2" x14ac:dyDescent="0.3">
      <c r="A1131" s="23">
        <f>YEAR(Table1[[#This Row],[Order Date]])</f>
        <v>2016</v>
      </c>
      <c r="B1131" s="6" t="s">
        <v>1784</v>
      </c>
    </row>
    <row r="1132" spans="1:2" x14ac:dyDescent="0.3">
      <c r="A1132" s="22">
        <f>YEAR(Table1[[#This Row],[Order Date]])</f>
        <v>2016</v>
      </c>
      <c r="B1132" s="5" t="s">
        <v>2528</v>
      </c>
    </row>
    <row r="1133" spans="1:2" x14ac:dyDescent="0.3">
      <c r="A1133" s="23">
        <f>YEAR(Table1[[#This Row],[Order Date]])</f>
        <v>2016</v>
      </c>
      <c r="B1133" s="6" t="s">
        <v>2528</v>
      </c>
    </row>
    <row r="1134" spans="1:2" x14ac:dyDescent="0.3">
      <c r="A1134" s="22">
        <f>YEAR(Table1[[#This Row],[Order Date]])</f>
        <v>2016</v>
      </c>
      <c r="B1134" s="5" t="s">
        <v>2528</v>
      </c>
    </row>
    <row r="1135" spans="1:2" x14ac:dyDescent="0.3">
      <c r="A1135" s="23">
        <f>YEAR(Table1[[#This Row],[Order Date]])</f>
        <v>2016</v>
      </c>
      <c r="B1135" s="6" t="s">
        <v>1125</v>
      </c>
    </row>
    <row r="1136" spans="1:2" x14ac:dyDescent="0.3">
      <c r="A1136" s="22">
        <f>YEAR(Table1[[#This Row],[Order Date]])</f>
        <v>2016</v>
      </c>
      <c r="B1136" s="5" t="s">
        <v>1125</v>
      </c>
    </row>
    <row r="1137" spans="1:2" x14ac:dyDescent="0.3">
      <c r="A1137" s="23">
        <f>YEAR(Table1[[#This Row],[Order Date]])</f>
        <v>2016</v>
      </c>
      <c r="B1137" s="6" t="s">
        <v>1125</v>
      </c>
    </row>
    <row r="1138" spans="1:2" x14ac:dyDescent="0.3">
      <c r="A1138" s="22">
        <f>YEAR(Table1[[#This Row],[Order Date]])</f>
        <v>2016</v>
      </c>
      <c r="B1138" s="5" t="s">
        <v>107</v>
      </c>
    </row>
    <row r="1139" spans="1:2" x14ac:dyDescent="0.3">
      <c r="A1139" s="23">
        <f>YEAR(Table1[[#This Row],[Order Date]])</f>
        <v>2016</v>
      </c>
      <c r="B1139" s="6" t="s">
        <v>107</v>
      </c>
    </row>
    <row r="1140" spans="1:2" x14ac:dyDescent="0.3">
      <c r="A1140" s="22">
        <f>YEAR(Table1[[#This Row],[Order Date]])</f>
        <v>2016</v>
      </c>
      <c r="B1140" s="5" t="s">
        <v>107</v>
      </c>
    </row>
    <row r="1141" spans="1:2" x14ac:dyDescent="0.3">
      <c r="A1141" s="23">
        <f>YEAR(Table1[[#This Row],[Order Date]])</f>
        <v>2016</v>
      </c>
      <c r="B1141" s="6" t="s">
        <v>107</v>
      </c>
    </row>
    <row r="1142" spans="1:2" x14ac:dyDescent="0.3">
      <c r="A1142" s="22">
        <f>YEAR(Table1[[#This Row],[Order Date]])</f>
        <v>2016</v>
      </c>
      <c r="B1142" s="5" t="s">
        <v>107</v>
      </c>
    </row>
    <row r="1143" spans="1:2" x14ac:dyDescent="0.3">
      <c r="A1143" s="23">
        <f>YEAR(Table1[[#This Row],[Order Date]])</f>
        <v>2016</v>
      </c>
      <c r="B1143" s="6" t="s">
        <v>828</v>
      </c>
    </row>
    <row r="1144" spans="1:2" x14ac:dyDescent="0.3">
      <c r="A1144" s="22">
        <f>YEAR(Table1[[#This Row],[Order Date]])</f>
        <v>2016</v>
      </c>
      <c r="B1144" s="5" t="s">
        <v>1338</v>
      </c>
    </row>
    <row r="1145" spans="1:2" x14ac:dyDescent="0.3">
      <c r="A1145" s="23">
        <f>YEAR(Table1[[#This Row],[Order Date]])</f>
        <v>2016</v>
      </c>
      <c r="B1145" s="6" t="s">
        <v>2269</v>
      </c>
    </row>
    <row r="1146" spans="1:2" x14ac:dyDescent="0.3">
      <c r="A1146" s="22">
        <f>YEAR(Table1[[#This Row],[Order Date]])</f>
        <v>2016</v>
      </c>
      <c r="B1146" s="5" t="s">
        <v>2184</v>
      </c>
    </row>
    <row r="1147" spans="1:2" x14ac:dyDescent="0.3">
      <c r="A1147" s="23">
        <f>YEAR(Table1[[#This Row],[Order Date]])</f>
        <v>2016</v>
      </c>
      <c r="B1147" s="6" t="s">
        <v>960</v>
      </c>
    </row>
    <row r="1148" spans="1:2" x14ac:dyDescent="0.3">
      <c r="A1148" s="22">
        <f>YEAR(Table1[[#This Row],[Order Date]])</f>
        <v>2016</v>
      </c>
      <c r="B1148" s="5" t="s">
        <v>1820</v>
      </c>
    </row>
    <row r="1149" spans="1:2" x14ac:dyDescent="0.3">
      <c r="A1149" s="23">
        <f>YEAR(Table1[[#This Row],[Order Date]])</f>
        <v>2016</v>
      </c>
      <c r="B1149" s="6" t="s">
        <v>32</v>
      </c>
    </row>
    <row r="1150" spans="1:2" x14ac:dyDescent="0.3">
      <c r="A1150" s="22">
        <f>YEAR(Table1[[#This Row],[Order Date]])</f>
        <v>2016</v>
      </c>
      <c r="B1150" s="5" t="s">
        <v>988</v>
      </c>
    </row>
    <row r="1151" spans="1:2" x14ac:dyDescent="0.3">
      <c r="A1151" s="23">
        <f>YEAR(Table1[[#This Row],[Order Date]])</f>
        <v>2016</v>
      </c>
      <c r="B1151" s="6" t="s">
        <v>988</v>
      </c>
    </row>
    <row r="1152" spans="1:2" x14ac:dyDescent="0.3">
      <c r="A1152" s="22">
        <f>YEAR(Table1[[#This Row],[Order Date]])</f>
        <v>2016</v>
      </c>
      <c r="B1152" s="5" t="s">
        <v>988</v>
      </c>
    </row>
    <row r="1153" spans="1:2" x14ac:dyDescent="0.3">
      <c r="A1153" s="23">
        <f>YEAR(Table1[[#This Row],[Order Date]])</f>
        <v>2016</v>
      </c>
      <c r="B1153" s="6" t="s">
        <v>2044</v>
      </c>
    </row>
    <row r="1154" spans="1:2" x14ac:dyDescent="0.3">
      <c r="A1154" s="22">
        <f>YEAR(Table1[[#This Row],[Order Date]])</f>
        <v>2016</v>
      </c>
      <c r="B1154" s="5" t="s">
        <v>2044</v>
      </c>
    </row>
    <row r="1155" spans="1:2" x14ac:dyDescent="0.3">
      <c r="A1155" s="23">
        <f>YEAR(Table1[[#This Row],[Order Date]])</f>
        <v>2016</v>
      </c>
      <c r="B1155" s="6" t="s">
        <v>292</v>
      </c>
    </row>
    <row r="1156" spans="1:2" x14ac:dyDescent="0.3">
      <c r="A1156" s="22">
        <f>YEAR(Table1[[#This Row],[Order Date]])</f>
        <v>2016</v>
      </c>
      <c r="B1156" s="5" t="s">
        <v>292</v>
      </c>
    </row>
    <row r="1157" spans="1:2" x14ac:dyDescent="0.3">
      <c r="A1157" s="23">
        <f>YEAR(Table1[[#This Row],[Order Date]])</f>
        <v>2016</v>
      </c>
      <c r="B1157" s="6" t="s">
        <v>2549</v>
      </c>
    </row>
    <row r="1158" spans="1:2" x14ac:dyDescent="0.3">
      <c r="A1158" s="22">
        <f>YEAR(Table1[[#This Row],[Order Date]])</f>
        <v>2016</v>
      </c>
      <c r="B1158" s="5" t="s">
        <v>206</v>
      </c>
    </row>
    <row r="1159" spans="1:2" x14ac:dyDescent="0.3">
      <c r="A1159" s="23">
        <f>YEAR(Table1[[#This Row],[Order Date]])</f>
        <v>2016</v>
      </c>
      <c r="B1159" s="6" t="s">
        <v>385</v>
      </c>
    </row>
    <row r="1160" spans="1:2" x14ac:dyDescent="0.3">
      <c r="A1160" s="22">
        <f>YEAR(Table1[[#This Row],[Order Date]])</f>
        <v>2016</v>
      </c>
      <c r="B1160" s="5" t="s">
        <v>385</v>
      </c>
    </row>
    <row r="1161" spans="1:2" x14ac:dyDescent="0.3">
      <c r="A1161" s="23">
        <f>YEAR(Table1[[#This Row],[Order Date]])</f>
        <v>2016</v>
      </c>
      <c r="B1161" s="6" t="s">
        <v>122</v>
      </c>
    </row>
    <row r="1162" spans="1:2" x14ac:dyDescent="0.3">
      <c r="A1162" s="22">
        <f>YEAR(Table1[[#This Row],[Order Date]])</f>
        <v>2016</v>
      </c>
      <c r="B1162" s="5" t="s">
        <v>1668</v>
      </c>
    </row>
    <row r="1163" spans="1:2" x14ac:dyDescent="0.3">
      <c r="A1163" s="23">
        <f>YEAR(Table1[[#This Row],[Order Date]])</f>
        <v>2016</v>
      </c>
      <c r="B1163" s="6" t="s">
        <v>389</v>
      </c>
    </row>
    <row r="1164" spans="1:2" x14ac:dyDescent="0.3">
      <c r="A1164" s="22">
        <f>YEAR(Table1[[#This Row],[Order Date]])</f>
        <v>2016</v>
      </c>
      <c r="B1164" s="5" t="s">
        <v>389</v>
      </c>
    </row>
    <row r="1165" spans="1:2" x14ac:dyDescent="0.3">
      <c r="A1165" s="23">
        <f>YEAR(Table1[[#This Row],[Order Date]])</f>
        <v>2016</v>
      </c>
      <c r="B1165" s="6" t="s">
        <v>50</v>
      </c>
    </row>
    <row r="1166" spans="1:2" x14ac:dyDescent="0.3">
      <c r="A1166" s="22">
        <f>YEAR(Table1[[#This Row],[Order Date]])</f>
        <v>2016</v>
      </c>
      <c r="B1166" s="5" t="s">
        <v>1701</v>
      </c>
    </row>
    <row r="1167" spans="1:2" x14ac:dyDescent="0.3">
      <c r="A1167" s="23">
        <f>YEAR(Table1[[#This Row],[Order Date]])</f>
        <v>2016</v>
      </c>
      <c r="B1167" s="6" t="s">
        <v>1886</v>
      </c>
    </row>
    <row r="1168" spans="1:2" x14ac:dyDescent="0.3">
      <c r="A1168" s="22">
        <f>YEAR(Table1[[#This Row],[Order Date]])</f>
        <v>2016</v>
      </c>
      <c r="B1168" s="5" t="s">
        <v>1886</v>
      </c>
    </row>
    <row r="1169" spans="1:2" x14ac:dyDescent="0.3">
      <c r="A1169" s="23">
        <f>YEAR(Table1[[#This Row],[Order Date]])</f>
        <v>2016</v>
      </c>
      <c r="B1169" s="6" t="s">
        <v>2371</v>
      </c>
    </row>
    <row r="1170" spans="1:2" x14ac:dyDescent="0.3">
      <c r="A1170" s="22">
        <f>YEAR(Table1[[#This Row],[Order Date]])</f>
        <v>2016</v>
      </c>
      <c r="B1170" s="5" t="s">
        <v>2371</v>
      </c>
    </row>
    <row r="1171" spans="1:2" x14ac:dyDescent="0.3">
      <c r="A1171" s="23">
        <f>YEAR(Table1[[#This Row],[Order Date]])</f>
        <v>2016</v>
      </c>
      <c r="B1171" s="6" t="s">
        <v>659</v>
      </c>
    </row>
    <row r="1172" spans="1:2" x14ac:dyDescent="0.3">
      <c r="A1172" s="22">
        <f>YEAR(Table1[[#This Row],[Order Date]])</f>
        <v>2016</v>
      </c>
      <c r="B1172" s="5" t="s">
        <v>1206</v>
      </c>
    </row>
    <row r="1173" spans="1:2" x14ac:dyDescent="0.3">
      <c r="A1173" s="23">
        <f>YEAR(Table1[[#This Row],[Order Date]])</f>
        <v>2016</v>
      </c>
      <c r="B1173" s="6" t="s">
        <v>1206</v>
      </c>
    </row>
    <row r="1174" spans="1:2" x14ac:dyDescent="0.3">
      <c r="A1174" s="22">
        <f>YEAR(Table1[[#This Row],[Order Date]])</f>
        <v>2016</v>
      </c>
      <c r="B1174" s="5" t="s">
        <v>1206</v>
      </c>
    </row>
    <row r="1175" spans="1:2" x14ac:dyDescent="0.3">
      <c r="A1175" s="23">
        <f>YEAR(Table1[[#This Row],[Order Date]])</f>
        <v>2016</v>
      </c>
      <c r="B1175" s="6" t="s">
        <v>720</v>
      </c>
    </row>
    <row r="1176" spans="1:2" x14ac:dyDescent="0.3">
      <c r="A1176" s="22">
        <f>YEAR(Table1[[#This Row],[Order Date]])</f>
        <v>2016</v>
      </c>
      <c r="B1176" s="5" t="s">
        <v>857</v>
      </c>
    </row>
    <row r="1177" spans="1:2" x14ac:dyDescent="0.3">
      <c r="A1177" s="23">
        <f>YEAR(Table1[[#This Row],[Order Date]])</f>
        <v>2016</v>
      </c>
      <c r="B1177" s="6" t="s">
        <v>1226</v>
      </c>
    </row>
    <row r="1178" spans="1:2" x14ac:dyDescent="0.3">
      <c r="A1178" s="22">
        <f>YEAR(Table1[[#This Row],[Order Date]])</f>
        <v>2016</v>
      </c>
      <c r="B1178" s="5" t="s">
        <v>656</v>
      </c>
    </row>
    <row r="1179" spans="1:2" x14ac:dyDescent="0.3">
      <c r="A1179" s="23">
        <f>YEAR(Table1[[#This Row],[Order Date]])</f>
        <v>2016</v>
      </c>
      <c r="B1179" s="6" t="s">
        <v>1152</v>
      </c>
    </row>
    <row r="1180" spans="1:2" x14ac:dyDescent="0.3">
      <c r="A1180" s="22">
        <f>YEAR(Table1[[#This Row],[Order Date]])</f>
        <v>2016</v>
      </c>
      <c r="B1180" s="5" t="s">
        <v>1152</v>
      </c>
    </row>
    <row r="1181" spans="1:2" x14ac:dyDescent="0.3">
      <c r="A1181" s="23">
        <f>YEAR(Table1[[#This Row],[Order Date]])</f>
        <v>2016</v>
      </c>
      <c r="B1181" s="6" t="s">
        <v>1152</v>
      </c>
    </row>
    <row r="1182" spans="1:2" x14ac:dyDescent="0.3">
      <c r="A1182" s="22">
        <f>YEAR(Table1[[#This Row],[Order Date]])</f>
        <v>2016</v>
      </c>
      <c r="B1182" s="5" t="s">
        <v>1152</v>
      </c>
    </row>
    <row r="1183" spans="1:2" x14ac:dyDescent="0.3">
      <c r="A1183" s="23">
        <f>YEAR(Table1[[#This Row],[Order Date]])</f>
        <v>2016</v>
      </c>
      <c r="B1183" s="6" t="s">
        <v>1152</v>
      </c>
    </row>
    <row r="1184" spans="1:2" x14ac:dyDescent="0.3">
      <c r="A1184" s="22">
        <f>YEAR(Table1[[#This Row],[Order Date]])</f>
        <v>2016</v>
      </c>
      <c r="B1184" s="5" t="s">
        <v>318</v>
      </c>
    </row>
    <row r="1185" spans="1:2" x14ac:dyDescent="0.3">
      <c r="A1185" s="23">
        <f>YEAR(Table1[[#This Row],[Order Date]])</f>
        <v>2016</v>
      </c>
      <c r="B1185" s="6" t="s">
        <v>2034</v>
      </c>
    </row>
    <row r="1186" spans="1:2" x14ac:dyDescent="0.3">
      <c r="A1186" s="22">
        <f>YEAR(Table1[[#This Row],[Order Date]])</f>
        <v>2016</v>
      </c>
      <c r="B1186" s="5" t="s">
        <v>2034</v>
      </c>
    </row>
    <row r="1187" spans="1:2" x14ac:dyDescent="0.3">
      <c r="A1187" s="23">
        <f>YEAR(Table1[[#This Row],[Order Date]])</f>
        <v>2016</v>
      </c>
      <c r="B1187" s="6" t="s">
        <v>717</v>
      </c>
    </row>
    <row r="1188" spans="1:2" x14ac:dyDescent="0.3">
      <c r="A1188" s="22">
        <f>YEAR(Table1[[#This Row],[Order Date]])</f>
        <v>2016</v>
      </c>
      <c r="B1188" s="5" t="s">
        <v>1346</v>
      </c>
    </row>
    <row r="1189" spans="1:2" x14ac:dyDescent="0.3">
      <c r="A1189" s="23">
        <f>YEAR(Table1[[#This Row],[Order Date]])</f>
        <v>2016</v>
      </c>
      <c r="B1189" s="6" t="s">
        <v>1276</v>
      </c>
    </row>
    <row r="1190" spans="1:2" x14ac:dyDescent="0.3">
      <c r="A1190" s="22">
        <f>YEAR(Table1[[#This Row],[Order Date]])</f>
        <v>2016</v>
      </c>
      <c r="B1190" s="5" t="s">
        <v>292</v>
      </c>
    </row>
    <row r="1191" spans="1:2" x14ac:dyDescent="0.3">
      <c r="A1191" s="23">
        <f>YEAR(Table1[[#This Row],[Order Date]])</f>
        <v>2016</v>
      </c>
      <c r="B1191" s="6" t="s">
        <v>592</v>
      </c>
    </row>
    <row r="1192" spans="1:2" x14ac:dyDescent="0.3">
      <c r="A1192" s="22">
        <f>YEAR(Table1[[#This Row],[Order Date]])</f>
        <v>2016</v>
      </c>
      <c r="B1192" s="5" t="s">
        <v>1823</v>
      </c>
    </row>
    <row r="1193" spans="1:2" x14ac:dyDescent="0.3">
      <c r="A1193" s="23">
        <f>YEAR(Table1[[#This Row],[Order Date]])</f>
        <v>2016</v>
      </c>
      <c r="B1193" s="6" t="s">
        <v>1557</v>
      </c>
    </row>
    <row r="1194" spans="1:2" x14ac:dyDescent="0.3">
      <c r="A1194" s="22">
        <f>YEAR(Table1[[#This Row],[Order Date]])</f>
        <v>2016</v>
      </c>
      <c r="B1194" s="5" t="s">
        <v>1557</v>
      </c>
    </row>
    <row r="1195" spans="1:2" x14ac:dyDescent="0.3">
      <c r="A1195" s="23">
        <f>YEAR(Table1[[#This Row],[Order Date]])</f>
        <v>2016</v>
      </c>
      <c r="B1195" s="6" t="s">
        <v>143</v>
      </c>
    </row>
    <row r="1196" spans="1:2" x14ac:dyDescent="0.3">
      <c r="A1196" s="22">
        <f>YEAR(Table1[[#This Row],[Order Date]])</f>
        <v>2016</v>
      </c>
      <c r="B1196" s="5" t="s">
        <v>1276</v>
      </c>
    </row>
    <row r="1197" spans="1:2" x14ac:dyDescent="0.3">
      <c r="A1197" s="23">
        <f>YEAR(Table1[[#This Row],[Order Date]])</f>
        <v>2016</v>
      </c>
      <c r="B1197" s="6" t="s">
        <v>1078</v>
      </c>
    </row>
    <row r="1198" spans="1:2" x14ac:dyDescent="0.3">
      <c r="A1198" s="22">
        <f>YEAR(Table1[[#This Row],[Order Date]])</f>
        <v>2016</v>
      </c>
      <c r="B1198" s="5" t="s">
        <v>1078</v>
      </c>
    </row>
    <row r="1199" spans="1:2" x14ac:dyDescent="0.3">
      <c r="A1199" s="23">
        <f>YEAR(Table1[[#This Row],[Order Date]])</f>
        <v>2016</v>
      </c>
      <c r="B1199" s="6" t="s">
        <v>2341</v>
      </c>
    </row>
    <row r="1200" spans="1:2" x14ac:dyDescent="0.3">
      <c r="A1200" s="22">
        <f>YEAR(Table1[[#This Row],[Order Date]])</f>
        <v>2016</v>
      </c>
      <c r="B1200" s="5" t="s">
        <v>1535</v>
      </c>
    </row>
    <row r="1201" spans="1:2" x14ac:dyDescent="0.3">
      <c r="A1201" s="23">
        <f>YEAR(Table1[[#This Row],[Order Date]])</f>
        <v>2016</v>
      </c>
      <c r="B1201" s="6" t="s">
        <v>1924</v>
      </c>
    </row>
    <row r="1202" spans="1:2" x14ac:dyDescent="0.3">
      <c r="A1202" s="22">
        <f>YEAR(Table1[[#This Row],[Order Date]])</f>
        <v>2016</v>
      </c>
      <c r="B1202" s="5" t="s">
        <v>1924</v>
      </c>
    </row>
    <row r="1203" spans="1:2" x14ac:dyDescent="0.3">
      <c r="A1203" s="23">
        <f>YEAR(Table1[[#This Row],[Order Date]])</f>
        <v>2016</v>
      </c>
      <c r="B1203" s="6" t="s">
        <v>1350</v>
      </c>
    </row>
    <row r="1204" spans="1:2" x14ac:dyDescent="0.3">
      <c r="A1204" s="22">
        <f>YEAR(Table1[[#This Row],[Order Date]])</f>
        <v>2016</v>
      </c>
      <c r="B1204" s="5" t="s">
        <v>2493</v>
      </c>
    </row>
    <row r="1205" spans="1:2" x14ac:dyDescent="0.3">
      <c r="A1205" s="23">
        <f>YEAR(Table1[[#This Row],[Order Date]])</f>
        <v>2016</v>
      </c>
      <c r="B1205" s="6" t="s">
        <v>893</v>
      </c>
    </row>
    <row r="1206" spans="1:2" x14ac:dyDescent="0.3">
      <c r="A1206" s="22">
        <f>YEAR(Table1[[#This Row],[Order Date]])</f>
        <v>2016</v>
      </c>
      <c r="B1206" s="5" t="s">
        <v>893</v>
      </c>
    </row>
    <row r="1207" spans="1:2" x14ac:dyDescent="0.3">
      <c r="A1207" s="23">
        <f>YEAR(Table1[[#This Row],[Order Date]])</f>
        <v>2016</v>
      </c>
      <c r="B1207" s="6" t="s">
        <v>893</v>
      </c>
    </row>
    <row r="1208" spans="1:2" x14ac:dyDescent="0.3">
      <c r="A1208" s="22">
        <f>YEAR(Table1[[#This Row],[Order Date]])</f>
        <v>2016</v>
      </c>
      <c r="B1208" s="5" t="s">
        <v>1078</v>
      </c>
    </row>
    <row r="1209" spans="1:2" x14ac:dyDescent="0.3">
      <c r="A1209" s="23">
        <f>YEAR(Table1[[#This Row],[Order Date]])</f>
        <v>2016</v>
      </c>
      <c r="B1209" s="6" t="s">
        <v>1183</v>
      </c>
    </row>
    <row r="1210" spans="1:2" x14ac:dyDescent="0.3">
      <c r="A1210" s="22">
        <f>YEAR(Table1[[#This Row],[Order Date]])</f>
        <v>2016</v>
      </c>
      <c r="B1210" s="5" t="s">
        <v>1732</v>
      </c>
    </row>
    <row r="1211" spans="1:2" x14ac:dyDescent="0.3">
      <c r="A1211" s="23">
        <f>YEAR(Table1[[#This Row],[Order Date]])</f>
        <v>2016</v>
      </c>
      <c r="B1211" s="6" t="s">
        <v>1247</v>
      </c>
    </row>
    <row r="1212" spans="1:2" x14ac:dyDescent="0.3">
      <c r="A1212" s="22">
        <f>YEAR(Table1[[#This Row],[Order Date]])</f>
        <v>2016</v>
      </c>
      <c r="B1212" s="5" t="s">
        <v>1759</v>
      </c>
    </row>
    <row r="1213" spans="1:2" x14ac:dyDescent="0.3">
      <c r="A1213" s="23">
        <f>YEAR(Table1[[#This Row],[Order Date]])</f>
        <v>2016</v>
      </c>
      <c r="B1213" s="6" t="s">
        <v>560</v>
      </c>
    </row>
    <row r="1214" spans="1:2" x14ac:dyDescent="0.3">
      <c r="A1214" s="22">
        <f>YEAR(Table1[[#This Row],[Order Date]])</f>
        <v>2016</v>
      </c>
      <c r="B1214" s="5" t="s">
        <v>2404</v>
      </c>
    </row>
    <row r="1215" spans="1:2" x14ac:dyDescent="0.3">
      <c r="A1215" s="23">
        <f>YEAR(Table1[[#This Row],[Order Date]])</f>
        <v>2016</v>
      </c>
      <c r="B1215" s="6" t="s">
        <v>2011</v>
      </c>
    </row>
    <row r="1216" spans="1:2" x14ac:dyDescent="0.3">
      <c r="A1216" s="22">
        <f>YEAR(Table1[[#This Row],[Order Date]])</f>
        <v>2016</v>
      </c>
      <c r="B1216" s="5" t="s">
        <v>2014</v>
      </c>
    </row>
    <row r="1217" spans="1:2" x14ac:dyDescent="0.3">
      <c r="A1217" s="23">
        <f>YEAR(Table1[[#This Row],[Order Date]])</f>
        <v>2016</v>
      </c>
      <c r="B1217" s="6" t="s">
        <v>478</v>
      </c>
    </row>
    <row r="1218" spans="1:2" x14ac:dyDescent="0.3">
      <c r="A1218" s="22">
        <f>YEAR(Table1[[#This Row],[Order Date]])</f>
        <v>2016</v>
      </c>
      <c r="B1218" s="5" t="s">
        <v>2130</v>
      </c>
    </row>
    <row r="1219" spans="1:2" x14ac:dyDescent="0.3">
      <c r="A1219" s="23">
        <f>YEAR(Table1[[#This Row],[Order Date]])</f>
        <v>2016</v>
      </c>
      <c r="B1219" s="6" t="s">
        <v>2130</v>
      </c>
    </row>
    <row r="1220" spans="1:2" x14ac:dyDescent="0.3">
      <c r="A1220" s="22">
        <f>YEAR(Table1[[#This Row],[Order Date]])</f>
        <v>2016</v>
      </c>
      <c r="B1220" s="5" t="s">
        <v>1080</v>
      </c>
    </row>
    <row r="1221" spans="1:2" x14ac:dyDescent="0.3">
      <c r="A1221" s="23">
        <f>YEAR(Table1[[#This Row],[Order Date]])</f>
        <v>2016</v>
      </c>
      <c r="B1221" s="6" t="s">
        <v>1796</v>
      </c>
    </row>
    <row r="1222" spans="1:2" x14ac:dyDescent="0.3">
      <c r="A1222" s="22">
        <f>YEAR(Table1[[#This Row],[Order Date]])</f>
        <v>2016</v>
      </c>
      <c r="B1222" s="5" t="s">
        <v>1796</v>
      </c>
    </row>
    <row r="1223" spans="1:2" x14ac:dyDescent="0.3">
      <c r="A1223" s="23">
        <f>YEAR(Table1[[#This Row],[Order Date]])</f>
        <v>2016</v>
      </c>
      <c r="B1223" s="6" t="s">
        <v>1796</v>
      </c>
    </row>
    <row r="1224" spans="1:2" x14ac:dyDescent="0.3">
      <c r="A1224" s="22">
        <f>YEAR(Table1[[#This Row],[Order Date]])</f>
        <v>2016</v>
      </c>
      <c r="B1224" s="5" t="s">
        <v>1796</v>
      </c>
    </row>
    <row r="1225" spans="1:2" x14ac:dyDescent="0.3">
      <c r="A1225" s="23">
        <f>YEAR(Table1[[#This Row],[Order Date]])</f>
        <v>2016</v>
      </c>
      <c r="B1225" s="6" t="s">
        <v>1796</v>
      </c>
    </row>
    <row r="1226" spans="1:2" x14ac:dyDescent="0.3">
      <c r="A1226" s="22">
        <f>YEAR(Table1[[#This Row],[Order Date]])</f>
        <v>2016</v>
      </c>
      <c r="B1226" s="5" t="s">
        <v>750</v>
      </c>
    </row>
    <row r="1227" spans="1:2" x14ac:dyDescent="0.3">
      <c r="A1227" s="23">
        <f>YEAR(Table1[[#This Row],[Order Date]])</f>
        <v>2016</v>
      </c>
      <c r="B1227" s="6" t="s">
        <v>32</v>
      </c>
    </row>
    <row r="1228" spans="1:2" x14ac:dyDescent="0.3">
      <c r="A1228" s="22">
        <f>YEAR(Table1[[#This Row],[Order Date]])</f>
        <v>2016</v>
      </c>
      <c r="B1228" s="5" t="s">
        <v>2507</v>
      </c>
    </row>
    <row r="1229" spans="1:2" x14ac:dyDescent="0.3">
      <c r="A1229" s="23">
        <f>YEAR(Table1[[#This Row],[Order Date]])</f>
        <v>2016</v>
      </c>
      <c r="B1229" s="6" t="s">
        <v>2507</v>
      </c>
    </row>
    <row r="1230" spans="1:2" x14ac:dyDescent="0.3">
      <c r="A1230" s="22">
        <f>YEAR(Table1[[#This Row],[Order Date]])</f>
        <v>2016</v>
      </c>
      <c r="B1230" s="5" t="s">
        <v>2371</v>
      </c>
    </row>
    <row r="1231" spans="1:2" x14ac:dyDescent="0.3">
      <c r="A1231" s="23">
        <f>YEAR(Table1[[#This Row],[Order Date]])</f>
        <v>2016</v>
      </c>
      <c r="B1231" s="6" t="s">
        <v>1598</v>
      </c>
    </row>
    <row r="1232" spans="1:2" x14ac:dyDescent="0.3">
      <c r="A1232" s="22">
        <f>YEAR(Table1[[#This Row],[Order Date]])</f>
        <v>2016</v>
      </c>
      <c r="B1232" s="5" t="s">
        <v>549</v>
      </c>
    </row>
    <row r="1233" spans="1:2" x14ac:dyDescent="0.3">
      <c r="A1233" s="23">
        <f>YEAR(Table1[[#This Row],[Order Date]])</f>
        <v>2016</v>
      </c>
      <c r="B1233" s="6" t="s">
        <v>549</v>
      </c>
    </row>
    <row r="1234" spans="1:2" x14ac:dyDescent="0.3">
      <c r="A1234" s="22">
        <f>YEAR(Table1[[#This Row],[Order Date]])</f>
        <v>2016</v>
      </c>
      <c r="B1234" s="5" t="s">
        <v>798</v>
      </c>
    </row>
    <row r="1235" spans="1:2" x14ac:dyDescent="0.3">
      <c r="A1235" s="23">
        <f>YEAR(Table1[[#This Row],[Order Date]])</f>
        <v>2016</v>
      </c>
      <c r="B1235" s="6" t="s">
        <v>694</v>
      </c>
    </row>
    <row r="1236" spans="1:2" x14ac:dyDescent="0.3">
      <c r="A1236" s="22">
        <f>YEAR(Table1[[#This Row],[Order Date]])</f>
        <v>2016</v>
      </c>
      <c r="B1236" s="5" t="s">
        <v>694</v>
      </c>
    </row>
    <row r="1237" spans="1:2" x14ac:dyDescent="0.3">
      <c r="A1237" s="23">
        <f>YEAR(Table1[[#This Row],[Order Date]])</f>
        <v>2016</v>
      </c>
      <c r="B1237" s="6" t="s">
        <v>694</v>
      </c>
    </row>
    <row r="1238" spans="1:2" x14ac:dyDescent="0.3">
      <c r="A1238" s="22">
        <f>YEAR(Table1[[#This Row],[Order Date]])</f>
        <v>2016</v>
      </c>
      <c r="B1238" s="5" t="s">
        <v>694</v>
      </c>
    </row>
    <row r="1239" spans="1:2" x14ac:dyDescent="0.3">
      <c r="A1239" s="23">
        <f>YEAR(Table1[[#This Row],[Order Date]])</f>
        <v>2016</v>
      </c>
      <c r="B1239" s="6" t="s">
        <v>238</v>
      </c>
    </row>
    <row r="1240" spans="1:2" x14ac:dyDescent="0.3">
      <c r="A1240" s="22">
        <f>YEAR(Table1[[#This Row],[Order Date]])</f>
        <v>2016</v>
      </c>
      <c r="B1240" s="5" t="s">
        <v>238</v>
      </c>
    </row>
    <row r="1241" spans="1:2" x14ac:dyDescent="0.3">
      <c r="A1241" s="23">
        <f>YEAR(Table1[[#This Row],[Order Date]])</f>
        <v>2016</v>
      </c>
      <c r="B1241" s="6" t="s">
        <v>2184</v>
      </c>
    </row>
    <row r="1242" spans="1:2" x14ac:dyDescent="0.3">
      <c r="A1242" s="22">
        <f>YEAR(Table1[[#This Row],[Order Date]])</f>
        <v>2016</v>
      </c>
      <c r="B1242" s="5" t="s">
        <v>373</v>
      </c>
    </row>
    <row r="1243" spans="1:2" x14ac:dyDescent="0.3">
      <c r="A1243" s="23">
        <f>YEAR(Table1[[#This Row],[Order Date]])</f>
        <v>2016</v>
      </c>
      <c r="B1243" s="6" t="s">
        <v>2387</v>
      </c>
    </row>
    <row r="1244" spans="1:2" x14ac:dyDescent="0.3">
      <c r="A1244" s="22">
        <f>YEAR(Table1[[#This Row],[Order Date]])</f>
        <v>2016</v>
      </c>
      <c r="B1244" s="5" t="s">
        <v>1384</v>
      </c>
    </row>
    <row r="1245" spans="1:2" x14ac:dyDescent="0.3">
      <c r="A1245" s="23">
        <f>YEAR(Table1[[#This Row],[Order Date]])</f>
        <v>2016</v>
      </c>
      <c r="B1245" s="6" t="s">
        <v>299</v>
      </c>
    </row>
    <row r="1246" spans="1:2" x14ac:dyDescent="0.3">
      <c r="A1246" s="22">
        <f>YEAR(Table1[[#This Row],[Order Date]])</f>
        <v>2016</v>
      </c>
      <c r="B1246" s="5" t="s">
        <v>299</v>
      </c>
    </row>
    <row r="1247" spans="1:2" x14ac:dyDescent="0.3">
      <c r="A1247" s="23">
        <f>YEAR(Table1[[#This Row],[Order Date]])</f>
        <v>2016</v>
      </c>
      <c r="B1247" s="6" t="s">
        <v>2420</v>
      </c>
    </row>
    <row r="1248" spans="1:2" x14ac:dyDescent="0.3">
      <c r="A1248" s="22">
        <f>YEAR(Table1[[#This Row],[Order Date]])</f>
        <v>2016</v>
      </c>
      <c r="B1248" s="5" t="s">
        <v>196</v>
      </c>
    </row>
    <row r="1249" spans="1:2" x14ac:dyDescent="0.3">
      <c r="A1249" s="23">
        <f>YEAR(Table1[[#This Row],[Order Date]])</f>
        <v>2016</v>
      </c>
      <c r="B1249" s="6" t="s">
        <v>1749</v>
      </c>
    </row>
    <row r="1250" spans="1:2" x14ac:dyDescent="0.3">
      <c r="A1250" s="22">
        <f>YEAR(Table1[[#This Row],[Order Date]])</f>
        <v>2016</v>
      </c>
      <c r="B1250" s="5" t="s">
        <v>1136</v>
      </c>
    </row>
    <row r="1251" spans="1:2" x14ac:dyDescent="0.3">
      <c r="A1251" s="23">
        <f>YEAR(Table1[[#This Row],[Order Date]])</f>
        <v>2016</v>
      </c>
      <c r="B1251" s="6" t="s">
        <v>930</v>
      </c>
    </row>
    <row r="1252" spans="1:2" x14ac:dyDescent="0.3">
      <c r="A1252" s="22">
        <f>YEAR(Table1[[#This Row],[Order Date]])</f>
        <v>2016</v>
      </c>
      <c r="B1252" s="5" t="s">
        <v>2060</v>
      </c>
    </row>
    <row r="1253" spans="1:2" x14ac:dyDescent="0.3">
      <c r="A1253" s="23">
        <f>YEAR(Table1[[#This Row],[Order Date]])</f>
        <v>2016</v>
      </c>
      <c r="B1253" s="6" t="s">
        <v>1838</v>
      </c>
    </row>
    <row r="1254" spans="1:2" x14ac:dyDescent="0.3">
      <c r="A1254" s="22">
        <f>YEAR(Table1[[#This Row],[Order Date]])</f>
        <v>2016</v>
      </c>
      <c r="B1254" s="5" t="s">
        <v>1258</v>
      </c>
    </row>
    <row r="1255" spans="1:2" x14ac:dyDescent="0.3">
      <c r="A1255" s="23">
        <f>YEAR(Table1[[#This Row],[Order Date]])</f>
        <v>2016</v>
      </c>
      <c r="B1255" s="6" t="s">
        <v>882</v>
      </c>
    </row>
    <row r="1256" spans="1:2" x14ac:dyDescent="0.3">
      <c r="A1256" s="22">
        <f>YEAR(Table1[[#This Row],[Order Date]])</f>
        <v>2016</v>
      </c>
      <c r="B1256" s="5" t="s">
        <v>882</v>
      </c>
    </row>
    <row r="1257" spans="1:2" x14ac:dyDescent="0.3">
      <c r="A1257" s="23">
        <f>YEAR(Table1[[#This Row],[Order Date]])</f>
        <v>2016</v>
      </c>
      <c r="B1257" s="6" t="s">
        <v>1372</v>
      </c>
    </row>
    <row r="1258" spans="1:2" x14ac:dyDescent="0.3">
      <c r="A1258" s="22">
        <f>YEAR(Table1[[#This Row],[Order Date]])</f>
        <v>2016</v>
      </c>
      <c r="B1258" s="5" t="s">
        <v>2087</v>
      </c>
    </row>
    <row r="1259" spans="1:2" x14ac:dyDescent="0.3">
      <c r="A1259" s="23">
        <f>YEAR(Table1[[#This Row],[Order Date]])</f>
        <v>2016</v>
      </c>
      <c r="B1259" s="6" t="s">
        <v>2064</v>
      </c>
    </row>
    <row r="1260" spans="1:2" x14ac:dyDescent="0.3">
      <c r="A1260" s="22">
        <f>YEAR(Table1[[#This Row],[Order Date]])</f>
        <v>2016</v>
      </c>
      <c r="B1260" s="5" t="s">
        <v>2214</v>
      </c>
    </row>
    <row r="1261" spans="1:2" x14ac:dyDescent="0.3">
      <c r="A1261" s="23">
        <f>YEAR(Table1[[#This Row],[Order Date]])</f>
        <v>2016</v>
      </c>
      <c r="B1261" s="6" t="s">
        <v>2214</v>
      </c>
    </row>
    <row r="1262" spans="1:2" x14ac:dyDescent="0.3">
      <c r="A1262" s="22">
        <f>YEAR(Table1[[#This Row],[Order Date]])</f>
        <v>2016</v>
      </c>
      <c r="B1262" s="5" t="s">
        <v>522</v>
      </c>
    </row>
    <row r="1263" spans="1:2" x14ac:dyDescent="0.3">
      <c r="A1263" s="23">
        <f>YEAR(Table1[[#This Row],[Order Date]])</f>
        <v>2016</v>
      </c>
      <c r="B1263" s="6" t="s">
        <v>1580</v>
      </c>
    </row>
    <row r="1264" spans="1:2" x14ac:dyDescent="0.3">
      <c r="A1264" s="22">
        <f>YEAR(Table1[[#This Row],[Order Date]])</f>
        <v>2016</v>
      </c>
      <c r="B1264" s="5" t="s">
        <v>1235</v>
      </c>
    </row>
    <row r="1265" spans="1:2" x14ac:dyDescent="0.3">
      <c r="A1265" s="23">
        <f>YEAR(Table1[[#This Row],[Order Date]])</f>
        <v>2016</v>
      </c>
      <c r="B1265" s="6" t="s">
        <v>1426</v>
      </c>
    </row>
    <row r="1266" spans="1:2" x14ac:dyDescent="0.3">
      <c r="A1266" s="22">
        <f>YEAR(Table1[[#This Row],[Order Date]])</f>
        <v>2016</v>
      </c>
      <c r="B1266" s="5" t="s">
        <v>1462</v>
      </c>
    </row>
    <row r="1267" spans="1:2" x14ac:dyDescent="0.3">
      <c r="A1267" s="23">
        <f>YEAR(Table1[[#This Row],[Order Date]])</f>
        <v>2016</v>
      </c>
      <c r="B1267" s="6" t="s">
        <v>622</v>
      </c>
    </row>
    <row r="1268" spans="1:2" x14ac:dyDescent="0.3">
      <c r="A1268" s="22">
        <f>YEAR(Table1[[#This Row],[Order Date]])</f>
        <v>2016</v>
      </c>
      <c r="B1268" s="5" t="s">
        <v>642</v>
      </c>
    </row>
    <row r="1269" spans="1:2" x14ac:dyDescent="0.3">
      <c r="A1269" s="23">
        <f>YEAR(Table1[[#This Row],[Order Date]])</f>
        <v>2016</v>
      </c>
      <c r="B1269" s="6" t="s">
        <v>284</v>
      </c>
    </row>
    <row r="1270" spans="1:2" x14ac:dyDescent="0.3">
      <c r="A1270" s="22">
        <f>YEAR(Table1[[#This Row],[Order Date]])</f>
        <v>2016</v>
      </c>
      <c r="B1270" s="5" t="s">
        <v>570</v>
      </c>
    </row>
    <row r="1271" spans="1:2" x14ac:dyDescent="0.3">
      <c r="A1271" s="23">
        <f>YEAR(Table1[[#This Row],[Order Date]])</f>
        <v>2016</v>
      </c>
      <c r="B1271" s="6" t="s">
        <v>2504</v>
      </c>
    </row>
    <row r="1272" spans="1:2" x14ac:dyDescent="0.3">
      <c r="A1272" s="22">
        <f>YEAR(Table1[[#This Row],[Order Date]])</f>
        <v>2016</v>
      </c>
      <c r="B1272" s="5" t="s">
        <v>1243</v>
      </c>
    </row>
    <row r="1273" spans="1:2" x14ac:dyDescent="0.3">
      <c r="A1273" s="23">
        <f>YEAR(Table1[[#This Row],[Order Date]])</f>
        <v>2016</v>
      </c>
      <c r="B1273" s="6" t="s">
        <v>1155</v>
      </c>
    </row>
    <row r="1274" spans="1:2" x14ac:dyDescent="0.3">
      <c r="A1274" s="22">
        <f>YEAR(Table1[[#This Row],[Order Date]])</f>
        <v>2016</v>
      </c>
      <c r="B1274" s="5" t="s">
        <v>1155</v>
      </c>
    </row>
    <row r="1275" spans="1:2" x14ac:dyDescent="0.3">
      <c r="A1275" s="23">
        <f>YEAR(Table1[[#This Row],[Order Date]])</f>
        <v>2016</v>
      </c>
      <c r="B1275" s="6" t="s">
        <v>1414</v>
      </c>
    </row>
    <row r="1276" spans="1:2" x14ac:dyDescent="0.3">
      <c r="A1276" s="22">
        <f>YEAR(Table1[[#This Row],[Order Date]])</f>
        <v>2016</v>
      </c>
      <c r="B1276" s="5" t="s">
        <v>2176</v>
      </c>
    </row>
    <row r="1277" spans="1:2" x14ac:dyDescent="0.3">
      <c r="A1277" s="23">
        <f>YEAR(Table1[[#This Row],[Order Date]])</f>
        <v>2016</v>
      </c>
      <c r="B1277" s="6" t="s">
        <v>955</v>
      </c>
    </row>
    <row r="1278" spans="1:2" x14ac:dyDescent="0.3">
      <c r="A1278" s="22">
        <f>YEAR(Table1[[#This Row],[Order Date]])</f>
        <v>2016</v>
      </c>
      <c r="B1278" s="5" t="s">
        <v>2018</v>
      </c>
    </row>
    <row r="1279" spans="1:2" x14ac:dyDescent="0.3">
      <c r="A1279" s="23">
        <f>YEAR(Table1[[#This Row],[Order Date]])</f>
        <v>2016</v>
      </c>
      <c r="B1279" s="6" t="s">
        <v>478</v>
      </c>
    </row>
    <row r="1280" spans="1:2" x14ac:dyDescent="0.3">
      <c r="A1280" s="22">
        <f>YEAR(Table1[[#This Row],[Order Date]])</f>
        <v>2016</v>
      </c>
      <c r="B1280" s="5" t="s">
        <v>238</v>
      </c>
    </row>
    <row r="1281" spans="1:2" x14ac:dyDescent="0.3">
      <c r="A1281" s="23">
        <f>YEAR(Table1[[#This Row],[Order Date]])</f>
        <v>2016</v>
      </c>
      <c r="B1281" s="6" t="s">
        <v>214</v>
      </c>
    </row>
    <row r="1282" spans="1:2" x14ac:dyDescent="0.3">
      <c r="A1282" s="22">
        <f>YEAR(Table1[[#This Row],[Order Date]])</f>
        <v>2016</v>
      </c>
      <c r="B1282" s="5" t="s">
        <v>440</v>
      </c>
    </row>
    <row r="1283" spans="1:2" x14ac:dyDescent="0.3">
      <c r="A1283" s="23">
        <f>YEAR(Table1[[#This Row],[Order Date]])</f>
        <v>2016</v>
      </c>
      <c r="B1283" s="6" t="s">
        <v>2453</v>
      </c>
    </row>
    <row r="1284" spans="1:2" x14ac:dyDescent="0.3">
      <c r="A1284" s="22">
        <f>YEAR(Table1[[#This Row],[Order Date]])</f>
        <v>2016</v>
      </c>
      <c r="B1284" s="5" t="s">
        <v>473</v>
      </c>
    </row>
    <row r="1285" spans="1:2" x14ac:dyDescent="0.3">
      <c r="A1285" s="23">
        <f>YEAR(Table1[[#This Row],[Order Date]])</f>
        <v>2016</v>
      </c>
      <c r="B1285" s="6" t="s">
        <v>1681</v>
      </c>
    </row>
    <row r="1286" spans="1:2" x14ac:dyDescent="0.3">
      <c r="A1286" s="22">
        <f>YEAR(Table1[[#This Row],[Order Date]])</f>
        <v>2016</v>
      </c>
      <c r="B1286" s="5" t="s">
        <v>2507</v>
      </c>
    </row>
    <row r="1287" spans="1:2" x14ac:dyDescent="0.3">
      <c r="A1287" s="23">
        <f>YEAR(Table1[[#This Row],[Order Date]])</f>
        <v>2016</v>
      </c>
      <c r="B1287" s="6" t="s">
        <v>2241</v>
      </c>
    </row>
    <row r="1288" spans="1:2" x14ac:dyDescent="0.3">
      <c r="A1288" s="22">
        <f>YEAR(Table1[[#This Row],[Order Date]])</f>
        <v>2016</v>
      </c>
      <c r="B1288" s="5" t="s">
        <v>2236</v>
      </c>
    </row>
    <row r="1289" spans="1:2" x14ac:dyDescent="0.3">
      <c r="A1289" s="23">
        <f>YEAR(Table1[[#This Row],[Order Date]])</f>
        <v>2016</v>
      </c>
      <c r="B1289" s="6" t="s">
        <v>327</v>
      </c>
    </row>
    <row r="1290" spans="1:2" x14ac:dyDescent="0.3">
      <c r="A1290" s="22">
        <f>YEAR(Table1[[#This Row],[Order Date]])</f>
        <v>2016</v>
      </c>
      <c r="B1290" s="5" t="s">
        <v>1221</v>
      </c>
    </row>
    <row r="1291" spans="1:2" x14ac:dyDescent="0.3">
      <c r="A1291" s="23">
        <f>YEAR(Table1[[#This Row],[Order Date]])</f>
        <v>2016</v>
      </c>
      <c r="B1291" s="6" t="s">
        <v>1221</v>
      </c>
    </row>
    <row r="1292" spans="1:2" x14ac:dyDescent="0.3">
      <c r="A1292" s="22">
        <f>YEAR(Table1[[#This Row],[Order Date]])</f>
        <v>2016</v>
      </c>
      <c r="B1292" s="5" t="s">
        <v>1380</v>
      </c>
    </row>
    <row r="1293" spans="1:2" x14ac:dyDescent="0.3">
      <c r="A1293" s="23">
        <f>YEAR(Table1[[#This Row],[Order Date]])</f>
        <v>2016</v>
      </c>
      <c r="B1293" s="6" t="s">
        <v>1112</v>
      </c>
    </row>
    <row r="1294" spans="1:2" x14ac:dyDescent="0.3">
      <c r="A1294" s="22">
        <f>YEAR(Table1[[#This Row],[Order Date]])</f>
        <v>2016</v>
      </c>
      <c r="B1294" s="5" t="s">
        <v>580</v>
      </c>
    </row>
    <row r="1295" spans="1:2" x14ac:dyDescent="0.3">
      <c r="A1295" s="23">
        <f>YEAR(Table1[[#This Row],[Order Date]])</f>
        <v>2016</v>
      </c>
      <c r="B1295" s="6" t="s">
        <v>801</v>
      </c>
    </row>
    <row r="1296" spans="1:2" x14ac:dyDescent="0.3">
      <c r="A1296" s="22">
        <f>YEAR(Table1[[#This Row],[Order Date]])</f>
        <v>2016</v>
      </c>
      <c r="B1296" s="5" t="s">
        <v>2448</v>
      </c>
    </row>
    <row r="1297" spans="1:2" x14ac:dyDescent="0.3">
      <c r="A1297" s="23">
        <f>YEAR(Table1[[#This Row],[Order Date]])</f>
        <v>2016</v>
      </c>
      <c r="B1297" s="6" t="s">
        <v>1043</v>
      </c>
    </row>
    <row r="1298" spans="1:2" x14ac:dyDescent="0.3">
      <c r="A1298" s="22">
        <f>YEAR(Table1[[#This Row],[Order Date]])</f>
        <v>2016</v>
      </c>
      <c r="B1298" s="5" t="s">
        <v>519</v>
      </c>
    </row>
    <row r="1299" spans="1:2" x14ac:dyDescent="0.3">
      <c r="A1299" s="23">
        <f>YEAR(Table1[[#This Row],[Order Date]])</f>
        <v>2016</v>
      </c>
      <c r="B1299" s="6" t="s">
        <v>1046</v>
      </c>
    </row>
    <row r="1300" spans="1:2" x14ac:dyDescent="0.3">
      <c r="A1300" s="22">
        <f>YEAR(Table1[[#This Row],[Order Date]])</f>
        <v>2016</v>
      </c>
      <c r="B1300" s="5" t="s">
        <v>2484</v>
      </c>
    </row>
    <row r="1301" spans="1:2" x14ac:dyDescent="0.3">
      <c r="A1301" s="23">
        <f>YEAR(Table1[[#This Row],[Order Date]])</f>
        <v>2016</v>
      </c>
      <c r="B1301" s="6" t="s">
        <v>2484</v>
      </c>
    </row>
    <row r="1302" spans="1:2" x14ac:dyDescent="0.3">
      <c r="A1302" s="22">
        <f>YEAR(Table1[[#This Row],[Order Date]])</f>
        <v>2016</v>
      </c>
      <c r="B1302" s="5" t="s">
        <v>1438</v>
      </c>
    </row>
    <row r="1303" spans="1:2" x14ac:dyDescent="0.3">
      <c r="A1303" s="23">
        <f>YEAR(Table1[[#This Row],[Order Date]])</f>
        <v>2016</v>
      </c>
      <c r="B1303" s="6" t="s">
        <v>1548</v>
      </c>
    </row>
    <row r="1304" spans="1:2" x14ac:dyDescent="0.3">
      <c r="A1304" s="22">
        <f>YEAR(Table1[[#This Row],[Order Date]])</f>
        <v>2016</v>
      </c>
      <c r="B1304" s="5" t="s">
        <v>1418</v>
      </c>
    </row>
    <row r="1305" spans="1:2" x14ac:dyDescent="0.3">
      <c r="A1305" s="23">
        <f>YEAR(Table1[[#This Row],[Order Date]])</f>
        <v>2016</v>
      </c>
      <c r="B1305" s="6" t="s">
        <v>903</v>
      </c>
    </row>
    <row r="1306" spans="1:2" x14ac:dyDescent="0.3">
      <c r="A1306" s="22">
        <f>YEAR(Table1[[#This Row],[Order Date]])</f>
        <v>2016</v>
      </c>
      <c r="B1306" s="5" t="s">
        <v>1476</v>
      </c>
    </row>
    <row r="1307" spans="1:2" x14ac:dyDescent="0.3">
      <c r="A1307" s="23">
        <f>YEAR(Table1[[#This Row],[Order Date]])</f>
        <v>2016</v>
      </c>
      <c r="B1307" s="6" t="s">
        <v>1988</v>
      </c>
    </row>
    <row r="1308" spans="1:2" x14ac:dyDescent="0.3">
      <c r="A1308" s="22">
        <f>YEAR(Table1[[#This Row],[Order Date]])</f>
        <v>2016</v>
      </c>
      <c r="B1308" s="5" t="s">
        <v>1430</v>
      </c>
    </row>
    <row r="1309" spans="1:2" x14ac:dyDescent="0.3">
      <c r="A1309" s="23">
        <f>YEAR(Table1[[#This Row],[Order Date]])</f>
        <v>2016</v>
      </c>
      <c r="B1309" s="6" t="s">
        <v>440</v>
      </c>
    </row>
    <row r="1310" spans="1:2" x14ac:dyDescent="0.3">
      <c r="A1310" s="22">
        <f>YEAR(Table1[[#This Row],[Order Date]])</f>
        <v>2016</v>
      </c>
      <c r="B1310" s="5" t="s">
        <v>2112</v>
      </c>
    </row>
    <row r="1311" spans="1:2" x14ac:dyDescent="0.3">
      <c r="A1311" s="23">
        <f>YEAR(Table1[[#This Row],[Order Date]])</f>
        <v>2016</v>
      </c>
      <c r="B1311" s="6" t="s">
        <v>609</v>
      </c>
    </row>
    <row r="1312" spans="1:2" x14ac:dyDescent="0.3">
      <c r="A1312" s="22">
        <f>YEAR(Table1[[#This Row],[Order Date]])</f>
        <v>2016</v>
      </c>
      <c r="B1312" s="5" t="s">
        <v>440</v>
      </c>
    </row>
    <row r="1313" spans="1:2" x14ac:dyDescent="0.3">
      <c r="A1313" s="23">
        <f>YEAR(Table1[[#This Row],[Order Date]])</f>
        <v>2016</v>
      </c>
      <c r="B1313" s="6" t="s">
        <v>1352</v>
      </c>
    </row>
    <row r="1314" spans="1:2" x14ac:dyDescent="0.3">
      <c r="A1314" s="22">
        <f>YEAR(Table1[[#This Row],[Order Date]])</f>
        <v>2016</v>
      </c>
      <c r="B1314" s="5" t="s">
        <v>1591</v>
      </c>
    </row>
    <row r="1315" spans="1:2" x14ac:dyDescent="0.3">
      <c r="A1315" s="23">
        <f>YEAR(Table1[[#This Row],[Order Date]])</f>
        <v>2016</v>
      </c>
      <c r="B1315" s="6" t="s">
        <v>275</v>
      </c>
    </row>
    <row r="1316" spans="1:2" x14ac:dyDescent="0.3">
      <c r="A1316" s="22">
        <f>YEAR(Table1[[#This Row],[Order Date]])</f>
        <v>2016</v>
      </c>
      <c r="B1316" s="5" t="s">
        <v>275</v>
      </c>
    </row>
    <row r="1317" spans="1:2" x14ac:dyDescent="0.3">
      <c r="A1317" s="23">
        <f>YEAR(Table1[[#This Row],[Order Date]])</f>
        <v>2016</v>
      </c>
      <c r="B1317" s="6" t="s">
        <v>1673</v>
      </c>
    </row>
    <row r="1318" spans="1:2" x14ac:dyDescent="0.3">
      <c r="A1318" s="22">
        <f>YEAR(Table1[[#This Row],[Order Date]])</f>
        <v>2016</v>
      </c>
      <c r="B1318" s="5" t="s">
        <v>1080</v>
      </c>
    </row>
    <row r="1319" spans="1:2" x14ac:dyDescent="0.3">
      <c r="A1319" s="23">
        <f>YEAR(Table1[[#This Row],[Order Date]])</f>
        <v>2016</v>
      </c>
      <c r="B1319" s="6" t="s">
        <v>1992</v>
      </c>
    </row>
    <row r="1320" spans="1:2" x14ac:dyDescent="0.3">
      <c r="A1320" s="22">
        <f>YEAR(Table1[[#This Row],[Order Date]])</f>
        <v>2016</v>
      </c>
      <c r="B1320" s="5" t="s">
        <v>2392</v>
      </c>
    </row>
    <row r="1321" spans="1:2" x14ac:dyDescent="0.3">
      <c r="A1321" s="23">
        <f>YEAR(Table1[[#This Row],[Order Date]])</f>
        <v>2016</v>
      </c>
      <c r="B1321" s="6" t="s">
        <v>1260</v>
      </c>
    </row>
    <row r="1322" spans="1:2" x14ac:dyDescent="0.3">
      <c r="A1322" s="22">
        <f>YEAR(Table1[[#This Row],[Order Date]])</f>
        <v>2016</v>
      </c>
      <c r="B1322" s="5" t="s">
        <v>2132</v>
      </c>
    </row>
    <row r="1323" spans="1:2" x14ac:dyDescent="0.3">
      <c r="A1323" s="23">
        <f>YEAR(Table1[[#This Row],[Order Date]])</f>
        <v>2016</v>
      </c>
      <c r="B1323" s="6" t="s">
        <v>2132</v>
      </c>
    </row>
    <row r="1324" spans="1:2" x14ac:dyDescent="0.3">
      <c r="A1324" s="22">
        <f>YEAR(Table1[[#This Row],[Order Date]])</f>
        <v>2016</v>
      </c>
      <c r="B1324" s="5" t="s">
        <v>2421</v>
      </c>
    </row>
    <row r="1325" spans="1:2" x14ac:dyDescent="0.3">
      <c r="A1325" s="23">
        <f>YEAR(Table1[[#This Row],[Order Date]])</f>
        <v>2016</v>
      </c>
      <c r="B1325" s="6" t="s">
        <v>1158</v>
      </c>
    </row>
    <row r="1326" spans="1:2" x14ac:dyDescent="0.3">
      <c r="A1326" s="22">
        <f>YEAR(Table1[[#This Row],[Order Date]])</f>
        <v>2016</v>
      </c>
      <c r="B1326" s="5" t="s">
        <v>1158</v>
      </c>
    </row>
    <row r="1327" spans="1:2" x14ac:dyDescent="0.3">
      <c r="A1327" s="23">
        <f>YEAR(Table1[[#This Row],[Order Date]])</f>
        <v>2016</v>
      </c>
      <c r="B1327" s="6" t="s">
        <v>1527</v>
      </c>
    </row>
    <row r="1328" spans="1:2" x14ac:dyDescent="0.3">
      <c r="A1328" s="22">
        <f>YEAR(Table1[[#This Row],[Order Date]])</f>
        <v>2016</v>
      </c>
      <c r="B1328" s="5" t="s">
        <v>2179</v>
      </c>
    </row>
    <row r="1329" spans="1:2" x14ac:dyDescent="0.3">
      <c r="A1329" s="23">
        <f>YEAR(Table1[[#This Row],[Order Date]])</f>
        <v>2016</v>
      </c>
      <c r="B1329" s="6" t="s">
        <v>1152</v>
      </c>
    </row>
    <row r="1330" spans="1:2" x14ac:dyDescent="0.3">
      <c r="A1330" s="22">
        <f>YEAR(Table1[[#This Row],[Order Date]])</f>
        <v>2016</v>
      </c>
      <c r="B1330" s="5" t="s">
        <v>1725</v>
      </c>
    </row>
    <row r="1331" spans="1:2" x14ac:dyDescent="0.3">
      <c r="A1331" s="23">
        <f>YEAR(Table1[[#This Row],[Order Date]])</f>
        <v>2016</v>
      </c>
      <c r="B1331" s="6" t="s">
        <v>574</v>
      </c>
    </row>
    <row r="1332" spans="1:2" x14ac:dyDescent="0.3">
      <c r="A1332" s="22">
        <f>YEAR(Table1[[#This Row],[Order Date]])</f>
        <v>2016</v>
      </c>
      <c r="B1332" s="5" t="s">
        <v>574</v>
      </c>
    </row>
    <row r="1333" spans="1:2" x14ac:dyDescent="0.3">
      <c r="A1333" s="23">
        <f>YEAR(Table1[[#This Row],[Order Date]])</f>
        <v>2016</v>
      </c>
      <c r="B1333" s="6" t="s">
        <v>516</v>
      </c>
    </row>
    <row r="1334" spans="1:2" x14ac:dyDescent="0.3">
      <c r="A1334" s="22">
        <f>YEAR(Table1[[#This Row],[Order Date]])</f>
        <v>2016</v>
      </c>
      <c r="B1334" s="5" t="s">
        <v>204</v>
      </c>
    </row>
    <row r="1335" spans="1:2" x14ac:dyDescent="0.3">
      <c r="A1335" s="23">
        <f>YEAR(Table1[[#This Row],[Order Date]])</f>
        <v>2016</v>
      </c>
      <c r="B1335" s="6" t="s">
        <v>1125</v>
      </c>
    </row>
    <row r="1336" spans="1:2" x14ac:dyDescent="0.3">
      <c r="A1336" s="22">
        <f>YEAR(Table1[[#This Row],[Order Date]])</f>
        <v>2016</v>
      </c>
      <c r="B1336" s="5" t="s">
        <v>1125</v>
      </c>
    </row>
    <row r="1337" spans="1:2" x14ac:dyDescent="0.3">
      <c r="A1337" s="23">
        <f>YEAR(Table1[[#This Row],[Order Date]])</f>
        <v>2016</v>
      </c>
      <c r="B1337" s="6" t="s">
        <v>1327</v>
      </c>
    </row>
    <row r="1338" spans="1:2" x14ac:dyDescent="0.3">
      <c r="A1338" s="22">
        <f>YEAR(Table1[[#This Row],[Order Date]])</f>
        <v>2016</v>
      </c>
      <c r="B1338" s="5" t="s">
        <v>1117</v>
      </c>
    </row>
    <row r="1339" spans="1:2" x14ac:dyDescent="0.3">
      <c r="A1339" s="23">
        <f>YEAR(Table1[[#This Row],[Order Date]])</f>
        <v>2016</v>
      </c>
      <c r="B1339" s="6" t="s">
        <v>494</v>
      </c>
    </row>
    <row r="1340" spans="1:2" x14ac:dyDescent="0.3">
      <c r="A1340" s="22">
        <f>YEAR(Table1[[#This Row],[Order Date]])</f>
        <v>2016</v>
      </c>
      <c r="B1340" s="5" t="s">
        <v>1343</v>
      </c>
    </row>
    <row r="1341" spans="1:2" x14ac:dyDescent="0.3">
      <c r="A1341" s="23">
        <f>YEAR(Table1[[#This Row],[Order Date]])</f>
        <v>2016</v>
      </c>
      <c r="B1341" s="6" t="s">
        <v>2264</v>
      </c>
    </row>
    <row r="1342" spans="1:2" x14ac:dyDescent="0.3">
      <c r="A1342" s="22">
        <f>YEAR(Table1[[#This Row],[Order Date]])</f>
        <v>2016</v>
      </c>
      <c r="B1342" s="5" t="s">
        <v>611</v>
      </c>
    </row>
    <row r="1343" spans="1:2" x14ac:dyDescent="0.3">
      <c r="A1343" s="23">
        <f>YEAR(Table1[[#This Row],[Order Date]])</f>
        <v>2016</v>
      </c>
      <c r="B1343" s="6" t="s">
        <v>1330</v>
      </c>
    </row>
    <row r="1344" spans="1:2" x14ac:dyDescent="0.3">
      <c r="A1344" s="22">
        <f>YEAR(Table1[[#This Row],[Order Date]])</f>
        <v>2016</v>
      </c>
      <c r="B1344" s="5" t="s">
        <v>206</v>
      </c>
    </row>
    <row r="1345" spans="1:2" x14ac:dyDescent="0.3">
      <c r="A1345" s="23">
        <f>YEAR(Table1[[#This Row],[Order Date]])</f>
        <v>2016</v>
      </c>
      <c r="B1345" s="6" t="s">
        <v>206</v>
      </c>
    </row>
    <row r="1346" spans="1:2" x14ac:dyDescent="0.3">
      <c r="A1346" s="22">
        <f>YEAR(Table1[[#This Row],[Order Date]])</f>
        <v>2016</v>
      </c>
      <c r="B1346" s="5" t="s">
        <v>893</v>
      </c>
    </row>
    <row r="1347" spans="1:2" x14ac:dyDescent="0.3">
      <c r="A1347" s="23">
        <f>YEAR(Table1[[#This Row],[Order Date]])</f>
        <v>2016</v>
      </c>
      <c r="B1347" s="6" t="s">
        <v>2421</v>
      </c>
    </row>
    <row r="1348" spans="1:2" x14ac:dyDescent="0.3">
      <c r="A1348" s="22">
        <f>YEAR(Table1[[#This Row],[Order Date]])</f>
        <v>2016</v>
      </c>
      <c r="B1348" s="5" t="s">
        <v>549</v>
      </c>
    </row>
    <row r="1349" spans="1:2" x14ac:dyDescent="0.3">
      <c r="A1349" s="23">
        <f>YEAR(Table1[[#This Row],[Order Date]])</f>
        <v>2016</v>
      </c>
      <c r="B1349" s="6" t="s">
        <v>1900</v>
      </c>
    </row>
    <row r="1350" spans="1:2" x14ac:dyDescent="0.3">
      <c r="A1350" s="22">
        <f>YEAR(Table1[[#This Row],[Order Date]])</f>
        <v>2016</v>
      </c>
      <c r="B1350" s="5" t="s">
        <v>850</v>
      </c>
    </row>
    <row r="1351" spans="1:2" x14ac:dyDescent="0.3">
      <c r="A1351" s="23">
        <f>YEAR(Table1[[#This Row],[Order Date]])</f>
        <v>2016</v>
      </c>
      <c r="B1351" s="6" t="s">
        <v>2493</v>
      </c>
    </row>
    <row r="1352" spans="1:2" x14ac:dyDescent="0.3">
      <c r="A1352" s="22">
        <f>YEAR(Table1[[#This Row],[Order Date]])</f>
        <v>2016</v>
      </c>
      <c r="B1352" s="5" t="s">
        <v>2112</v>
      </c>
    </row>
    <row r="1353" spans="1:2" x14ac:dyDescent="0.3">
      <c r="A1353" s="23">
        <f>YEAR(Table1[[#This Row],[Order Date]])</f>
        <v>2016</v>
      </c>
      <c r="B1353" s="6" t="s">
        <v>870</v>
      </c>
    </row>
    <row r="1354" spans="1:2" x14ac:dyDescent="0.3">
      <c r="A1354" s="22">
        <f>YEAR(Table1[[#This Row],[Order Date]])</f>
        <v>2016</v>
      </c>
      <c r="B1354" s="5" t="s">
        <v>1527</v>
      </c>
    </row>
    <row r="1355" spans="1:2" x14ac:dyDescent="0.3">
      <c r="A1355" s="23">
        <f>YEAR(Table1[[#This Row],[Order Date]])</f>
        <v>2016</v>
      </c>
      <c r="B1355" s="6" t="s">
        <v>1527</v>
      </c>
    </row>
    <row r="1356" spans="1:2" x14ac:dyDescent="0.3">
      <c r="A1356" s="22">
        <f>YEAR(Table1[[#This Row],[Order Date]])</f>
        <v>2016</v>
      </c>
      <c r="B1356" s="5" t="s">
        <v>1527</v>
      </c>
    </row>
    <row r="1357" spans="1:2" x14ac:dyDescent="0.3">
      <c r="A1357" s="23">
        <f>YEAR(Table1[[#This Row],[Order Date]])</f>
        <v>2016</v>
      </c>
      <c r="B1357" s="6" t="s">
        <v>282</v>
      </c>
    </row>
    <row r="1358" spans="1:2" x14ac:dyDescent="0.3">
      <c r="A1358" s="22">
        <f>YEAR(Table1[[#This Row],[Order Date]])</f>
        <v>2016</v>
      </c>
      <c r="B1358" s="5" t="s">
        <v>954</v>
      </c>
    </row>
    <row r="1359" spans="1:2" x14ac:dyDescent="0.3">
      <c r="A1359" s="23">
        <f>YEAR(Table1[[#This Row],[Order Date]])</f>
        <v>2016</v>
      </c>
      <c r="B1359" s="6" t="s">
        <v>286</v>
      </c>
    </row>
    <row r="1360" spans="1:2" x14ac:dyDescent="0.3">
      <c r="A1360" s="22">
        <f>YEAR(Table1[[#This Row],[Order Date]])</f>
        <v>2016</v>
      </c>
      <c r="B1360" s="5" t="s">
        <v>1714</v>
      </c>
    </row>
    <row r="1361" spans="1:2" x14ac:dyDescent="0.3">
      <c r="A1361" s="23">
        <f>YEAR(Table1[[#This Row],[Order Date]])</f>
        <v>2016</v>
      </c>
      <c r="B1361" s="6" t="s">
        <v>2453</v>
      </c>
    </row>
    <row r="1362" spans="1:2" x14ac:dyDescent="0.3">
      <c r="A1362" s="22">
        <f>YEAR(Table1[[#This Row],[Order Date]])</f>
        <v>2016</v>
      </c>
      <c r="B1362" s="5" t="s">
        <v>365</v>
      </c>
    </row>
    <row r="1363" spans="1:2" x14ac:dyDescent="0.3">
      <c r="A1363" s="23">
        <f>YEAR(Table1[[#This Row],[Order Date]])</f>
        <v>2016</v>
      </c>
      <c r="B1363" s="6" t="s">
        <v>2079</v>
      </c>
    </row>
    <row r="1364" spans="1:2" x14ac:dyDescent="0.3">
      <c r="A1364" s="22">
        <f>YEAR(Table1[[#This Row],[Order Date]])</f>
        <v>2016</v>
      </c>
      <c r="B1364" s="5" t="s">
        <v>2079</v>
      </c>
    </row>
    <row r="1365" spans="1:2" x14ac:dyDescent="0.3">
      <c r="A1365" s="23">
        <f>YEAR(Table1[[#This Row],[Order Date]])</f>
        <v>2016</v>
      </c>
      <c r="B1365" s="6" t="s">
        <v>2144</v>
      </c>
    </row>
    <row r="1366" spans="1:2" x14ac:dyDescent="0.3">
      <c r="A1366" s="22">
        <f>YEAR(Table1[[#This Row],[Order Date]])</f>
        <v>2016</v>
      </c>
      <c r="B1366" s="5" t="s">
        <v>1260</v>
      </c>
    </row>
    <row r="1367" spans="1:2" x14ac:dyDescent="0.3">
      <c r="A1367" s="23">
        <f>YEAR(Table1[[#This Row],[Order Date]])</f>
        <v>2016</v>
      </c>
      <c r="B1367" s="6" t="s">
        <v>930</v>
      </c>
    </row>
    <row r="1368" spans="1:2" x14ac:dyDescent="0.3">
      <c r="A1368" s="22">
        <f>YEAR(Table1[[#This Row],[Order Date]])</f>
        <v>2016</v>
      </c>
      <c r="B1368" s="5" t="s">
        <v>930</v>
      </c>
    </row>
    <row r="1369" spans="1:2" x14ac:dyDescent="0.3">
      <c r="A1369" s="23">
        <f>YEAR(Table1[[#This Row],[Order Date]])</f>
        <v>2016</v>
      </c>
      <c r="B1369" s="6" t="s">
        <v>2470</v>
      </c>
    </row>
    <row r="1370" spans="1:2" x14ac:dyDescent="0.3">
      <c r="A1370" s="22">
        <f>YEAR(Table1[[#This Row],[Order Date]])</f>
        <v>2016</v>
      </c>
      <c r="B1370" s="5" t="s">
        <v>1753</v>
      </c>
    </row>
    <row r="1371" spans="1:2" x14ac:dyDescent="0.3">
      <c r="A1371" s="23">
        <f>YEAR(Table1[[#This Row],[Order Date]])</f>
        <v>2016</v>
      </c>
      <c r="B1371" s="6" t="s">
        <v>677</v>
      </c>
    </row>
    <row r="1372" spans="1:2" x14ac:dyDescent="0.3">
      <c r="A1372" s="22">
        <f>YEAR(Table1[[#This Row],[Order Date]])</f>
        <v>2016</v>
      </c>
      <c r="B1372" s="5" t="s">
        <v>370</v>
      </c>
    </row>
    <row r="1373" spans="1:2" x14ac:dyDescent="0.3">
      <c r="A1373" s="23">
        <f>YEAR(Table1[[#This Row],[Order Date]])</f>
        <v>2016</v>
      </c>
      <c r="B1373" s="6" t="s">
        <v>469</v>
      </c>
    </row>
    <row r="1374" spans="1:2" x14ac:dyDescent="0.3">
      <c r="A1374" s="22">
        <f>YEAR(Table1[[#This Row],[Order Date]])</f>
        <v>2016</v>
      </c>
      <c r="B1374" s="5" t="s">
        <v>733</v>
      </c>
    </row>
    <row r="1375" spans="1:2" x14ac:dyDescent="0.3">
      <c r="A1375" s="23">
        <f>YEAR(Table1[[#This Row],[Order Date]])</f>
        <v>2016</v>
      </c>
      <c r="B1375" s="6" t="s">
        <v>1755</v>
      </c>
    </row>
    <row r="1376" spans="1:2" x14ac:dyDescent="0.3">
      <c r="A1376" s="22">
        <f>YEAR(Table1[[#This Row],[Order Date]])</f>
        <v>2016</v>
      </c>
      <c r="B1376" s="5" t="s">
        <v>1755</v>
      </c>
    </row>
    <row r="1377" spans="1:2" x14ac:dyDescent="0.3">
      <c r="A1377" s="23">
        <f>YEAR(Table1[[#This Row],[Order Date]])</f>
        <v>2016</v>
      </c>
      <c r="B1377" s="6" t="s">
        <v>852</v>
      </c>
    </row>
    <row r="1378" spans="1:2" x14ac:dyDescent="0.3">
      <c r="A1378" s="22">
        <f>YEAR(Table1[[#This Row],[Order Date]])</f>
        <v>2017</v>
      </c>
      <c r="B1378" s="5" t="s">
        <v>749</v>
      </c>
    </row>
    <row r="1379" spans="1:2" x14ac:dyDescent="0.3">
      <c r="A1379" s="23">
        <f>YEAR(Table1[[#This Row],[Order Date]])</f>
        <v>2017</v>
      </c>
      <c r="B1379" s="6" t="s">
        <v>888</v>
      </c>
    </row>
    <row r="1380" spans="1:2" x14ac:dyDescent="0.3">
      <c r="A1380" s="22">
        <f>YEAR(Table1[[#This Row],[Order Date]])</f>
        <v>2017</v>
      </c>
      <c r="B1380" s="5" t="s">
        <v>1230</v>
      </c>
    </row>
    <row r="1381" spans="1:2" x14ac:dyDescent="0.3">
      <c r="A1381" s="23">
        <f>YEAR(Table1[[#This Row],[Order Date]])</f>
        <v>2017</v>
      </c>
      <c r="B1381" s="6" t="s">
        <v>985</v>
      </c>
    </row>
    <row r="1382" spans="1:2" x14ac:dyDescent="0.3">
      <c r="A1382" s="22">
        <f>YEAR(Table1[[#This Row],[Order Date]])</f>
        <v>2017</v>
      </c>
      <c r="B1382" s="5" t="s">
        <v>2420</v>
      </c>
    </row>
    <row r="1383" spans="1:2" x14ac:dyDescent="0.3">
      <c r="A1383" s="23">
        <f>YEAR(Table1[[#This Row],[Order Date]])</f>
        <v>2017</v>
      </c>
      <c r="B1383" s="6" t="s">
        <v>1011</v>
      </c>
    </row>
    <row r="1384" spans="1:2" x14ac:dyDescent="0.3">
      <c r="A1384" s="22">
        <f>YEAR(Table1[[#This Row],[Order Date]])</f>
        <v>2017</v>
      </c>
      <c r="B1384" s="5" t="s">
        <v>2225</v>
      </c>
    </row>
    <row r="1385" spans="1:2" x14ac:dyDescent="0.3">
      <c r="A1385" s="23">
        <f>YEAR(Table1[[#This Row],[Order Date]])</f>
        <v>2017</v>
      </c>
      <c r="B1385" s="6" t="s">
        <v>1009</v>
      </c>
    </row>
    <row r="1386" spans="1:2" x14ac:dyDescent="0.3">
      <c r="A1386" s="22">
        <f>YEAR(Table1[[#This Row],[Order Date]])</f>
        <v>2017</v>
      </c>
      <c r="B1386" s="5" t="s">
        <v>307</v>
      </c>
    </row>
    <row r="1387" spans="1:2" x14ac:dyDescent="0.3">
      <c r="A1387" s="23">
        <f>YEAR(Table1[[#This Row],[Order Date]])</f>
        <v>2017</v>
      </c>
      <c r="B1387" s="6" t="s">
        <v>1741</v>
      </c>
    </row>
    <row r="1388" spans="1:2" x14ac:dyDescent="0.3">
      <c r="A1388" s="22">
        <f>YEAR(Table1[[#This Row],[Order Date]])</f>
        <v>2017</v>
      </c>
      <c r="B1388" s="5" t="s">
        <v>1502</v>
      </c>
    </row>
    <row r="1389" spans="1:2" x14ac:dyDescent="0.3">
      <c r="A1389" s="23">
        <f>YEAR(Table1[[#This Row],[Order Date]])</f>
        <v>2017</v>
      </c>
      <c r="B1389" s="6" t="s">
        <v>720</v>
      </c>
    </row>
    <row r="1390" spans="1:2" x14ac:dyDescent="0.3">
      <c r="A1390" s="22">
        <f>YEAR(Table1[[#This Row],[Order Date]])</f>
        <v>2017</v>
      </c>
      <c r="B1390" s="5" t="s">
        <v>1409</v>
      </c>
    </row>
    <row r="1391" spans="1:2" x14ac:dyDescent="0.3">
      <c r="A1391" s="23">
        <f>YEAR(Table1[[#This Row],[Order Date]])</f>
        <v>2017</v>
      </c>
      <c r="B1391" s="6" t="s">
        <v>1787</v>
      </c>
    </row>
    <row r="1392" spans="1:2" x14ac:dyDescent="0.3">
      <c r="A1392" s="22">
        <f>YEAR(Table1[[#This Row],[Order Date]])</f>
        <v>2017</v>
      </c>
      <c r="B1392" s="5" t="s">
        <v>1787</v>
      </c>
    </row>
    <row r="1393" spans="1:2" x14ac:dyDescent="0.3">
      <c r="A1393" s="23">
        <f>YEAR(Table1[[#This Row],[Order Date]])</f>
        <v>2017</v>
      </c>
      <c r="B1393" s="6" t="s">
        <v>839</v>
      </c>
    </row>
    <row r="1394" spans="1:2" x14ac:dyDescent="0.3">
      <c r="A1394" s="22">
        <f>YEAR(Table1[[#This Row],[Order Date]])</f>
        <v>2017</v>
      </c>
      <c r="B1394" s="5" t="s">
        <v>652</v>
      </c>
    </row>
    <row r="1395" spans="1:2" x14ac:dyDescent="0.3">
      <c r="A1395" s="23">
        <f>YEAR(Table1[[#This Row],[Order Date]])</f>
        <v>2017</v>
      </c>
      <c r="B1395" s="6" t="s">
        <v>2677</v>
      </c>
    </row>
    <row r="1396" spans="1:2" x14ac:dyDescent="0.3">
      <c r="A1396" s="22">
        <f>YEAR(Table1[[#This Row],[Order Date]])</f>
        <v>2017</v>
      </c>
      <c r="B1396" s="5" t="s">
        <v>1736</v>
      </c>
    </row>
    <row r="1397" spans="1:2" x14ac:dyDescent="0.3">
      <c r="A1397" s="23">
        <f>YEAR(Table1[[#This Row],[Order Date]])</f>
        <v>2017</v>
      </c>
      <c r="B1397" s="6" t="s">
        <v>1736</v>
      </c>
    </row>
    <row r="1398" spans="1:2" x14ac:dyDescent="0.3">
      <c r="A1398" s="22">
        <f>YEAR(Table1[[#This Row],[Order Date]])</f>
        <v>2017</v>
      </c>
      <c r="B1398" s="5" t="s">
        <v>1754</v>
      </c>
    </row>
    <row r="1399" spans="1:2" x14ac:dyDescent="0.3">
      <c r="A1399" s="23">
        <f>YEAR(Table1[[#This Row],[Order Date]])</f>
        <v>2017</v>
      </c>
      <c r="B1399" s="6" t="s">
        <v>1009</v>
      </c>
    </row>
    <row r="1400" spans="1:2" x14ac:dyDescent="0.3">
      <c r="A1400" s="22">
        <f>YEAR(Table1[[#This Row],[Order Date]])</f>
        <v>2017</v>
      </c>
      <c r="B1400" s="5" t="s">
        <v>1865</v>
      </c>
    </row>
    <row r="1401" spans="1:2" x14ac:dyDescent="0.3">
      <c r="A1401" s="23">
        <f>YEAR(Table1[[#This Row],[Order Date]])</f>
        <v>2017</v>
      </c>
      <c r="B1401" s="6" t="s">
        <v>2386</v>
      </c>
    </row>
    <row r="1402" spans="1:2" x14ac:dyDescent="0.3">
      <c r="A1402" s="22">
        <f>YEAR(Table1[[#This Row],[Order Date]])</f>
        <v>2017</v>
      </c>
      <c r="B1402" s="5" t="s">
        <v>2386</v>
      </c>
    </row>
    <row r="1403" spans="1:2" x14ac:dyDescent="0.3">
      <c r="A1403" s="23">
        <f>YEAR(Table1[[#This Row],[Order Date]])</f>
        <v>2017</v>
      </c>
      <c r="B1403" s="6" t="s">
        <v>2253</v>
      </c>
    </row>
    <row r="1404" spans="1:2" x14ac:dyDescent="0.3">
      <c r="A1404" s="22">
        <f>YEAR(Table1[[#This Row],[Order Date]])</f>
        <v>2017</v>
      </c>
      <c r="B1404" s="5" t="s">
        <v>397</v>
      </c>
    </row>
    <row r="1405" spans="1:2" x14ac:dyDescent="0.3">
      <c r="A1405" s="23">
        <f>YEAR(Table1[[#This Row],[Order Date]])</f>
        <v>2017</v>
      </c>
      <c r="B1405" s="6" t="s">
        <v>2396</v>
      </c>
    </row>
    <row r="1406" spans="1:2" x14ac:dyDescent="0.3">
      <c r="A1406" s="22">
        <f>YEAR(Table1[[#This Row],[Order Date]])</f>
        <v>2017</v>
      </c>
      <c r="B1406" s="5" t="s">
        <v>2396</v>
      </c>
    </row>
    <row r="1407" spans="1:2" x14ac:dyDescent="0.3">
      <c r="A1407" s="23">
        <f>YEAR(Table1[[#This Row],[Order Date]])</f>
        <v>2017</v>
      </c>
      <c r="B1407" s="6" t="s">
        <v>2528</v>
      </c>
    </row>
    <row r="1408" spans="1:2" x14ac:dyDescent="0.3">
      <c r="A1408" s="22">
        <f>YEAR(Table1[[#This Row],[Order Date]])</f>
        <v>2017</v>
      </c>
      <c r="B1408" s="5" t="s">
        <v>2201</v>
      </c>
    </row>
    <row r="1409" spans="1:2" x14ac:dyDescent="0.3">
      <c r="A1409" s="23">
        <f>YEAR(Table1[[#This Row],[Order Date]])</f>
        <v>2017</v>
      </c>
      <c r="B1409" s="6" t="s">
        <v>1967</v>
      </c>
    </row>
    <row r="1410" spans="1:2" x14ac:dyDescent="0.3">
      <c r="A1410" s="22">
        <f>YEAR(Table1[[#This Row],[Order Date]])</f>
        <v>2017</v>
      </c>
      <c r="B1410" s="5" t="s">
        <v>2519</v>
      </c>
    </row>
    <row r="1411" spans="1:2" x14ac:dyDescent="0.3">
      <c r="A1411" s="23">
        <f>YEAR(Table1[[#This Row],[Order Date]])</f>
        <v>2017</v>
      </c>
      <c r="B1411" s="6" t="s">
        <v>699</v>
      </c>
    </row>
    <row r="1412" spans="1:2" x14ac:dyDescent="0.3">
      <c r="A1412" s="22">
        <f>YEAR(Table1[[#This Row],[Order Date]])</f>
        <v>2017</v>
      </c>
      <c r="B1412" s="5" t="s">
        <v>563</v>
      </c>
    </row>
    <row r="1413" spans="1:2" x14ac:dyDescent="0.3">
      <c r="A1413" s="23">
        <f>YEAR(Table1[[#This Row],[Order Date]])</f>
        <v>2017</v>
      </c>
      <c r="B1413" s="6" t="s">
        <v>1052</v>
      </c>
    </row>
    <row r="1414" spans="1:2" x14ac:dyDescent="0.3">
      <c r="A1414" s="22">
        <f>YEAR(Table1[[#This Row],[Order Date]])</f>
        <v>2017</v>
      </c>
      <c r="B1414" s="5" t="s">
        <v>862</v>
      </c>
    </row>
    <row r="1415" spans="1:2" x14ac:dyDescent="0.3">
      <c r="A1415" s="23">
        <f>YEAR(Table1[[#This Row],[Order Date]])</f>
        <v>2017</v>
      </c>
      <c r="B1415" s="6" t="s">
        <v>682</v>
      </c>
    </row>
    <row r="1416" spans="1:2" x14ac:dyDescent="0.3">
      <c r="A1416" s="22">
        <f>YEAR(Table1[[#This Row],[Order Date]])</f>
        <v>2017</v>
      </c>
      <c r="B1416" s="5" t="s">
        <v>707</v>
      </c>
    </row>
    <row r="1417" spans="1:2" x14ac:dyDescent="0.3">
      <c r="A1417" s="23">
        <f>YEAR(Table1[[#This Row],[Order Date]])</f>
        <v>2017</v>
      </c>
      <c r="B1417" s="6" t="s">
        <v>707</v>
      </c>
    </row>
    <row r="1418" spans="1:2" x14ac:dyDescent="0.3">
      <c r="A1418" s="22">
        <f>YEAR(Table1[[#This Row],[Order Date]])</f>
        <v>2017</v>
      </c>
      <c r="B1418" s="5" t="s">
        <v>2002</v>
      </c>
    </row>
    <row r="1419" spans="1:2" x14ac:dyDescent="0.3">
      <c r="A1419" s="23">
        <f>YEAR(Table1[[#This Row],[Order Date]])</f>
        <v>2017</v>
      </c>
      <c r="B1419" s="6" t="s">
        <v>1940</v>
      </c>
    </row>
    <row r="1420" spans="1:2" x14ac:dyDescent="0.3">
      <c r="A1420" s="22">
        <f>YEAR(Table1[[#This Row],[Order Date]])</f>
        <v>2017</v>
      </c>
      <c r="B1420" s="5" t="s">
        <v>1753</v>
      </c>
    </row>
    <row r="1421" spans="1:2" x14ac:dyDescent="0.3">
      <c r="A1421" s="23">
        <f>YEAR(Table1[[#This Row],[Order Date]])</f>
        <v>2017</v>
      </c>
      <c r="B1421" s="6" t="s">
        <v>1499</v>
      </c>
    </row>
    <row r="1422" spans="1:2" x14ac:dyDescent="0.3">
      <c r="A1422" s="22">
        <f>YEAR(Table1[[#This Row],[Order Date]])</f>
        <v>2017</v>
      </c>
      <c r="B1422" s="5" t="s">
        <v>1499</v>
      </c>
    </row>
    <row r="1423" spans="1:2" x14ac:dyDescent="0.3">
      <c r="A1423" s="23">
        <f>YEAR(Table1[[#This Row],[Order Date]])</f>
        <v>2017</v>
      </c>
      <c r="B1423" s="6" t="s">
        <v>1337</v>
      </c>
    </row>
    <row r="1424" spans="1:2" x14ac:dyDescent="0.3">
      <c r="A1424" s="22">
        <f>YEAR(Table1[[#This Row],[Order Date]])</f>
        <v>2017</v>
      </c>
      <c r="B1424" s="5" t="s">
        <v>1337</v>
      </c>
    </row>
    <row r="1425" spans="1:2" x14ac:dyDescent="0.3">
      <c r="A1425" s="23">
        <f>YEAR(Table1[[#This Row],[Order Date]])</f>
        <v>2017</v>
      </c>
      <c r="B1425" s="6" t="s">
        <v>383</v>
      </c>
    </row>
    <row r="1426" spans="1:2" x14ac:dyDescent="0.3">
      <c r="A1426" s="22">
        <f>YEAR(Table1[[#This Row],[Order Date]])</f>
        <v>2017</v>
      </c>
      <c r="B1426" s="5" t="s">
        <v>646</v>
      </c>
    </row>
    <row r="1427" spans="1:2" x14ac:dyDescent="0.3">
      <c r="A1427" s="23">
        <f>YEAR(Table1[[#This Row],[Order Date]])</f>
        <v>2017</v>
      </c>
      <c r="B1427" s="6" t="s">
        <v>1675</v>
      </c>
    </row>
    <row r="1428" spans="1:2" x14ac:dyDescent="0.3">
      <c r="A1428" s="22">
        <f>YEAR(Table1[[#This Row],[Order Date]])</f>
        <v>2017</v>
      </c>
      <c r="B1428" s="5" t="s">
        <v>1675</v>
      </c>
    </row>
    <row r="1429" spans="1:2" x14ac:dyDescent="0.3">
      <c r="A1429" s="23">
        <f>YEAR(Table1[[#This Row],[Order Date]])</f>
        <v>2017</v>
      </c>
      <c r="B1429" s="6" t="s">
        <v>1675</v>
      </c>
    </row>
    <row r="1430" spans="1:2" x14ac:dyDescent="0.3">
      <c r="A1430" s="22">
        <f>YEAR(Table1[[#This Row],[Order Date]])</f>
        <v>2017</v>
      </c>
      <c r="B1430" s="5" t="s">
        <v>1384</v>
      </c>
    </row>
    <row r="1431" spans="1:2" x14ac:dyDescent="0.3">
      <c r="A1431" s="23">
        <f>YEAR(Table1[[#This Row],[Order Date]])</f>
        <v>2017</v>
      </c>
      <c r="B1431" s="6" t="s">
        <v>1903</v>
      </c>
    </row>
    <row r="1432" spans="1:2" x14ac:dyDescent="0.3">
      <c r="A1432" s="22">
        <f>YEAR(Table1[[#This Row],[Order Date]])</f>
        <v>2017</v>
      </c>
      <c r="B1432" s="5" t="s">
        <v>1481</v>
      </c>
    </row>
    <row r="1433" spans="1:2" x14ac:dyDescent="0.3">
      <c r="A1433" s="23">
        <f>YEAR(Table1[[#This Row],[Order Date]])</f>
        <v>2017</v>
      </c>
      <c r="B1433" s="6" t="s">
        <v>138</v>
      </c>
    </row>
    <row r="1434" spans="1:2" x14ac:dyDescent="0.3">
      <c r="A1434" s="22">
        <f>YEAR(Table1[[#This Row],[Order Date]])</f>
        <v>2017</v>
      </c>
      <c r="B1434" s="5" t="s">
        <v>1578</v>
      </c>
    </row>
    <row r="1435" spans="1:2" x14ac:dyDescent="0.3">
      <c r="A1435" s="23">
        <f>YEAR(Table1[[#This Row],[Order Date]])</f>
        <v>2017</v>
      </c>
      <c r="B1435" s="6" t="s">
        <v>2386</v>
      </c>
    </row>
    <row r="1436" spans="1:2" x14ac:dyDescent="0.3">
      <c r="A1436" s="22">
        <f>YEAR(Table1[[#This Row],[Order Date]])</f>
        <v>2017</v>
      </c>
      <c r="B1436" s="5" t="s">
        <v>611</v>
      </c>
    </row>
    <row r="1437" spans="1:2" x14ac:dyDescent="0.3">
      <c r="A1437" s="23">
        <f>YEAR(Table1[[#This Row],[Order Date]])</f>
        <v>2017</v>
      </c>
      <c r="B1437" s="6" t="s">
        <v>1690</v>
      </c>
    </row>
    <row r="1438" spans="1:2" x14ac:dyDescent="0.3">
      <c r="A1438" s="22">
        <f>YEAR(Table1[[#This Row],[Order Date]])</f>
        <v>2017</v>
      </c>
      <c r="B1438" s="5" t="s">
        <v>2684</v>
      </c>
    </row>
    <row r="1439" spans="1:2" x14ac:dyDescent="0.3">
      <c r="A1439" s="23">
        <f>YEAR(Table1[[#This Row],[Order Date]])</f>
        <v>2017</v>
      </c>
      <c r="B1439" s="6" t="s">
        <v>469</v>
      </c>
    </row>
    <row r="1440" spans="1:2" x14ac:dyDescent="0.3">
      <c r="A1440" s="22">
        <f>YEAR(Table1[[#This Row],[Order Date]])</f>
        <v>2017</v>
      </c>
      <c r="B1440" s="5" t="s">
        <v>1306</v>
      </c>
    </row>
    <row r="1441" spans="1:2" x14ac:dyDescent="0.3">
      <c r="A1441" s="23">
        <f>YEAR(Table1[[#This Row],[Order Date]])</f>
        <v>2017</v>
      </c>
      <c r="B1441" s="6" t="s">
        <v>1306</v>
      </c>
    </row>
    <row r="1442" spans="1:2" x14ac:dyDescent="0.3">
      <c r="A1442" s="22">
        <f>YEAR(Table1[[#This Row],[Order Date]])</f>
        <v>2017</v>
      </c>
      <c r="B1442" s="5" t="s">
        <v>2209</v>
      </c>
    </row>
    <row r="1443" spans="1:2" x14ac:dyDescent="0.3">
      <c r="A1443" s="23">
        <f>YEAR(Table1[[#This Row],[Order Date]])</f>
        <v>2017</v>
      </c>
      <c r="B1443" s="6" t="s">
        <v>667</v>
      </c>
    </row>
    <row r="1444" spans="1:2" x14ac:dyDescent="0.3">
      <c r="A1444" s="22">
        <f>YEAR(Table1[[#This Row],[Order Date]])</f>
        <v>2017</v>
      </c>
      <c r="B1444" s="5" t="s">
        <v>2504</v>
      </c>
    </row>
    <row r="1445" spans="1:2" x14ac:dyDescent="0.3">
      <c r="A1445" s="23">
        <f>YEAR(Table1[[#This Row],[Order Date]])</f>
        <v>2017</v>
      </c>
      <c r="B1445" s="6" t="s">
        <v>337</v>
      </c>
    </row>
    <row r="1446" spans="1:2" x14ac:dyDescent="0.3">
      <c r="A1446" s="22">
        <f>YEAR(Table1[[#This Row],[Order Date]])</f>
        <v>2017</v>
      </c>
      <c r="B1446" s="5" t="s">
        <v>2305</v>
      </c>
    </row>
    <row r="1447" spans="1:2" x14ac:dyDescent="0.3">
      <c r="A1447" s="23">
        <f>YEAR(Table1[[#This Row],[Order Date]])</f>
        <v>2017</v>
      </c>
      <c r="B1447" s="6" t="s">
        <v>565</v>
      </c>
    </row>
    <row r="1448" spans="1:2" x14ac:dyDescent="0.3">
      <c r="A1448" s="22">
        <f>YEAR(Table1[[#This Row],[Order Date]])</f>
        <v>2017</v>
      </c>
      <c r="B1448" s="5" t="s">
        <v>1510</v>
      </c>
    </row>
    <row r="1449" spans="1:2" x14ac:dyDescent="0.3">
      <c r="A1449" s="23">
        <f>YEAR(Table1[[#This Row],[Order Date]])</f>
        <v>2017</v>
      </c>
      <c r="B1449" s="6" t="s">
        <v>2179</v>
      </c>
    </row>
    <row r="1450" spans="1:2" x14ac:dyDescent="0.3">
      <c r="A1450" s="22">
        <f>YEAR(Table1[[#This Row],[Order Date]])</f>
        <v>2017</v>
      </c>
      <c r="B1450" s="5" t="s">
        <v>1738</v>
      </c>
    </row>
    <row r="1451" spans="1:2" x14ac:dyDescent="0.3">
      <c r="A1451" s="23">
        <f>YEAR(Table1[[#This Row],[Order Date]])</f>
        <v>2017</v>
      </c>
      <c r="B1451" s="6" t="s">
        <v>1276</v>
      </c>
    </row>
    <row r="1452" spans="1:2" x14ac:dyDescent="0.3">
      <c r="A1452" s="22">
        <f>YEAR(Table1[[#This Row],[Order Date]])</f>
        <v>2017</v>
      </c>
      <c r="B1452" s="5" t="s">
        <v>638</v>
      </c>
    </row>
    <row r="1453" spans="1:2" x14ac:dyDescent="0.3">
      <c r="A1453" s="23">
        <f>YEAR(Table1[[#This Row],[Order Date]])</f>
        <v>2017</v>
      </c>
      <c r="B1453" s="6" t="s">
        <v>586</v>
      </c>
    </row>
    <row r="1454" spans="1:2" x14ac:dyDescent="0.3">
      <c r="A1454" s="22">
        <f>YEAR(Table1[[#This Row],[Order Date]])</f>
        <v>2017</v>
      </c>
      <c r="B1454" s="5" t="s">
        <v>1888</v>
      </c>
    </row>
    <row r="1455" spans="1:2" x14ac:dyDescent="0.3">
      <c r="A1455" s="23">
        <f>YEAR(Table1[[#This Row],[Order Date]])</f>
        <v>2017</v>
      </c>
      <c r="B1455" s="6" t="s">
        <v>1438</v>
      </c>
    </row>
    <row r="1456" spans="1:2" x14ac:dyDescent="0.3">
      <c r="A1456" s="22">
        <f>YEAR(Table1[[#This Row],[Order Date]])</f>
        <v>2017</v>
      </c>
      <c r="B1456" s="5" t="s">
        <v>2014</v>
      </c>
    </row>
    <row r="1457" spans="1:2" x14ac:dyDescent="0.3">
      <c r="A1457" s="23">
        <f>YEAR(Table1[[#This Row],[Order Date]])</f>
        <v>2017</v>
      </c>
      <c r="B1457" s="6" t="s">
        <v>2014</v>
      </c>
    </row>
    <row r="1458" spans="1:2" x14ac:dyDescent="0.3">
      <c r="A1458" s="22">
        <f>YEAR(Table1[[#This Row],[Order Date]])</f>
        <v>2017</v>
      </c>
      <c r="B1458" s="5" t="s">
        <v>2344</v>
      </c>
    </row>
    <row r="1459" spans="1:2" x14ac:dyDescent="0.3">
      <c r="A1459" s="23">
        <f>YEAR(Table1[[#This Row],[Order Date]])</f>
        <v>2017</v>
      </c>
      <c r="B1459" s="6" t="s">
        <v>906</v>
      </c>
    </row>
    <row r="1460" spans="1:2" x14ac:dyDescent="0.3">
      <c r="A1460" s="22">
        <f>YEAR(Table1[[#This Row],[Order Date]])</f>
        <v>2017</v>
      </c>
      <c r="B1460" s="5" t="s">
        <v>2476</v>
      </c>
    </row>
    <row r="1461" spans="1:2" x14ac:dyDescent="0.3">
      <c r="A1461" s="23">
        <f>YEAR(Table1[[#This Row],[Order Date]])</f>
        <v>2017</v>
      </c>
      <c r="B1461" s="6" t="s">
        <v>1757</v>
      </c>
    </row>
    <row r="1462" spans="1:2" x14ac:dyDescent="0.3">
      <c r="A1462" s="22">
        <f>YEAR(Table1[[#This Row],[Order Date]])</f>
        <v>2017</v>
      </c>
      <c r="B1462" s="5" t="s">
        <v>2476</v>
      </c>
    </row>
    <row r="1463" spans="1:2" x14ac:dyDescent="0.3">
      <c r="A1463" s="23">
        <f>YEAR(Table1[[#This Row],[Order Date]])</f>
        <v>2017</v>
      </c>
      <c r="B1463" s="6" t="s">
        <v>885</v>
      </c>
    </row>
    <row r="1464" spans="1:2" x14ac:dyDescent="0.3">
      <c r="A1464" s="22">
        <f>YEAR(Table1[[#This Row],[Order Date]])</f>
        <v>2017</v>
      </c>
      <c r="B1464" s="5" t="s">
        <v>617</v>
      </c>
    </row>
    <row r="1465" spans="1:2" x14ac:dyDescent="0.3">
      <c r="A1465" s="23">
        <f>YEAR(Table1[[#This Row],[Order Date]])</f>
        <v>2017</v>
      </c>
      <c r="B1465" s="6" t="s">
        <v>969</v>
      </c>
    </row>
    <row r="1466" spans="1:2" x14ac:dyDescent="0.3">
      <c r="A1466" s="22">
        <f>YEAR(Table1[[#This Row],[Order Date]])</f>
        <v>2017</v>
      </c>
      <c r="B1466" s="5" t="s">
        <v>1948</v>
      </c>
    </row>
    <row r="1467" spans="1:2" x14ac:dyDescent="0.3">
      <c r="A1467" s="23">
        <f>YEAR(Table1[[#This Row],[Order Date]])</f>
        <v>2017</v>
      </c>
      <c r="B1467" s="6" t="s">
        <v>2225</v>
      </c>
    </row>
    <row r="1468" spans="1:2" x14ac:dyDescent="0.3">
      <c r="A1468" s="22">
        <f>YEAR(Table1[[#This Row],[Order Date]])</f>
        <v>2017</v>
      </c>
      <c r="B1468" s="5" t="s">
        <v>1535</v>
      </c>
    </row>
    <row r="1469" spans="1:2" x14ac:dyDescent="0.3">
      <c r="A1469" s="23">
        <f>YEAR(Table1[[#This Row],[Order Date]])</f>
        <v>2017</v>
      </c>
      <c r="B1469" s="6" t="s">
        <v>1736</v>
      </c>
    </row>
    <row r="1470" spans="1:2" x14ac:dyDescent="0.3">
      <c r="A1470" s="22">
        <f>YEAR(Table1[[#This Row],[Order Date]])</f>
        <v>2017</v>
      </c>
      <c r="B1470" s="5" t="s">
        <v>246</v>
      </c>
    </row>
    <row r="1471" spans="1:2" x14ac:dyDescent="0.3">
      <c r="A1471" s="23">
        <f>YEAR(Table1[[#This Row],[Order Date]])</f>
        <v>2017</v>
      </c>
      <c r="B1471" s="6" t="s">
        <v>1009</v>
      </c>
    </row>
    <row r="1472" spans="1:2" x14ac:dyDescent="0.3">
      <c r="A1472" s="22">
        <f>YEAR(Table1[[#This Row],[Order Date]])</f>
        <v>2017</v>
      </c>
      <c r="B1472" s="5" t="s">
        <v>761</v>
      </c>
    </row>
    <row r="1473" spans="1:2" x14ac:dyDescent="0.3">
      <c r="A1473" s="23">
        <f>YEAR(Table1[[#This Row],[Order Date]])</f>
        <v>2017</v>
      </c>
      <c r="B1473" s="6" t="s">
        <v>1832</v>
      </c>
    </row>
    <row r="1474" spans="1:2" x14ac:dyDescent="0.3">
      <c r="A1474" s="22">
        <f>YEAR(Table1[[#This Row],[Order Date]])</f>
        <v>2017</v>
      </c>
      <c r="B1474" s="5" t="s">
        <v>798</v>
      </c>
    </row>
    <row r="1475" spans="1:2" x14ac:dyDescent="0.3">
      <c r="A1475" s="23">
        <f>YEAR(Table1[[#This Row],[Order Date]])</f>
        <v>2017</v>
      </c>
      <c r="B1475" s="6" t="s">
        <v>373</v>
      </c>
    </row>
    <row r="1476" spans="1:2" x14ac:dyDescent="0.3">
      <c r="A1476" s="22">
        <f>YEAR(Table1[[#This Row],[Order Date]])</f>
        <v>2017</v>
      </c>
      <c r="B1476" s="5" t="s">
        <v>871</v>
      </c>
    </row>
    <row r="1477" spans="1:2" x14ac:dyDescent="0.3">
      <c r="A1477" s="23">
        <f>YEAR(Table1[[#This Row],[Order Date]])</f>
        <v>2017</v>
      </c>
      <c r="B1477" s="6" t="s">
        <v>1975</v>
      </c>
    </row>
    <row r="1478" spans="1:2" x14ac:dyDescent="0.3">
      <c r="A1478" s="22">
        <f>YEAR(Table1[[#This Row],[Order Date]])</f>
        <v>2017</v>
      </c>
      <c r="B1478" s="5" t="s">
        <v>1975</v>
      </c>
    </row>
    <row r="1479" spans="1:2" x14ac:dyDescent="0.3">
      <c r="A1479" s="23">
        <f>YEAR(Table1[[#This Row],[Order Date]])</f>
        <v>2017</v>
      </c>
      <c r="B1479" s="6" t="s">
        <v>2279</v>
      </c>
    </row>
    <row r="1480" spans="1:2" x14ac:dyDescent="0.3">
      <c r="A1480" s="22">
        <f>YEAR(Table1[[#This Row],[Order Date]])</f>
        <v>2017</v>
      </c>
      <c r="B1480" s="5" t="s">
        <v>1412</v>
      </c>
    </row>
    <row r="1481" spans="1:2" x14ac:dyDescent="0.3">
      <c r="A1481" s="23">
        <f>YEAR(Table1[[#This Row],[Order Date]])</f>
        <v>2017</v>
      </c>
      <c r="B1481" s="6" t="s">
        <v>1557</v>
      </c>
    </row>
    <row r="1482" spans="1:2" x14ac:dyDescent="0.3">
      <c r="A1482" s="22">
        <f>YEAR(Table1[[#This Row],[Order Date]])</f>
        <v>2017</v>
      </c>
      <c r="B1482" s="5" t="s">
        <v>1838</v>
      </c>
    </row>
    <row r="1483" spans="1:2" x14ac:dyDescent="0.3">
      <c r="A1483" s="23">
        <f>YEAR(Table1[[#This Row],[Order Date]])</f>
        <v>2017</v>
      </c>
      <c r="B1483" s="6" t="s">
        <v>1649</v>
      </c>
    </row>
    <row r="1484" spans="1:2" x14ac:dyDescent="0.3">
      <c r="A1484" s="22">
        <f>YEAR(Table1[[#This Row],[Order Date]])</f>
        <v>2017</v>
      </c>
      <c r="B1484" s="5" t="s">
        <v>1022</v>
      </c>
    </row>
    <row r="1485" spans="1:2" x14ac:dyDescent="0.3">
      <c r="A1485" s="23">
        <f>YEAR(Table1[[#This Row],[Order Date]])</f>
        <v>2017</v>
      </c>
      <c r="B1485" s="6" t="s">
        <v>1482</v>
      </c>
    </row>
    <row r="1486" spans="1:2" x14ac:dyDescent="0.3">
      <c r="A1486" s="22">
        <f>YEAR(Table1[[#This Row],[Order Date]])</f>
        <v>2017</v>
      </c>
      <c r="B1486" s="5" t="s">
        <v>1487</v>
      </c>
    </row>
    <row r="1487" spans="1:2" x14ac:dyDescent="0.3">
      <c r="A1487" s="23">
        <f>YEAR(Table1[[#This Row],[Order Date]])</f>
        <v>2017</v>
      </c>
      <c r="B1487" s="6" t="s">
        <v>1368</v>
      </c>
    </row>
    <row r="1488" spans="1:2" x14ac:dyDescent="0.3">
      <c r="A1488" s="22">
        <f>YEAR(Table1[[#This Row],[Order Date]])</f>
        <v>2017</v>
      </c>
      <c r="B1488" s="5" t="s">
        <v>771</v>
      </c>
    </row>
    <row r="1489" spans="1:2" x14ac:dyDescent="0.3">
      <c r="A1489" s="23">
        <f>YEAR(Table1[[#This Row],[Order Date]])</f>
        <v>2017</v>
      </c>
      <c r="B1489" s="6" t="s">
        <v>1430</v>
      </c>
    </row>
    <row r="1490" spans="1:2" x14ac:dyDescent="0.3">
      <c r="A1490" s="22">
        <f>YEAR(Table1[[#This Row],[Order Date]])</f>
        <v>2017</v>
      </c>
      <c r="B1490" s="5" t="s">
        <v>516</v>
      </c>
    </row>
    <row r="1491" spans="1:2" x14ac:dyDescent="0.3">
      <c r="A1491" s="23">
        <f>YEAR(Table1[[#This Row],[Order Date]])</f>
        <v>2017</v>
      </c>
      <c r="B1491" s="6" t="s">
        <v>1725</v>
      </c>
    </row>
    <row r="1492" spans="1:2" x14ac:dyDescent="0.3">
      <c r="A1492" s="22">
        <f>YEAR(Table1[[#This Row],[Order Date]])</f>
        <v>2017</v>
      </c>
      <c r="B1492" s="5" t="s">
        <v>22</v>
      </c>
    </row>
    <row r="1493" spans="1:2" x14ac:dyDescent="0.3">
      <c r="A1493" s="23">
        <f>YEAR(Table1[[#This Row],[Order Date]])</f>
        <v>2017</v>
      </c>
      <c r="B1493" s="6" t="s">
        <v>903</v>
      </c>
    </row>
    <row r="1494" spans="1:2" x14ac:dyDescent="0.3">
      <c r="A1494" s="22">
        <f>YEAR(Table1[[#This Row],[Order Date]])</f>
        <v>2017</v>
      </c>
      <c r="B1494" s="5" t="s">
        <v>1464</v>
      </c>
    </row>
    <row r="1495" spans="1:2" x14ac:dyDescent="0.3">
      <c r="A1495" s="23">
        <f>YEAR(Table1[[#This Row],[Order Date]])</f>
        <v>2017</v>
      </c>
      <c r="B1495" s="6" t="s">
        <v>1855</v>
      </c>
    </row>
    <row r="1496" spans="1:2" x14ac:dyDescent="0.3">
      <c r="A1496" s="22">
        <f>YEAR(Table1[[#This Row],[Order Date]])</f>
        <v>2017</v>
      </c>
      <c r="B1496" s="5" t="s">
        <v>107</v>
      </c>
    </row>
    <row r="1497" spans="1:2" x14ac:dyDescent="0.3">
      <c r="A1497" s="23">
        <f>YEAR(Table1[[#This Row],[Order Date]])</f>
        <v>2017</v>
      </c>
      <c r="B1497" s="6" t="s">
        <v>2161</v>
      </c>
    </row>
    <row r="1498" spans="1:2" x14ac:dyDescent="0.3">
      <c r="A1498" s="22">
        <f>YEAR(Table1[[#This Row],[Order Date]])</f>
        <v>2017</v>
      </c>
      <c r="B1498" s="5" t="s">
        <v>478</v>
      </c>
    </row>
    <row r="1499" spans="1:2" x14ac:dyDescent="0.3">
      <c r="A1499" s="23">
        <f>YEAR(Table1[[#This Row],[Order Date]])</f>
        <v>2017</v>
      </c>
      <c r="B1499" s="6" t="s">
        <v>2179</v>
      </c>
    </row>
    <row r="1500" spans="1:2" x14ac:dyDescent="0.3">
      <c r="A1500" s="22">
        <f>YEAR(Table1[[#This Row],[Order Date]])</f>
        <v>2017</v>
      </c>
      <c r="B1500" s="5" t="s">
        <v>1585</v>
      </c>
    </row>
    <row r="1501" spans="1:2" x14ac:dyDescent="0.3">
      <c r="A1501" s="23">
        <f>YEAR(Table1[[#This Row],[Order Date]])</f>
        <v>2017</v>
      </c>
      <c r="B1501" s="6" t="s">
        <v>1585</v>
      </c>
    </row>
    <row r="1502" spans="1:2" x14ac:dyDescent="0.3">
      <c r="A1502" s="22">
        <f>YEAR(Table1[[#This Row],[Order Date]])</f>
        <v>2017</v>
      </c>
      <c r="B1502" s="5" t="s">
        <v>1350</v>
      </c>
    </row>
    <row r="1503" spans="1:2" x14ac:dyDescent="0.3">
      <c r="A1503" s="23">
        <f>YEAR(Table1[[#This Row],[Order Date]])</f>
        <v>2017</v>
      </c>
      <c r="B1503" s="6" t="s">
        <v>1350</v>
      </c>
    </row>
    <row r="1504" spans="1:2" x14ac:dyDescent="0.3">
      <c r="A1504" s="22">
        <f>YEAR(Table1[[#This Row],[Order Date]])</f>
        <v>2017</v>
      </c>
      <c r="B1504" s="5" t="s">
        <v>1862</v>
      </c>
    </row>
    <row r="1505" spans="1:2" x14ac:dyDescent="0.3">
      <c r="A1505" s="23">
        <f>YEAR(Table1[[#This Row],[Order Date]])</f>
        <v>2017</v>
      </c>
      <c r="B1505" s="6" t="s">
        <v>1862</v>
      </c>
    </row>
    <row r="1506" spans="1:2" x14ac:dyDescent="0.3">
      <c r="A1506" s="22">
        <f>YEAR(Table1[[#This Row],[Order Date]])</f>
        <v>2017</v>
      </c>
      <c r="B1506" s="5" t="s">
        <v>771</v>
      </c>
    </row>
    <row r="1507" spans="1:2" x14ac:dyDescent="0.3">
      <c r="A1507" s="23">
        <f>YEAR(Table1[[#This Row],[Order Date]])</f>
        <v>2017</v>
      </c>
      <c r="B1507" s="6" t="s">
        <v>1705</v>
      </c>
    </row>
    <row r="1508" spans="1:2" x14ac:dyDescent="0.3">
      <c r="A1508" s="22">
        <f>YEAR(Table1[[#This Row],[Order Date]])</f>
        <v>2017</v>
      </c>
      <c r="B1508" s="5" t="s">
        <v>1705</v>
      </c>
    </row>
    <row r="1509" spans="1:2" x14ac:dyDescent="0.3">
      <c r="A1509" s="23">
        <f>YEAR(Table1[[#This Row],[Order Date]])</f>
        <v>2017</v>
      </c>
      <c r="B1509" s="6" t="s">
        <v>1705</v>
      </c>
    </row>
    <row r="1510" spans="1:2" x14ac:dyDescent="0.3">
      <c r="A1510" s="22">
        <f>YEAR(Table1[[#This Row],[Order Date]])</f>
        <v>2017</v>
      </c>
      <c r="B1510" s="5" t="s">
        <v>1705</v>
      </c>
    </row>
    <row r="1511" spans="1:2" x14ac:dyDescent="0.3">
      <c r="A1511" s="23">
        <f>YEAR(Table1[[#This Row],[Order Date]])</f>
        <v>2017</v>
      </c>
      <c r="B1511" s="6" t="s">
        <v>2152</v>
      </c>
    </row>
    <row r="1512" spans="1:2" x14ac:dyDescent="0.3">
      <c r="A1512" s="22">
        <f>YEAR(Table1[[#This Row],[Order Date]])</f>
        <v>2017</v>
      </c>
      <c r="B1512" s="5" t="s">
        <v>490</v>
      </c>
    </row>
    <row r="1513" spans="1:2" x14ac:dyDescent="0.3">
      <c r="A1513" s="23">
        <f>YEAR(Table1[[#This Row],[Order Date]])</f>
        <v>2017</v>
      </c>
      <c r="B1513" s="6" t="s">
        <v>1580</v>
      </c>
    </row>
    <row r="1514" spans="1:2" x14ac:dyDescent="0.3">
      <c r="A1514" s="22">
        <f>YEAR(Table1[[#This Row],[Order Date]])</f>
        <v>2017</v>
      </c>
      <c r="B1514" s="5" t="s">
        <v>1580</v>
      </c>
    </row>
    <row r="1515" spans="1:2" x14ac:dyDescent="0.3">
      <c r="A1515" s="23">
        <f>YEAR(Table1[[#This Row],[Order Date]])</f>
        <v>2017</v>
      </c>
      <c r="B1515" s="6" t="s">
        <v>586</v>
      </c>
    </row>
    <row r="1516" spans="1:2" x14ac:dyDescent="0.3">
      <c r="A1516" s="22">
        <f>YEAR(Table1[[#This Row],[Order Date]])</f>
        <v>2017</v>
      </c>
      <c r="B1516" s="5" t="s">
        <v>586</v>
      </c>
    </row>
    <row r="1517" spans="1:2" x14ac:dyDescent="0.3">
      <c r="A1517" s="23">
        <f>YEAR(Table1[[#This Row],[Order Date]])</f>
        <v>2017</v>
      </c>
      <c r="B1517" s="6" t="s">
        <v>2528</v>
      </c>
    </row>
    <row r="1518" spans="1:2" x14ac:dyDescent="0.3">
      <c r="A1518" s="22">
        <f>YEAR(Table1[[#This Row],[Order Date]])</f>
        <v>2017</v>
      </c>
      <c r="B1518" s="5" t="s">
        <v>1612</v>
      </c>
    </row>
    <row r="1519" spans="1:2" x14ac:dyDescent="0.3">
      <c r="A1519" s="23">
        <f>YEAR(Table1[[#This Row],[Order Date]])</f>
        <v>2017</v>
      </c>
      <c r="B1519" s="6" t="s">
        <v>1712</v>
      </c>
    </row>
    <row r="1520" spans="1:2" x14ac:dyDescent="0.3">
      <c r="A1520" s="22">
        <f>YEAR(Table1[[#This Row],[Order Date]])</f>
        <v>2017</v>
      </c>
      <c r="B1520" s="5" t="s">
        <v>1314</v>
      </c>
    </row>
    <row r="1521" spans="1:2" x14ac:dyDescent="0.3">
      <c r="A1521" s="23">
        <f>YEAR(Table1[[#This Row],[Order Date]])</f>
        <v>2017</v>
      </c>
      <c r="B1521" s="6" t="s">
        <v>776</v>
      </c>
    </row>
    <row r="1522" spans="1:2" x14ac:dyDescent="0.3">
      <c r="A1522" s="22">
        <f>YEAR(Table1[[#This Row],[Order Date]])</f>
        <v>2017</v>
      </c>
      <c r="B1522" s="5" t="s">
        <v>1521</v>
      </c>
    </row>
    <row r="1523" spans="1:2" x14ac:dyDescent="0.3">
      <c r="A1523" s="23">
        <f>YEAR(Table1[[#This Row],[Order Date]])</f>
        <v>2017</v>
      </c>
      <c r="B1523" s="6" t="s">
        <v>2118</v>
      </c>
    </row>
    <row r="1524" spans="1:2" x14ac:dyDescent="0.3">
      <c r="A1524" s="22">
        <f>YEAR(Table1[[#This Row],[Order Date]])</f>
        <v>2017</v>
      </c>
      <c r="B1524" s="5" t="s">
        <v>2118</v>
      </c>
    </row>
    <row r="1525" spans="1:2" x14ac:dyDescent="0.3">
      <c r="A1525" s="23">
        <f>YEAR(Table1[[#This Row],[Order Date]])</f>
        <v>2017</v>
      </c>
      <c r="B1525" s="6" t="s">
        <v>1676</v>
      </c>
    </row>
    <row r="1526" spans="1:2" x14ac:dyDescent="0.3">
      <c r="A1526" s="22">
        <f>YEAR(Table1[[#This Row],[Order Date]])</f>
        <v>2017</v>
      </c>
      <c r="B1526" s="5" t="s">
        <v>397</v>
      </c>
    </row>
    <row r="1527" spans="1:2" x14ac:dyDescent="0.3">
      <c r="A1527" s="23">
        <f>YEAR(Table1[[#This Row],[Order Date]])</f>
        <v>2017</v>
      </c>
      <c r="B1527" s="6" t="s">
        <v>1532</v>
      </c>
    </row>
    <row r="1528" spans="1:2" x14ac:dyDescent="0.3">
      <c r="A1528" s="22">
        <f>YEAR(Table1[[#This Row],[Order Date]])</f>
        <v>2017</v>
      </c>
      <c r="B1528" s="5" t="s">
        <v>1532</v>
      </c>
    </row>
    <row r="1529" spans="1:2" x14ac:dyDescent="0.3">
      <c r="A1529" s="23">
        <f>YEAR(Table1[[#This Row],[Order Date]])</f>
        <v>2017</v>
      </c>
      <c r="B1529" s="6" t="s">
        <v>789</v>
      </c>
    </row>
    <row r="1530" spans="1:2" x14ac:dyDescent="0.3">
      <c r="A1530" s="22">
        <f>YEAR(Table1[[#This Row],[Order Date]])</f>
        <v>2017</v>
      </c>
      <c r="B1530" s="5" t="s">
        <v>670</v>
      </c>
    </row>
    <row r="1531" spans="1:2" x14ac:dyDescent="0.3">
      <c r="A1531" s="23">
        <f>YEAR(Table1[[#This Row],[Order Date]])</f>
        <v>2017</v>
      </c>
      <c r="B1531" s="6" t="s">
        <v>1069</v>
      </c>
    </row>
    <row r="1532" spans="1:2" x14ac:dyDescent="0.3">
      <c r="A1532" s="22">
        <f>YEAR(Table1[[#This Row],[Order Date]])</f>
        <v>2017</v>
      </c>
      <c r="B1532" s="5" t="s">
        <v>2404</v>
      </c>
    </row>
    <row r="1533" spans="1:2" x14ac:dyDescent="0.3">
      <c r="A1533" s="23">
        <f>YEAR(Table1[[#This Row],[Order Date]])</f>
        <v>2017</v>
      </c>
      <c r="B1533" s="6" t="s">
        <v>2404</v>
      </c>
    </row>
    <row r="1534" spans="1:2" x14ac:dyDescent="0.3">
      <c r="A1534" s="22">
        <f>YEAR(Table1[[#This Row],[Order Date]])</f>
        <v>2017</v>
      </c>
      <c r="B1534" s="5" t="s">
        <v>543</v>
      </c>
    </row>
    <row r="1535" spans="1:2" x14ac:dyDescent="0.3">
      <c r="A1535" s="23">
        <f>YEAR(Table1[[#This Row],[Order Date]])</f>
        <v>2017</v>
      </c>
      <c r="B1535" s="6" t="s">
        <v>1824</v>
      </c>
    </row>
    <row r="1536" spans="1:2" x14ac:dyDescent="0.3">
      <c r="A1536" s="22">
        <f>YEAR(Table1[[#This Row],[Order Date]])</f>
        <v>2017</v>
      </c>
      <c r="B1536" s="5" t="s">
        <v>796</v>
      </c>
    </row>
    <row r="1537" spans="1:2" x14ac:dyDescent="0.3">
      <c r="A1537" s="23">
        <f>YEAR(Table1[[#This Row],[Order Date]])</f>
        <v>2017</v>
      </c>
      <c r="B1537" s="6" t="s">
        <v>504</v>
      </c>
    </row>
    <row r="1538" spans="1:2" x14ac:dyDescent="0.3">
      <c r="A1538" s="22">
        <f>YEAR(Table1[[#This Row],[Order Date]])</f>
        <v>2017</v>
      </c>
      <c r="B1538" s="5" t="s">
        <v>1097</v>
      </c>
    </row>
    <row r="1539" spans="1:2" x14ac:dyDescent="0.3">
      <c r="A1539" s="23">
        <f>YEAR(Table1[[#This Row],[Order Date]])</f>
        <v>2017</v>
      </c>
      <c r="B1539" s="6" t="s">
        <v>85</v>
      </c>
    </row>
    <row r="1540" spans="1:2" x14ac:dyDescent="0.3">
      <c r="A1540" s="22">
        <f>YEAR(Table1[[#This Row],[Order Date]])</f>
        <v>2017</v>
      </c>
      <c r="B1540" s="5" t="s">
        <v>85</v>
      </c>
    </row>
    <row r="1541" spans="1:2" x14ac:dyDescent="0.3">
      <c r="A1541" s="23">
        <f>YEAR(Table1[[#This Row],[Order Date]])</f>
        <v>2017</v>
      </c>
      <c r="B1541" s="6" t="s">
        <v>1003</v>
      </c>
    </row>
    <row r="1542" spans="1:2" x14ac:dyDescent="0.3">
      <c r="A1542" s="22">
        <f>YEAR(Table1[[#This Row],[Order Date]])</f>
        <v>2017</v>
      </c>
      <c r="B1542" s="5" t="s">
        <v>1003</v>
      </c>
    </row>
    <row r="1543" spans="1:2" x14ac:dyDescent="0.3">
      <c r="A1543" s="23">
        <f>YEAR(Table1[[#This Row],[Order Date]])</f>
        <v>2017</v>
      </c>
      <c r="B1543" s="6" t="s">
        <v>1446</v>
      </c>
    </row>
    <row r="1544" spans="1:2" x14ac:dyDescent="0.3">
      <c r="A1544" s="22">
        <f>YEAR(Table1[[#This Row],[Order Date]])</f>
        <v>2017</v>
      </c>
      <c r="B1544" s="5" t="s">
        <v>1519</v>
      </c>
    </row>
    <row r="1545" spans="1:2" x14ac:dyDescent="0.3">
      <c r="A1545" s="23">
        <f>YEAR(Table1[[#This Row],[Order Date]])</f>
        <v>2017</v>
      </c>
      <c r="B1545" s="6" t="s">
        <v>2060</v>
      </c>
    </row>
    <row r="1546" spans="1:2" x14ac:dyDescent="0.3">
      <c r="A1546" s="22">
        <f>YEAR(Table1[[#This Row],[Order Date]])</f>
        <v>2017</v>
      </c>
      <c r="B1546" s="5" t="s">
        <v>2325</v>
      </c>
    </row>
    <row r="1547" spans="1:2" x14ac:dyDescent="0.3">
      <c r="A1547" s="23">
        <f>YEAR(Table1[[#This Row],[Order Date]])</f>
        <v>2017</v>
      </c>
      <c r="B1547" s="6" t="s">
        <v>2224</v>
      </c>
    </row>
    <row r="1548" spans="1:2" x14ac:dyDescent="0.3">
      <c r="A1548" s="22">
        <f>YEAR(Table1[[#This Row],[Order Date]])</f>
        <v>2017</v>
      </c>
      <c r="B1548" s="5" t="s">
        <v>2224</v>
      </c>
    </row>
    <row r="1549" spans="1:2" x14ac:dyDescent="0.3">
      <c r="A1549" s="23">
        <f>YEAR(Table1[[#This Row],[Order Date]])</f>
        <v>2017</v>
      </c>
      <c r="B1549" s="6" t="s">
        <v>2224</v>
      </c>
    </row>
    <row r="1550" spans="1:2" x14ac:dyDescent="0.3">
      <c r="A1550" s="22">
        <f>YEAR(Table1[[#This Row],[Order Date]])</f>
        <v>2017</v>
      </c>
      <c r="B1550" s="5" t="s">
        <v>212</v>
      </c>
    </row>
    <row r="1551" spans="1:2" x14ac:dyDescent="0.3">
      <c r="A1551" s="23">
        <f>YEAR(Table1[[#This Row],[Order Date]])</f>
        <v>2017</v>
      </c>
      <c r="B1551" s="6" t="s">
        <v>549</v>
      </c>
    </row>
    <row r="1552" spans="1:2" x14ac:dyDescent="0.3">
      <c r="A1552" s="22">
        <f>YEAR(Table1[[#This Row],[Order Date]])</f>
        <v>2017</v>
      </c>
      <c r="B1552" s="5" t="s">
        <v>1221</v>
      </c>
    </row>
    <row r="1553" spans="1:2" x14ac:dyDescent="0.3">
      <c r="A1553" s="23">
        <f>YEAR(Table1[[#This Row],[Order Date]])</f>
        <v>2017</v>
      </c>
      <c r="B1553" s="6" t="s">
        <v>624</v>
      </c>
    </row>
    <row r="1554" spans="1:2" x14ac:dyDescent="0.3">
      <c r="A1554" s="22">
        <f>YEAR(Table1[[#This Row],[Order Date]])</f>
        <v>2017</v>
      </c>
      <c r="B1554" s="5" t="s">
        <v>574</v>
      </c>
    </row>
    <row r="1555" spans="1:2" x14ac:dyDescent="0.3">
      <c r="A1555" s="23">
        <f>YEAR(Table1[[#This Row],[Order Date]])</f>
        <v>2017</v>
      </c>
      <c r="B1555" s="6" t="s">
        <v>149</v>
      </c>
    </row>
    <row r="1556" spans="1:2" x14ac:dyDescent="0.3">
      <c r="A1556" s="22">
        <f>YEAR(Table1[[#This Row],[Order Date]])</f>
        <v>2017</v>
      </c>
      <c r="B1556" s="5" t="s">
        <v>341</v>
      </c>
    </row>
    <row r="1557" spans="1:2" x14ac:dyDescent="0.3">
      <c r="A1557" s="23">
        <f>YEAR(Table1[[#This Row],[Order Date]])</f>
        <v>2017</v>
      </c>
      <c r="B1557" s="6" t="s">
        <v>1400</v>
      </c>
    </row>
    <row r="1558" spans="1:2" x14ac:dyDescent="0.3">
      <c r="A1558" s="22">
        <f>YEAR(Table1[[#This Row],[Order Date]])</f>
        <v>2017</v>
      </c>
      <c r="B1558" s="5" t="s">
        <v>579</v>
      </c>
    </row>
    <row r="1559" spans="1:2" x14ac:dyDescent="0.3">
      <c r="A1559" s="23">
        <f>YEAR(Table1[[#This Row],[Order Date]])</f>
        <v>2017</v>
      </c>
      <c r="B1559" s="6" t="s">
        <v>1060</v>
      </c>
    </row>
    <row r="1560" spans="1:2" x14ac:dyDescent="0.3">
      <c r="A1560" s="22">
        <f>YEAR(Table1[[#This Row],[Order Date]])</f>
        <v>2017</v>
      </c>
      <c r="B1560" s="5" t="s">
        <v>107</v>
      </c>
    </row>
    <row r="1561" spans="1:2" x14ac:dyDescent="0.3">
      <c r="A1561" s="23">
        <f>YEAR(Table1[[#This Row],[Order Date]])</f>
        <v>2017</v>
      </c>
      <c r="B1561" s="6" t="s">
        <v>944</v>
      </c>
    </row>
    <row r="1562" spans="1:2" x14ac:dyDescent="0.3">
      <c r="A1562" s="22">
        <f>YEAR(Table1[[#This Row],[Order Date]])</f>
        <v>2017</v>
      </c>
      <c r="B1562" s="5" t="s">
        <v>1924</v>
      </c>
    </row>
    <row r="1563" spans="1:2" x14ac:dyDescent="0.3">
      <c r="A1563" s="23">
        <f>YEAR(Table1[[#This Row],[Order Date]])</f>
        <v>2017</v>
      </c>
      <c r="B1563" s="6" t="s">
        <v>1924</v>
      </c>
    </row>
    <row r="1564" spans="1:2" x14ac:dyDescent="0.3">
      <c r="A1564" s="22">
        <f>YEAR(Table1[[#This Row],[Order Date]])</f>
        <v>2017</v>
      </c>
      <c r="B1564" s="5" t="s">
        <v>1654</v>
      </c>
    </row>
    <row r="1565" spans="1:2" x14ac:dyDescent="0.3">
      <c r="A1565" s="23">
        <f>YEAR(Table1[[#This Row],[Order Date]])</f>
        <v>2017</v>
      </c>
      <c r="B1565" s="6" t="s">
        <v>1258</v>
      </c>
    </row>
    <row r="1566" spans="1:2" x14ac:dyDescent="0.3">
      <c r="A1566" s="22">
        <f>YEAR(Table1[[#This Row],[Order Date]])</f>
        <v>2017</v>
      </c>
      <c r="B1566" s="5" t="s">
        <v>662</v>
      </c>
    </row>
    <row r="1567" spans="1:2" x14ac:dyDescent="0.3">
      <c r="A1567" s="23">
        <f>YEAR(Table1[[#This Row],[Order Date]])</f>
        <v>2017</v>
      </c>
      <c r="B1567" s="6" t="s">
        <v>1089</v>
      </c>
    </row>
    <row r="1568" spans="1:2" x14ac:dyDescent="0.3">
      <c r="A1568" s="22">
        <f>YEAR(Table1[[#This Row],[Order Date]])</f>
        <v>2017</v>
      </c>
      <c r="B1568" s="5" t="s">
        <v>1360</v>
      </c>
    </row>
    <row r="1569" spans="1:2" x14ac:dyDescent="0.3">
      <c r="A1569" s="23">
        <f>YEAR(Table1[[#This Row],[Order Date]])</f>
        <v>2017</v>
      </c>
      <c r="B1569" s="6" t="s">
        <v>2054</v>
      </c>
    </row>
    <row r="1570" spans="1:2" x14ac:dyDescent="0.3">
      <c r="A1570" s="22">
        <f>YEAR(Table1[[#This Row],[Order Date]])</f>
        <v>2017</v>
      </c>
      <c r="B1570" s="5" t="s">
        <v>2501</v>
      </c>
    </row>
    <row r="1571" spans="1:2" x14ac:dyDescent="0.3">
      <c r="A1571" s="23">
        <f>YEAR(Table1[[#This Row],[Order Date]])</f>
        <v>2017</v>
      </c>
      <c r="B1571" s="6" t="s">
        <v>1512</v>
      </c>
    </row>
    <row r="1572" spans="1:2" x14ac:dyDescent="0.3">
      <c r="A1572" s="22">
        <f>YEAR(Table1[[#This Row],[Order Date]])</f>
        <v>2017</v>
      </c>
      <c r="B1572" s="5" t="s">
        <v>722</v>
      </c>
    </row>
    <row r="1573" spans="1:2" x14ac:dyDescent="0.3">
      <c r="A1573" s="23">
        <f>YEAR(Table1[[#This Row],[Order Date]])</f>
        <v>2017</v>
      </c>
      <c r="B1573" s="6" t="s">
        <v>1608</v>
      </c>
    </row>
    <row r="1574" spans="1:2" x14ac:dyDescent="0.3">
      <c r="A1574" s="22">
        <f>YEAR(Table1[[#This Row],[Order Date]])</f>
        <v>2017</v>
      </c>
      <c r="B1574" s="5" t="s">
        <v>469</v>
      </c>
    </row>
    <row r="1575" spans="1:2" x14ac:dyDescent="0.3">
      <c r="A1575" s="23">
        <f>YEAR(Table1[[#This Row],[Order Date]])</f>
        <v>2017</v>
      </c>
      <c r="B1575" s="6" t="s">
        <v>1803</v>
      </c>
    </row>
    <row r="1576" spans="1:2" x14ac:dyDescent="0.3">
      <c r="A1576" s="22">
        <f>YEAR(Table1[[#This Row],[Order Date]])</f>
        <v>2017</v>
      </c>
      <c r="B1576" s="5" t="s">
        <v>806</v>
      </c>
    </row>
    <row r="1577" spans="1:2" x14ac:dyDescent="0.3">
      <c r="A1577" s="23">
        <f>YEAR(Table1[[#This Row],[Order Date]])</f>
        <v>2017</v>
      </c>
      <c r="B1577" s="6" t="s">
        <v>1929</v>
      </c>
    </row>
    <row r="1578" spans="1:2" x14ac:dyDescent="0.3">
      <c r="A1578" s="22">
        <f>YEAR(Table1[[#This Row],[Order Date]])</f>
        <v>2017</v>
      </c>
      <c r="B1578" s="5" t="s">
        <v>2060</v>
      </c>
    </row>
    <row r="1579" spans="1:2" x14ac:dyDescent="0.3">
      <c r="A1579" s="23">
        <f>YEAR(Table1[[#This Row],[Order Date]])</f>
        <v>2017</v>
      </c>
      <c r="B1579" s="6" t="s">
        <v>563</v>
      </c>
    </row>
    <row r="1580" spans="1:2" x14ac:dyDescent="0.3">
      <c r="A1580" s="22">
        <f>YEAR(Table1[[#This Row],[Order Date]])</f>
        <v>2017</v>
      </c>
      <c r="B1580" s="5" t="s">
        <v>925</v>
      </c>
    </row>
    <row r="1581" spans="1:2" x14ac:dyDescent="0.3">
      <c r="A1581" s="23">
        <f>YEAR(Table1[[#This Row],[Order Date]])</f>
        <v>2017</v>
      </c>
      <c r="B1581" s="6" t="s">
        <v>1258</v>
      </c>
    </row>
    <row r="1582" spans="1:2" x14ac:dyDescent="0.3">
      <c r="A1582" s="22">
        <f>YEAR(Table1[[#This Row],[Order Date]])</f>
        <v>2017</v>
      </c>
      <c r="B1582" s="5" t="s">
        <v>1511</v>
      </c>
    </row>
    <row r="1583" spans="1:2" x14ac:dyDescent="0.3">
      <c r="A1583" s="23">
        <f>YEAR(Table1[[#This Row],[Order Date]])</f>
        <v>2017</v>
      </c>
      <c r="B1583" s="6" t="s">
        <v>1511</v>
      </c>
    </row>
    <row r="1584" spans="1:2" x14ac:dyDescent="0.3">
      <c r="A1584" s="22">
        <f>YEAR(Table1[[#This Row],[Order Date]])</f>
        <v>2017</v>
      </c>
      <c r="B1584" s="5" t="s">
        <v>1426</v>
      </c>
    </row>
    <row r="1585" spans="1:2" x14ac:dyDescent="0.3">
      <c r="A1585" s="23">
        <f>YEAR(Table1[[#This Row],[Order Date]])</f>
        <v>2017</v>
      </c>
      <c r="B1585" s="6" t="s">
        <v>895</v>
      </c>
    </row>
    <row r="1586" spans="1:2" x14ac:dyDescent="0.3">
      <c r="A1586" s="22">
        <f>YEAR(Table1[[#This Row],[Order Date]])</f>
        <v>2017</v>
      </c>
      <c r="B1586" s="5" t="s">
        <v>119</v>
      </c>
    </row>
    <row r="1587" spans="1:2" x14ac:dyDescent="0.3">
      <c r="A1587" s="23">
        <f>YEAR(Table1[[#This Row],[Order Date]])</f>
        <v>2017</v>
      </c>
      <c r="B1587" s="6" t="s">
        <v>1014</v>
      </c>
    </row>
    <row r="1588" spans="1:2" x14ac:dyDescent="0.3">
      <c r="A1588" s="22">
        <f>YEAR(Table1[[#This Row],[Order Date]])</f>
        <v>2017</v>
      </c>
      <c r="B1588" s="5" t="s">
        <v>574</v>
      </c>
    </row>
    <row r="1589" spans="1:2" x14ac:dyDescent="0.3">
      <c r="A1589" s="23">
        <f>YEAR(Table1[[#This Row],[Order Date]])</f>
        <v>2017</v>
      </c>
      <c r="B1589" s="6" t="s">
        <v>1193</v>
      </c>
    </row>
    <row r="1590" spans="1:2" x14ac:dyDescent="0.3">
      <c r="A1590" s="22">
        <f>YEAR(Table1[[#This Row],[Order Date]])</f>
        <v>2017</v>
      </c>
      <c r="B1590" s="5" t="s">
        <v>2508</v>
      </c>
    </row>
    <row r="1591" spans="1:2" x14ac:dyDescent="0.3">
      <c r="A1591" s="23">
        <f>YEAR(Table1[[#This Row],[Order Date]])</f>
        <v>2017</v>
      </c>
      <c r="B1591" s="6" t="s">
        <v>2049</v>
      </c>
    </row>
    <row r="1592" spans="1:2" x14ac:dyDescent="0.3">
      <c r="A1592" s="22">
        <f>YEAR(Table1[[#This Row],[Order Date]])</f>
        <v>2017</v>
      </c>
      <c r="B1592" s="5" t="s">
        <v>271</v>
      </c>
    </row>
    <row r="1593" spans="1:2" x14ac:dyDescent="0.3">
      <c r="A1593" s="23">
        <f>YEAR(Table1[[#This Row],[Order Date]])</f>
        <v>2017</v>
      </c>
      <c r="B1593" s="6" t="s">
        <v>1338</v>
      </c>
    </row>
    <row r="1594" spans="1:2" x14ac:dyDescent="0.3">
      <c r="A1594" s="22">
        <f>YEAR(Table1[[#This Row],[Order Date]])</f>
        <v>2017</v>
      </c>
      <c r="B1594" s="5" t="s">
        <v>1087</v>
      </c>
    </row>
    <row r="1595" spans="1:2" x14ac:dyDescent="0.3">
      <c r="A1595" s="23">
        <f>YEAR(Table1[[#This Row],[Order Date]])</f>
        <v>2017</v>
      </c>
      <c r="B1595" s="6" t="s">
        <v>858</v>
      </c>
    </row>
    <row r="1596" spans="1:2" x14ac:dyDescent="0.3">
      <c r="A1596" s="22">
        <f>YEAR(Table1[[#This Row],[Order Date]])</f>
        <v>2017</v>
      </c>
      <c r="B1596" s="5" t="s">
        <v>765</v>
      </c>
    </row>
    <row r="1597" spans="1:2" x14ac:dyDescent="0.3">
      <c r="A1597" s="23">
        <f>YEAR(Table1[[#This Row],[Order Date]])</f>
        <v>2017</v>
      </c>
      <c r="B1597" s="6" t="s">
        <v>554</v>
      </c>
    </row>
    <row r="1598" spans="1:2" x14ac:dyDescent="0.3">
      <c r="A1598" s="22">
        <f>YEAR(Table1[[#This Row],[Order Date]])</f>
        <v>2017</v>
      </c>
      <c r="B1598" s="5" t="s">
        <v>1312</v>
      </c>
    </row>
    <row r="1599" spans="1:2" x14ac:dyDescent="0.3">
      <c r="A1599" s="23">
        <f>YEAR(Table1[[#This Row],[Order Date]])</f>
        <v>2017</v>
      </c>
      <c r="B1599" s="6" t="s">
        <v>2056</v>
      </c>
    </row>
    <row r="1600" spans="1:2" x14ac:dyDescent="0.3">
      <c r="A1600" s="22">
        <f>YEAR(Table1[[#This Row],[Order Date]])</f>
        <v>2017</v>
      </c>
      <c r="B1600" s="5" t="s">
        <v>1896</v>
      </c>
    </row>
    <row r="1601" spans="1:2" x14ac:dyDescent="0.3">
      <c r="A1601" s="23">
        <f>YEAR(Table1[[#This Row],[Order Date]])</f>
        <v>2017</v>
      </c>
      <c r="B1601" s="6" t="s">
        <v>1896</v>
      </c>
    </row>
    <row r="1602" spans="1:2" x14ac:dyDescent="0.3">
      <c r="A1602" s="22">
        <f>YEAR(Table1[[#This Row],[Order Date]])</f>
        <v>2017</v>
      </c>
      <c r="B1602" s="5" t="s">
        <v>330</v>
      </c>
    </row>
    <row r="1603" spans="1:2" x14ac:dyDescent="0.3">
      <c r="A1603" s="23">
        <f>YEAR(Table1[[#This Row],[Order Date]])</f>
        <v>2017</v>
      </c>
      <c r="B1603" s="6" t="s">
        <v>2038</v>
      </c>
    </row>
    <row r="1604" spans="1:2" x14ac:dyDescent="0.3">
      <c r="A1604" s="22">
        <f>YEAR(Table1[[#This Row],[Order Date]])</f>
        <v>2017</v>
      </c>
      <c r="B1604" s="5" t="s">
        <v>1881</v>
      </c>
    </row>
    <row r="1605" spans="1:2" x14ac:dyDescent="0.3">
      <c r="A1605" s="23">
        <f>YEAR(Table1[[#This Row],[Order Date]])</f>
        <v>2017</v>
      </c>
      <c r="B1605" s="6" t="s">
        <v>1075</v>
      </c>
    </row>
    <row r="1606" spans="1:2" x14ac:dyDescent="0.3">
      <c r="A1606" s="22">
        <f>YEAR(Table1[[#This Row],[Order Date]])</f>
        <v>2017</v>
      </c>
      <c r="B1606" s="5" t="s">
        <v>1471</v>
      </c>
    </row>
    <row r="1607" spans="1:2" x14ac:dyDescent="0.3">
      <c r="A1607" s="23">
        <f>YEAR(Table1[[#This Row],[Order Date]])</f>
        <v>2017</v>
      </c>
      <c r="B1607" s="6" t="s">
        <v>1098</v>
      </c>
    </row>
    <row r="1608" spans="1:2" x14ac:dyDescent="0.3">
      <c r="A1608" s="22">
        <f>YEAR(Table1[[#This Row],[Order Date]])</f>
        <v>2017</v>
      </c>
      <c r="B1608" s="5" t="s">
        <v>893</v>
      </c>
    </row>
    <row r="1609" spans="1:2" x14ac:dyDescent="0.3">
      <c r="A1609" s="23">
        <f>YEAR(Table1[[#This Row],[Order Date]])</f>
        <v>2017</v>
      </c>
      <c r="B1609" s="6" t="s">
        <v>1193</v>
      </c>
    </row>
    <row r="1610" spans="1:2" x14ac:dyDescent="0.3">
      <c r="A1610" s="22" t="e">
        <f>YEAR(Table1[[#This Row],[Order Date]])</f>
        <v>#VALUE!</v>
      </c>
      <c r="B1610" s="5" t="s">
        <v>1481</v>
      </c>
    </row>
    <row r="1611" spans="1:2" x14ac:dyDescent="0.3">
      <c r="A1611" s="23" t="e">
        <f>YEAR(Table1[[#This Row],[Order Date]])</f>
        <v>#VALUE!</v>
      </c>
      <c r="B1611" s="6" t="s">
        <v>508</v>
      </c>
    </row>
    <row r="1612" spans="1:2" x14ac:dyDescent="0.3">
      <c r="A1612" s="22" t="e">
        <f>YEAR(Table1[[#This Row],[Order Date]])</f>
        <v>#VALUE!</v>
      </c>
      <c r="B1612" s="5" t="s">
        <v>508</v>
      </c>
    </row>
    <row r="1613" spans="1:2" x14ac:dyDescent="0.3">
      <c r="A1613" s="23" t="e">
        <f>YEAR(Table1[[#This Row],[Order Date]])</f>
        <v>#VALUE!</v>
      </c>
      <c r="B1613" s="6" t="s">
        <v>1782</v>
      </c>
    </row>
    <row r="1614" spans="1:2" x14ac:dyDescent="0.3">
      <c r="A1614" s="22" t="e">
        <f>YEAR(Table1[[#This Row],[Order Date]])</f>
        <v>#VALUE!</v>
      </c>
      <c r="B1614" s="5" t="s">
        <v>510</v>
      </c>
    </row>
    <row r="1615" spans="1:2" x14ac:dyDescent="0.3">
      <c r="A1615" s="23" t="e">
        <f>YEAR(Table1[[#This Row],[Order Date]])</f>
        <v>#VALUE!</v>
      </c>
      <c r="B1615" s="6" t="s">
        <v>2341</v>
      </c>
    </row>
    <row r="1616" spans="1:2" x14ac:dyDescent="0.3">
      <c r="A1616" s="22" t="e">
        <f>YEAR(Table1[[#This Row],[Order Date]])</f>
        <v>#VALUE!</v>
      </c>
      <c r="B1616" s="5" t="s">
        <v>225</v>
      </c>
    </row>
    <row r="1617" spans="1:2" x14ac:dyDescent="0.3">
      <c r="A1617" s="23" t="e">
        <f>YEAR(Table1[[#This Row],[Order Date]])</f>
        <v>#VALUE!</v>
      </c>
      <c r="B1617" s="6" t="s">
        <v>516</v>
      </c>
    </row>
    <row r="1618" spans="1:2" x14ac:dyDescent="0.3">
      <c r="A1618" s="22" t="e">
        <f>YEAR(Table1[[#This Row],[Order Date]])</f>
        <v>#VALUE!</v>
      </c>
      <c r="B1618" s="5" t="s">
        <v>1968</v>
      </c>
    </row>
    <row r="1619" spans="1:2" x14ac:dyDescent="0.3">
      <c r="A1619" s="23" t="e">
        <f>YEAR(Table1[[#This Row],[Order Date]])</f>
        <v>#VALUE!</v>
      </c>
      <c r="B1619" s="6" t="s">
        <v>1359</v>
      </c>
    </row>
    <row r="1620" spans="1:2" x14ac:dyDescent="0.3">
      <c r="A1620" s="22" t="e">
        <f>YEAR(Table1[[#This Row],[Order Date]])</f>
        <v>#VALUE!</v>
      </c>
      <c r="B1620" s="5" t="s">
        <v>1712</v>
      </c>
    </row>
    <row r="1621" spans="1:2" x14ac:dyDescent="0.3">
      <c r="A1621" s="23" t="e">
        <f>YEAR(Table1[[#This Row],[Order Date]])</f>
        <v>#VALUE!</v>
      </c>
      <c r="B1621" s="6" t="s">
        <v>2160</v>
      </c>
    </row>
    <row r="1622" spans="1:2" x14ac:dyDescent="0.3">
      <c r="A1622" s="22" t="e">
        <f>YEAR(Table1[[#This Row],[Order Date]])</f>
        <v>#VALUE!</v>
      </c>
      <c r="B1622" s="5" t="s">
        <v>545</v>
      </c>
    </row>
    <row r="1623" spans="1:2" x14ac:dyDescent="0.3">
      <c r="A1623" s="23" t="e">
        <f>YEAR(Table1[[#This Row],[Order Date]])</f>
        <v>#VALUE!</v>
      </c>
      <c r="B1623" s="6" t="s">
        <v>545</v>
      </c>
    </row>
    <row r="1624" spans="1:2" x14ac:dyDescent="0.3">
      <c r="A1624" s="22" t="e">
        <f>YEAR(Table1[[#This Row],[Order Date]])</f>
        <v>#VALUE!</v>
      </c>
      <c r="B1624" s="5" t="s">
        <v>1626</v>
      </c>
    </row>
    <row r="1625" spans="1:2" x14ac:dyDescent="0.3">
      <c r="A1625" s="23" t="e">
        <f>YEAR(Table1[[#This Row],[Order Date]])</f>
        <v>#VALUE!</v>
      </c>
      <c r="B1625" s="6" t="s">
        <v>1043</v>
      </c>
    </row>
    <row r="1626" spans="1:2" x14ac:dyDescent="0.3">
      <c r="A1626" s="22" t="e">
        <f>YEAR(Table1[[#This Row],[Order Date]])</f>
        <v>#VALUE!</v>
      </c>
      <c r="B1626" s="5" t="s">
        <v>1261</v>
      </c>
    </row>
    <row r="1627" spans="1:2" x14ac:dyDescent="0.3">
      <c r="A1627" s="23" t="e">
        <f>YEAR(Table1[[#This Row],[Order Date]])</f>
        <v>#VALUE!</v>
      </c>
      <c r="B1627" s="6" t="s">
        <v>1262</v>
      </c>
    </row>
    <row r="1628" spans="1:2" x14ac:dyDescent="0.3">
      <c r="A1628" s="22" t="e">
        <f>YEAR(Table1[[#This Row],[Order Date]])</f>
        <v>#VALUE!</v>
      </c>
      <c r="B1628" s="5" t="s">
        <v>2197</v>
      </c>
    </row>
    <row r="1629" spans="1:2" x14ac:dyDescent="0.3">
      <c r="A1629" s="23" t="e">
        <f>YEAR(Table1[[#This Row],[Order Date]])</f>
        <v>#VALUE!</v>
      </c>
      <c r="B1629" s="6" t="s">
        <v>1426</v>
      </c>
    </row>
    <row r="1630" spans="1:2" x14ac:dyDescent="0.3">
      <c r="A1630" s="22" t="e">
        <f>YEAR(Table1[[#This Row],[Order Date]])</f>
        <v>#VALUE!</v>
      </c>
      <c r="B1630" s="5" t="s">
        <v>554</v>
      </c>
    </row>
    <row r="1631" spans="1:2" x14ac:dyDescent="0.3">
      <c r="A1631" s="23" t="e">
        <f>YEAR(Table1[[#This Row],[Order Date]])</f>
        <v>#VALUE!</v>
      </c>
      <c r="B1631" s="6" t="s">
        <v>1418</v>
      </c>
    </row>
    <row r="1632" spans="1:2" x14ac:dyDescent="0.3">
      <c r="A1632" s="22" t="e">
        <f>YEAR(Table1[[#This Row],[Order Date]])</f>
        <v>#VALUE!</v>
      </c>
      <c r="B1632" s="5" t="s">
        <v>1418</v>
      </c>
    </row>
    <row r="1633" spans="1:2" x14ac:dyDescent="0.3">
      <c r="A1633" s="23" t="e">
        <f>YEAR(Table1[[#This Row],[Order Date]])</f>
        <v>#VALUE!</v>
      </c>
      <c r="B1633" s="6" t="s">
        <v>1841</v>
      </c>
    </row>
    <row r="1634" spans="1:2" x14ac:dyDescent="0.3">
      <c r="A1634" s="22" t="e">
        <f>YEAR(Table1[[#This Row],[Order Date]])</f>
        <v>#VALUE!</v>
      </c>
      <c r="B1634" s="5" t="s">
        <v>899</v>
      </c>
    </row>
    <row r="1635" spans="1:2" x14ac:dyDescent="0.3">
      <c r="A1635" s="23" t="e">
        <f>YEAR(Table1[[#This Row],[Order Date]])</f>
        <v>#VALUE!</v>
      </c>
      <c r="B1635" s="6" t="s">
        <v>1612</v>
      </c>
    </row>
    <row r="1636" spans="1:2" x14ac:dyDescent="0.3">
      <c r="A1636" s="22" t="e">
        <f>YEAR(Table1[[#This Row],[Order Date]])</f>
        <v>#VALUE!</v>
      </c>
      <c r="B1636" s="5" t="s">
        <v>866</v>
      </c>
    </row>
    <row r="1637" spans="1:2" x14ac:dyDescent="0.3">
      <c r="A1637" s="23" t="e">
        <f>YEAR(Table1[[#This Row],[Order Date]])</f>
        <v>#VALUE!</v>
      </c>
      <c r="B1637" s="6" t="s">
        <v>868</v>
      </c>
    </row>
    <row r="1638" spans="1:2" x14ac:dyDescent="0.3">
      <c r="A1638" s="22" t="e">
        <f>YEAR(Table1[[#This Row],[Order Date]])</f>
        <v>#VALUE!</v>
      </c>
      <c r="B1638" s="5" t="s">
        <v>541</v>
      </c>
    </row>
    <row r="1639" spans="1:2" x14ac:dyDescent="0.3">
      <c r="A1639" s="23" t="e">
        <f>YEAR(Table1[[#This Row],[Order Date]])</f>
        <v>#VALUE!</v>
      </c>
      <c r="B1639" s="6" t="s">
        <v>930</v>
      </c>
    </row>
    <row r="1640" spans="1:2" x14ac:dyDescent="0.3">
      <c r="A1640" s="22" t="e">
        <f>YEAR(Table1[[#This Row],[Order Date]])</f>
        <v>#VALUE!</v>
      </c>
      <c r="B1640" s="5" t="s">
        <v>1014</v>
      </c>
    </row>
    <row r="1641" spans="1:2" x14ac:dyDescent="0.3">
      <c r="A1641" s="23" t="e">
        <f>YEAR(Table1[[#This Row],[Order Date]])</f>
        <v>#VALUE!</v>
      </c>
      <c r="B1641" s="6" t="s">
        <v>1917</v>
      </c>
    </row>
    <row r="1642" spans="1:2" x14ac:dyDescent="0.3">
      <c r="A1642" s="22" t="e">
        <f>YEAR(Table1[[#This Row],[Order Date]])</f>
        <v>#VALUE!</v>
      </c>
      <c r="B1642" s="5" t="s">
        <v>1622</v>
      </c>
    </row>
    <row r="1643" spans="1:2" x14ac:dyDescent="0.3">
      <c r="A1643" s="23" t="e">
        <f>YEAR(Table1[[#This Row],[Order Date]])</f>
        <v>#VALUE!</v>
      </c>
      <c r="B1643" s="6" t="s">
        <v>433</v>
      </c>
    </row>
    <row r="1644" spans="1:2" x14ac:dyDescent="0.3">
      <c r="A1644" s="22" t="e">
        <f>YEAR(Table1[[#This Row],[Order Date]])</f>
        <v>#VALUE!</v>
      </c>
      <c r="B1644" s="5" t="s">
        <v>1822</v>
      </c>
    </row>
    <row r="1645" spans="1:2" x14ac:dyDescent="0.3">
      <c r="A1645" s="23" t="e">
        <f>YEAR(Table1[[#This Row],[Order Date]])</f>
        <v>#VALUE!</v>
      </c>
      <c r="B1645" s="6" t="s">
        <v>347</v>
      </c>
    </row>
    <row r="1646" spans="1:2" x14ac:dyDescent="0.3">
      <c r="A1646" s="22" t="e">
        <f>YEAR(Table1[[#This Row],[Order Date]])</f>
        <v>#VALUE!</v>
      </c>
      <c r="B1646" s="5" t="s">
        <v>988</v>
      </c>
    </row>
    <row r="1647" spans="1:2" x14ac:dyDescent="0.3">
      <c r="A1647" s="23" t="e">
        <f>YEAR(Table1[[#This Row],[Order Date]])</f>
        <v>#VALUE!</v>
      </c>
      <c r="B1647" s="6" t="s">
        <v>1179</v>
      </c>
    </row>
    <row r="1648" spans="1:2" x14ac:dyDescent="0.3">
      <c r="A1648" s="22" t="e">
        <f>YEAR(Table1[[#This Row],[Order Date]])</f>
        <v>#VALUE!</v>
      </c>
      <c r="B1648" s="5" t="s">
        <v>720</v>
      </c>
    </row>
    <row r="1649" spans="1:2" x14ac:dyDescent="0.3">
      <c r="A1649" s="23" t="e">
        <f>YEAR(Table1[[#This Row],[Order Date]])</f>
        <v>#VALUE!</v>
      </c>
      <c r="B1649" s="6" t="s">
        <v>672</v>
      </c>
    </row>
    <row r="1650" spans="1:2" x14ac:dyDescent="0.3">
      <c r="A1650" s="22" t="e">
        <f>YEAR(Table1[[#This Row],[Order Date]])</f>
        <v>#VALUE!</v>
      </c>
      <c r="B1650" s="5" t="s">
        <v>672</v>
      </c>
    </row>
    <row r="1651" spans="1:2" x14ac:dyDescent="0.3">
      <c r="A1651" s="23" t="e">
        <f>YEAR(Table1[[#This Row],[Order Date]])</f>
        <v>#VALUE!</v>
      </c>
      <c r="B1651" s="6" t="s">
        <v>425</v>
      </c>
    </row>
    <row r="1652" spans="1:2" x14ac:dyDescent="0.3">
      <c r="A1652" s="22" t="e">
        <f>YEAR(Table1[[#This Row],[Order Date]])</f>
        <v>#VALUE!</v>
      </c>
      <c r="B1652" s="5" t="s">
        <v>893</v>
      </c>
    </row>
    <row r="1653" spans="1:2" x14ac:dyDescent="0.3">
      <c r="A1653" s="23" t="e">
        <f>YEAR(Table1[[#This Row],[Order Date]])</f>
        <v>#VALUE!</v>
      </c>
      <c r="B1653" s="6" t="s">
        <v>82</v>
      </c>
    </row>
    <row r="1654" spans="1:2" x14ac:dyDescent="0.3">
      <c r="A1654" s="22" t="e">
        <f>YEAR(Table1[[#This Row],[Order Date]])</f>
        <v>#VALUE!</v>
      </c>
      <c r="B1654" s="5" t="s">
        <v>2018</v>
      </c>
    </row>
    <row r="1655" spans="1:2" x14ac:dyDescent="0.3">
      <c r="A1655" s="23" t="e">
        <f>YEAR(Table1[[#This Row],[Order Date]])</f>
        <v>#VALUE!</v>
      </c>
      <c r="B1655" s="6" t="s">
        <v>1886</v>
      </c>
    </row>
    <row r="1656" spans="1:2" x14ac:dyDescent="0.3">
      <c r="A1656" s="22" t="e">
        <f>YEAR(Table1[[#This Row],[Order Date]])</f>
        <v>#VALUE!</v>
      </c>
      <c r="B1656" s="5" t="s">
        <v>2238</v>
      </c>
    </row>
    <row r="1657" spans="1:2" x14ac:dyDescent="0.3">
      <c r="A1657" s="23" t="e">
        <f>YEAR(Table1[[#This Row],[Order Date]])</f>
        <v>#VALUE!</v>
      </c>
      <c r="B1657" s="6" t="s">
        <v>220</v>
      </c>
    </row>
    <row r="1658" spans="1:2" x14ac:dyDescent="0.3">
      <c r="A1658" s="22" t="e">
        <f>YEAR(Table1[[#This Row],[Order Date]])</f>
        <v>#VALUE!</v>
      </c>
      <c r="B1658" s="5" t="s">
        <v>189</v>
      </c>
    </row>
    <row r="1659" spans="1:2" x14ac:dyDescent="0.3">
      <c r="A1659" s="23" t="e">
        <f>YEAR(Table1[[#This Row],[Order Date]])</f>
        <v>#VALUE!</v>
      </c>
      <c r="B1659" s="6" t="s">
        <v>664</v>
      </c>
    </row>
    <row r="1660" spans="1:2" x14ac:dyDescent="0.3">
      <c r="A1660" s="22" t="e">
        <f>YEAR(Table1[[#This Row],[Order Date]])</f>
        <v>#VALUE!</v>
      </c>
      <c r="B1660" s="5" t="s">
        <v>292</v>
      </c>
    </row>
    <row r="1661" spans="1:2" x14ac:dyDescent="0.3">
      <c r="A1661" s="23" t="e">
        <f>YEAR(Table1[[#This Row],[Order Date]])</f>
        <v>#VALUE!</v>
      </c>
      <c r="B1661" s="6" t="s">
        <v>574</v>
      </c>
    </row>
    <row r="1662" spans="1:2" x14ac:dyDescent="0.3">
      <c r="A1662" s="22" t="e">
        <f>YEAR(Table1[[#This Row],[Order Date]])</f>
        <v>#VALUE!</v>
      </c>
      <c r="B1662" s="5" t="s">
        <v>2453</v>
      </c>
    </row>
    <row r="1663" spans="1:2" x14ac:dyDescent="0.3">
      <c r="A1663" s="23" t="e">
        <f>YEAR(Table1[[#This Row],[Order Date]])</f>
        <v>#VALUE!</v>
      </c>
      <c r="B1663" s="6" t="s">
        <v>1912</v>
      </c>
    </row>
    <row r="1664" spans="1:2" x14ac:dyDescent="0.3">
      <c r="A1664" s="22" t="e">
        <f>YEAR(Table1[[#This Row],[Order Date]])</f>
        <v>#VALUE!</v>
      </c>
      <c r="B1664" s="5" t="s">
        <v>1912</v>
      </c>
    </row>
    <row r="1665" spans="1:2" x14ac:dyDescent="0.3">
      <c r="A1665" s="23" t="e">
        <f>YEAR(Table1[[#This Row],[Order Date]])</f>
        <v>#VALUE!</v>
      </c>
      <c r="B1665" s="6" t="s">
        <v>246</v>
      </c>
    </row>
    <row r="1666" spans="1:2" x14ac:dyDescent="0.3">
      <c r="A1666" s="22" t="e">
        <f>YEAR(Table1[[#This Row],[Order Date]])</f>
        <v>#VALUE!</v>
      </c>
      <c r="B1666" s="5" t="s">
        <v>440</v>
      </c>
    </row>
    <row r="1667" spans="1:2" x14ac:dyDescent="0.3">
      <c r="A1667" s="23" t="e">
        <f>YEAR(Table1[[#This Row],[Order Date]])</f>
        <v>#VALUE!</v>
      </c>
      <c r="B1667" s="6" t="s">
        <v>694</v>
      </c>
    </row>
    <row r="1668" spans="1:2" x14ac:dyDescent="0.3">
      <c r="A1668" s="22" t="e">
        <f>YEAR(Table1[[#This Row],[Order Date]])</f>
        <v>#VALUE!</v>
      </c>
      <c r="B1668" s="5" t="s">
        <v>694</v>
      </c>
    </row>
    <row r="1669" spans="1:2" x14ac:dyDescent="0.3">
      <c r="A1669" s="23" t="e">
        <f>YEAR(Table1[[#This Row],[Order Date]])</f>
        <v>#VALUE!</v>
      </c>
      <c r="B1669" s="6" t="s">
        <v>796</v>
      </c>
    </row>
    <row r="1670" spans="1:2" x14ac:dyDescent="0.3">
      <c r="A1670" s="22" t="e">
        <f>YEAR(Table1[[#This Row],[Order Date]])</f>
        <v>#VALUE!</v>
      </c>
      <c r="B1670" s="5" t="s">
        <v>925</v>
      </c>
    </row>
    <row r="1671" spans="1:2" x14ac:dyDescent="0.3">
      <c r="A1671" s="23" t="e">
        <f>YEAR(Table1[[#This Row],[Order Date]])</f>
        <v>#VALUE!</v>
      </c>
      <c r="B1671" s="6" t="s">
        <v>365</v>
      </c>
    </row>
    <row r="1672" spans="1:2" x14ac:dyDescent="0.3">
      <c r="A1672" s="22" t="e">
        <f>YEAR(Table1[[#This Row],[Order Date]])</f>
        <v>#VALUE!</v>
      </c>
      <c r="B1672" s="5" t="s">
        <v>189</v>
      </c>
    </row>
    <row r="1673" spans="1:2" x14ac:dyDescent="0.3">
      <c r="A1673" s="23" t="e">
        <f>YEAR(Table1[[#This Row],[Order Date]])</f>
        <v>#VALUE!</v>
      </c>
      <c r="B1673" s="6" t="s">
        <v>935</v>
      </c>
    </row>
    <row r="1674" spans="1:2" x14ac:dyDescent="0.3">
      <c r="A1674" s="22" t="e">
        <f>YEAR(Table1[[#This Row],[Order Date]])</f>
        <v>#VALUE!</v>
      </c>
      <c r="B1674" s="5" t="s">
        <v>524</v>
      </c>
    </row>
    <row r="1675" spans="1:2" x14ac:dyDescent="0.3">
      <c r="A1675" s="23" t="e">
        <f>YEAR(Table1[[#This Row],[Order Date]])</f>
        <v>#VALUE!</v>
      </c>
      <c r="B1675" s="6" t="s">
        <v>2453</v>
      </c>
    </row>
    <row r="1676" spans="1:2" x14ac:dyDescent="0.3">
      <c r="A1676" s="22" t="e">
        <f>YEAR(Table1[[#This Row],[Order Date]])</f>
        <v>#VALUE!</v>
      </c>
      <c r="B1676" s="5" t="s">
        <v>858</v>
      </c>
    </row>
    <row r="1677" spans="1:2" x14ac:dyDescent="0.3">
      <c r="A1677" s="23" t="e">
        <f>YEAR(Table1[[#This Row],[Order Date]])</f>
        <v>#VALUE!</v>
      </c>
      <c r="B1677" s="6" t="s">
        <v>248</v>
      </c>
    </row>
    <row r="1678" spans="1:2" x14ac:dyDescent="0.3">
      <c r="A1678" s="22" t="e">
        <f>YEAR(Table1[[#This Row],[Order Date]])</f>
        <v>#VALUE!</v>
      </c>
      <c r="B1678" s="5" t="s">
        <v>248</v>
      </c>
    </row>
    <row r="1679" spans="1:2" x14ac:dyDescent="0.3">
      <c r="A1679" s="23" t="e">
        <f>YEAR(Table1[[#This Row],[Order Date]])</f>
        <v>#VALUE!</v>
      </c>
      <c r="B1679" s="6" t="s">
        <v>2161</v>
      </c>
    </row>
    <row r="1680" spans="1:2" x14ac:dyDescent="0.3">
      <c r="A1680" s="22" t="e">
        <f>YEAR(Table1[[#This Row],[Order Date]])</f>
        <v>#VALUE!</v>
      </c>
      <c r="B1680" s="5" t="s">
        <v>2429</v>
      </c>
    </row>
    <row r="1681" spans="1:2" x14ac:dyDescent="0.3">
      <c r="A1681" s="23" t="e">
        <f>YEAR(Table1[[#This Row],[Order Date]])</f>
        <v>#VALUE!</v>
      </c>
      <c r="B1681" s="6" t="s">
        <v>1438</v>
      </c>
    </row>
    <row r="1682" spans="1:2" x14ac:dyDescent="0.3">
      <c r="A1682" s="22" t="e">
        <f>YEAR(Table1[[#This Row],[Order Date]])</f>
        <v>#VALUE!</v>
      </c>
      <c r="B1682" s="5" t="s">
        <v>26</v>
      </c>
    </row>
    <row r="1683" spans="1:2" x14ac:dyDescent="0.3">
      <c r="A1683" s="23" t="e">
        <f>YEAR(Table1[[#This Row],[Order Date]])</f>
        <v>#VALUE!</v>
      </c>
      <c r="B1683" s="6" t="s">
        <v>1474</v>
      </c>
    </row>
    <row r="1684" spans="1:2" x14ac:dyDescent="0.3">
      <c r="A1684" s="22" t="e">
        <f>YEAR(Table1[[#This Row],[Order Date]])</f>
        <v>#VALUE!</v>
      </c>
      <c r="B1684" s="5" t="s">
        <v>440</v>
      </c>
    </row>
    <row r="1685" spans="1:2" x14ac:dyDescent="0.3">
      <c r="A1685" s="23" t="e">
        <f>YEAR(Table1[[#This Row],[Order Date]])</f>
        <v>#VALUE!</v>
      </c>
      <c r="B1685" s="6" t="s">
        <v>9</v>
      </c>
    </row>
    <row r="1686" spans="1:2" x14ac:dyDescent="0.3">
      <c r="A1686" s="22" t="e">
        <f>YEAR(Table1[[#This Row],[Order Date]])</f>
        <v>#VALUE!</v>
      </c>
      <c r="B1686" s="5" t="s">
        <v>107</v>
      </c>
    </row>
    <row r="1687" spans="1:2" x14ac:dyDescent="0.3">
      <c r="A1687" s="23" t="e">
        <f>YEAR(Table1[[#This Row],[Order Date]])</f>
        <v>#VALUE!</v>
      </c>
      <c r="B1687" s="6" t="s">
        <v>1741</v>
      </c>
    </row>
    <row r="1688" spans="1:2" x14ac:dyDescent="0.3">
      <c r="A1688" s="22" t="e">
        <f>YEAR(Table1[[#This Row],[Order Date]])</f>
        <v>#VALUE!</v>
      </c>
      <c r="B1688" s="5" t="s">
        <v>2356</v>
      </c>
    </row>
    <row r="1689" spans="1:2" x14ac:dyDescent="0.3">
      <c r="A1689" s="23" t="e">
        <f>YEAR(Table1[[#This Row],[Order Date]])</f>
        <v>#VALUE!</v>
      </c>
      <c r="B1689" s="6" t="s">
        <v>1578</v>
      </c>
    </row>
    <row r="1690" spans="1:2" x14ac:dyDescent="0.3">
      <c r="A1690" s="22" t="e">
        <f>YEAR(Table1[[#This Row],[Order Date]])</f>
        <v>#VALUE!</v>
      </c>
      <c r="B1690" s="5" t="s">
        <v>1557</v>
      </c>
    </row>
    <row r="1691" spans="1:2" x14ac:dyDescent="0.3">
      <c r="A1691" s="23" t="e">
        <f>YEAR(Table1[[#This Row],[Order Date]])</f>
        <v>#VALUE!</v>
      </c>
      <c r="B1691" s="6" t="s">
        <v>219</v>
      </c>
    </row>
    <row r="1692" spans="1:2" x14ac:dyDescent="0.3">
      <c r="A1692" s="22" t="e">
        <f>YEAR(Table1[[#This Row],[Order Date]])</f>
        <v>#VALUE!</v>
      </c>
      <c r="B1692" s="5" t="s">
        <v>516</v>
      </c>
    </row>
    <row r="1693" spans="1:2" x14ac:dyDescent="0.3">
      <c r="A1693" s="23" t="e">
        <f>YEAR(Table1[[#This Row],[Order Date]])</f>
        <v>#VALUE!</v>
      </c>
      <c r="B1693" s="6" t="s">
        <v>586</v>
      </c>
    </row>
    <row r="1694" spans="1:2" x14ac:dyDescent="0.3">
      <c r="A1694" s="22" t="e">
        <f>YEAR(Table1[[#This Row],[Order Date]])</f>
        <v>#VALUE!</v>
      </c>
      <c r="B1694" s="5" t="s">
        <v>299</v>
      </c>
    </row>
    <row r="1695" spans="1:2" x14ac:dyDescent="0.3">
      <c r="A1695" s="23" t="e">
        <f>YEAR(Table1[[#This Row],[Order Date]])</f>
        <v>#VALUE!</v>
      </c>
      <c r="B1695" s="6" t="s">
        <v>1293</v>
      </c>
    </row>
    <row r="1696" spans="1:2" x14ac:dyDescent="0.3">
      <c r="A1696" s="22" t="e">
        <f>YEAR(Table1[[#This Row],[Order Date]])</f>
        <v>#VALUE!</v>
      </c>
      <c r="B1696" s="5" t="s">
        <v>605</v>
      </c>
    </row>
    <row r="1697" spans="1:2" x14ac:dyDescent="0.3">
      <c r="A1697" s="23" t="e">
        <f>YEAR(Table1[[#This Row],[Order Date]])</f>
        <v>#VALUE!</v>
      </c>
      <c r="B1697" s="6" t="s">
        <v>350</v>
      </c>
    </row>
    <row r="1698" spans="1:2" x14ac:dyDescent="0.3">
      <c r="A1698" s="22" t="e">
        <f>YEAR(Table1[[#This Row],[Order Date]])</f>
        <v>#VALUE!</v>
      </c>
      <c r="B1698" s="5" t="s">
        <v>350</v>
      </c>
    </row>
    <row r="1699" spans="1:2" x14ac:dyDescent="0.3">
      <c r="A1699" s="23" t="e">
        <f>YEAR(Table1[[#This Row],[Order Date]])</f>
        <v>#VALUE!</v>
      </c>
      <c r="B1699" s="6" t="s">
        <v>499</v>
      </c>
    </row>
    <row r="1700" spans="1:2" x14ac:dyDescent="0.3">
      <c r="A1700" s="22" t="e">
        <f>YEAR(Table1[[#This Row],[Order Date]])</f>
        <v>#VALUE!</v>
      </c>
      <c r="B1700" s="5" t="s">
        <v>1046</v>
      </c>
    </row>
    <row r="1701" spans="1:2" x14ac:dyDescent="0.3">
      <c r="A1701" s="23" t="e">
        <f>YEAR(Table1[[#This Row],[Order Date]])</f>
        <v>#VALUE!</v>
      </c>
      <c r="B1701" s="6" t="s">
        <v>219</v>
      </c>
    </row>
    <row r="1702" spans="1:2" x14ac:dyDescent="0.3">
      <c r="A1702" s="22" t="e">
        <f>YEAR(Table1[[#This Row],[Order Date]])</f>
        <v>#VALUE!</v>
      </c>
      <c r="B1702" s="5" t="s">
        <v>2241</v>
      </c>
    </row>
    <row r="1703" spans="1:2" x14ac:dyDescent="0.3">
      <c r="A1703" s="23" t="e">
        <f>YEAR(Table1[[#This Row],[Order Date]])</f>
        <v>#VALUE!</v>
      </c>
      <c r="B1703" s="6" t="s">
        <v>2304</v>
      </c>
    </row>
    <row r="1704" spans="1:2" x14ac:dyDescent="0.3">
      <c r="A1704" s="22" t="e">
        <f>YEAR(Table1[[#This Row],[Order Date]])</f>
        <v>#VALUE!</v>
      </c>
      <c r="B1704" s="5" t="s">
        <v>476</v>
      </c>
    </row>
    <row r="1705" spans="1:2" x14ac:dyDescent="0.3">
      <c r="A1705" s="23" t="e">
        <f>YEAR(Table1[[#This Row],[Order Date]])</f>
        <v>#VALUE!</v>
      </c>
      <c r="B1705" s="6" t="s">
        <v>1896</v>
      </c>
    </row>
    <row r="1706" spans="1:2" x14ac:dyDescent="0.3">
      <c r="A1706" s="22" t="e">
        <f>YEAR(Table1[[#This Row],[Order Date]])</f>
        <v>#VALUE!</v>
      </c>
      <c r="B1706" s="5" t="s">
        <v>1078</v>
      </c>
    </row>
    <row r="1707" spans="1:2" x14ac:dyDescent="0.3">
      <c r="A1707" s="23" t="e">
        <f>YEAR(Table1[[#This Row],[Order Date]])</f>
        <v>#VALUE!</v>
      </c>
      <c r="B1707" s="6" t="s">
        <v>1633</v>
      </c>
    </row>
    <row r="1708" spans="1:2" x14ac:dyDescent="0.3">
      <c r="A1708" s="22" t="e">
        <f>YEAR(Table1[[#This Row],[Order Date]])</f>
        <v>#VALUE!</v>
      </c>
      <c r="B1708" s="5" t="s">
        <v>229</v>
      </c>
    </row>
    <row r="1709" spans="1:2" x14ac:dyDescent="0.3">
      <c r="A1709" s="23" t="e">
        <f>YEAR(Table1[[#This Row],[Order Date]])</f>
        <v>#VALUE!</v>
      </c>
      <c r="B1709" s="6" t="s">
        <v>1634</v>
      </c>
    </row>
    <row r="1710" spans="1:2" x14ac:dyDescent="0.3">
      <c r="A1710" s="22" t="e">
        <f>YEAR(Table1[[#This Row],[Order Date]])</f>
        <v>#VALUE!</v>
      </c>
      <c r="B1710" s="5" t="s">
        <v>2197</v>
      </c>
    </row>
    <row r="1711" spans="1:2" x14ac:dyDescent="0.3">
      <c r="A1711" s="23" t="e">
        <f>YEAR(Table1[[#This Row],[Order Date]])</f>
        <v>#VALUE!</v>
      </c>
      <c r="B1711" s="6" t="s">
        <v>1832</v>
      </c>
    </row>
    <row r="1712" spans="1:2" x14ac:dyDescent="0.3">
      <c r="A1712" s="22" t="e">
        <f>YEAR(Table1[[#This Row],[Order Date]])</f>
        <v>#VALUE!</v>
      </c>
      <c r="B1712" s="5" t="s">
        <v>837</v>
      </c>
    </row>
    <row r="1713" spans="1:2" x14ac:dyDescent="0.3">
      <c r="A1713" s="23" t="e">
        <f>YEAR(Table1[[#This Row],[Order Date]])</f>
        <v>#VALUE!</v>
      </c>
      <c r="B1713" s="6" t="s">
        <v>979</v>
      </c>
    </row>
    <row r="1714" spans="1:2" x14ac:dyDescent="0.3">
      <c r="A1714" s="22" t="e">
        <f>YEAR(Table1[[#This Row],[Order Date]])</f>
        <v>#VALUE!</v>
      </c>
      <c r="B1714" s="5" t="s">
        <v>378</v>
      </c>
    </row>
    <row r="1715" spans="1:2" x14ac:dyDescent="0.3">
      <c r="A1715" s="23" t="e">
        <f>YEAR(Table1[[#This Row],[Order Date]])</f>
        <v>#VALUE!</v>
      </c>
      <c r="B1715" s="6" t="s">
        <v>1361</v>
      </c>
    </row>
    <row r="1716" spans="1:2" x14ac:dyDescent="0.3">
      <c r="A1716" s="22" t="e">
        <f>YEAR(Table1[[#This Row],[Order Date]])</f>
        <v>#VALUE!</v>
      </c>
      <c r="B1716" s="5" t="s">
        <v>2249</v>
      </c>
    </row>
    <row r="1717" spans="1:2" x14ac:dyDescent="0.3">
      <c r="A1717" s="23" t="e">
        <f>YEAR(Table1[[#This Row],[Order Date]])</f>
        <v>#VALUE!</v>
      </c>
      <c r="B1717" s="6" t="s">
        <v>1442</v>
      </c>
    </row>
    <row r="1718" spans="1:2" x14ac:dyDescent="0.3">
      <c r="A1718" s="22" t="e">
        <f>YEAR(Table1[[#This Row],[Order Date]])</f>
        <v>#VALUE!</v>
      </c>
      <c r="B1718" s="5" t="s">
        <v>903</v>
      </c>
    </row>
    <row r="1719" spans="1:2" x14ac:dyDescent="0.3">
      <c r="A1719" s="23" t="e">
        <f>YEAR(Table1[[#This Row],[Order Date]])</f>
        <v>#VALUE!</v>
      </c>
      <c r="B1719" s="6" t="s">
        <v>335</v>
      </c>
    </row>
    <row r="1720" spans="1:2" x14ac:dyDescent="0.3">
      <c r="A1720" s="22" t="e">
        <f>YEAR(Table1[[#This Row],[Order Date]])</f>
        <v>#VALUE!</v>
      </c>
      <c r="B1720" s="5" t="s">
        <v>1753</v>
      </c>
    </row>
    <row r="1721" spans="1:2" x14ac:dyDescent="0.3">
      <c r="A1721" s="23" t="e">
        <f>YEAR(Table1[[#This Row],[Order Date]])</f>
        <v>#VALUE!</v>
      </c>
      <c r="B1721" s="6" t="s">
        <v>2262</v>
      </c>
    </row>
    <row r="1722" spans="1:2" x14ac:dyDescent="0.3">
      <c r="A1722" s="22" t="e">
        <f>YEAR(Table1[[#This Row],[Order Date]])</f>
        <v>#VALUE!</v>
      </c>
      <c r="B1722" s="5" t="s">
        <v>1361</v>
      </c>
    </row>
    <row r="1723" spans="1:2" x14ac:dyDescent="0.3">
      <c r="A1723" s="23" t="e">
        <f>YEAR(Table1[[#This Row],[Order Date]])</f>
        <v>#VALUE!</v>
      </c>
      <c r="B1723" s="6" t="s">
        <v>1511</v>
      </c>
    </row>
    <row r="1724" spans="1:2" x14ac:dyDescent="0.3">
      <c r="A1724" s="22" t="e">
        <f>YEAR(Table1[[#This Row],[Order Date]])</f>
        <v>#VALUE!</v>
      </c>
      <c r="B1724" s="5" t="s">
        <v>312</v>
      </c>
    </row>
    <row r="1725" spans="1:2" x14ac:dyDescent="0.3">
      <c r="A1725" s="23" t="e">
        <f>YEAR(Table1[[#This Row],[Order Date]])</f>
        <v>#VALUE!</v>
      </c>
      <c r="B1725" s="6" t="s">
        <v>312</v>
      </c>
    </row>
    <row r="1726" spans="1:2" x14ac:dyDescent="0.3">
      <c r="A1726" s="22" t="e">
        <f>YEAR(Table1[[#This Row],[Order Date]])</f>
        <v>#VALUE!</v>
      </c>
      <c r="B1726" s="5" t="s">
        <v>312</v>
      </c>
    </row>
    <row r="1727" spans="1:2" x14ac:dyDescent="0.3">
      <c r="A1727" s="23" t="e">
        <f>YEAR(Table1[[#This Row],[Order Date]])</f>
        <v>#VALUE!</v>
      </c>
      <c r="B1727" s="6" t="s">
        <v>1644</v>
      </c>
    </row>
    <row r="1728" spans="1:2" x14ac:dyDescent="0.3">
      <c r="A1728" s="22" t="e">
        <f>YEAR(Table1[[#This Row],[Order Date]])</f>
        <v>#VALUE!</v>
      </c>
      <c r="B1728" s="5" t="s">
        <v>209</v>
      </c>
    </row>
    <row r="1729" spans="1:2" x14ac:dyDescent="0.3">
      <c r="A1729" s="23" t="e">
        <f>YEAR(Table1[[#This Row],[Order Date]])</f>
        <v>#VALUE!</v>
      </c>
      <c r="B1729" s="6" t="s">
        <v>209</v>
      </c>
    </row>
    <row r="1730" spans="1:2" x14ac:dyDescent="0.3">
      <c r="A1730" s="22" t="e">
        <f>YEAR(Table1[[#This Row],[Order Date]])</f>
        <v>#VALUE!</v>
      </c>
      <c r="B1730" s="5" t="s">
        <v>749</v>
      </c>
    </row>
    <row r="1731" spans="1:2" x14ac:dyDescent="0.3">
      <c r="A1731" s="23" t="e">
        <f>YEAR(Table1[[#This Row],[Order Date]])</f>
        <v>#VALUE!</v>
      </c>
      <c r="B1731" s="6" t="s">
        <v>1293</v>
      </c>
    </row>
    <row r="1732" spans="1:2" x14ac:dyDescent="0.3">
      <c r="A1732" s="22" t="e">
        <f>YEAR(Table1[[#This Row],[Order Date]])</f>
        <v>#VALUE!</v>
      </c>
      <c r="B1732" s="5" t="s">
        <v>1293</v>
      </c>
    </row>
    <row r="1733" spans="1:2" x14ac:dyDescent="0.3">
      <c r="A1733" s="23" t="e">
        <f>YEAR(Table1[[#This Row],[Order Date]])</f>
        <v>#VALUE!</v>
      </c>
      <c r="B1733" s="6" t="s">
        <v>605</v>
      </c>
    </row>
    <row r="1734" spans="1:2" x14ac:dyDescent="0.3">
      <c r="A1734" s="22" t="e">
        <f>YEAR(Table1[[#This Row],[Order Date]])</f>
        <v>#VALUE!</v>
      </c>
      <c r="B1734" s="5" t="s">
        <v>2516</v>
      </c>
    </row>
    <row r="1735" spans="1:2" x14ac:dyDescent="0.3">
      <c r="A1735" s="23" t="e">
        <f>YEAR(Table1[[#This Row],[Order Date]])</f>
        <v>#VALUE!</v>
      </c>
      <c r="B1735" s="6" t="s">
        <v>383</v>
      </c>
    </row>
    <row r="1736" spans="1:2" x14ac:dyDescent="0.3">
      <c r="A1736" s="22" t="e">
        <f>YEAR(Table1[[#This Row],[Order Date]])</f>
        <v>#VALUE!</v>
      </c>
      <c r="B1736" s="5" t="s">
        <v>2325</v>
      </c>
    </row>
    <row r="1737" spans="1:2" x14ac:dyDescent="0.3">
      <c r="A1737" s="23" t="e">
        <f>YEAR(Table1[[#This Row],[Order Date]])</f>
        <v>#VALUE!</v>
      </c>
      <c r="B1737" s="6" t="s">
        <v>1050</v>
      </c>
    </row>
    <row r="1738" spans="1:2" x14ac:dyDescent="0.3">
      <c r="A1738" s="22" t="e">
        <f>YEAR(Table1[[#This Row],[Order Date]])</f>
        <v>#VALUE!</v>
      </c>
      <c r="B1738" s="5" t="s">
        <v>1375</v>
      </c>
    </row>
    <row r="1739" spans="1:2" x14ac:dyDescent="0.3">
      <c r="A1739" s="23" t="e">
        <f>YEAR(Table1[[#This Row],[Order Date]])</f>
        <v>#VALUE!</v>
      </c>
      <c r="B1739" s="6" t="s">
        <v>1637</v>
      </c>
    </row>
    <row r="1740" spans="1:2" x14ac:dyDescent="0.3">
      <c r="A1740" s="22" t="e">
        <f>YEAR(Table1[[#This Row],[Order Date]])</f>
        <v>#VALUE!</v>
      </c>
      <c r="B1740" s="5" t="s">
        <v>350</v>
      </c>
    </row>
    <row r="1741" spans="1:2" x14ac:dyDescent="0.3">
      <c r="A1741" s="23" t="e">
        <f>YEAR(Table1[[#This Row],[Order Date]])</f>
        <v>#VALUE!</v>
      </c>
      <c r="B1741" s="6" t="s">
        <v>682</v>
      </c>
    </row>
    <row r="1742" spans="1:2" x14ac:dyDescent="0.3">
      <c r="A1742" s="22" t="e">
        <f>YEAR(Table1[[#This Row],[Order Date]])</f>
        <v>#VALUE!</v>
      </c>
      <c r="B1742" s="5" t="s">
        <v>846</v>
      </c>
    </row>
    <row r="1743" spans="1:2" x14ac:dyDescent="0.3">
      <c r="A1743" s="23" t="e">
        <f>YEAR(Table1[[#This Row],[Order Date]])</f>
        <v>#VALUE!</v>
      </c>
      <c r="B1743" s="6" t="s">
        <v>2392</v>
      </c>
    </row>
    <row r="1744" spans="1:2" x14ac:dyDescent="0.3">
      <c r="A1744" s="22" t="e">
        <f>YEAR(Table1[[#This Row],[Order Date]])</f>
        <v>#VALUE!</v>
      </c>
      <c r="B1744" s="5" t="s">
        <v>421</v>
      </c>
    </row>
    <row r="1745" spans="1:2" x14ac:dyDescent="0.3">
      <c r="A1745" s="23" t="e">
        <f>YEAR(Table1[[#This Row],[Order Date]])</f>
        <v>#VALUE!</v>
      </c>
      <c r="B1745" s="6" t="s">
        <v>1796</v>
      </c>
    </row>
    <row r="1746" spans="1:2" x14ac:dyDescent="0.3">
      <c r="A1746" s="22" t="e">
        <f>YEAR(Table1[[#This Row],[Order Date]])</f>
        <v>#VALUE!</v>
      </c>
      <c r="B1746" s="5" t="s">
        <v>524</v>
      </c>
    </row>
    <row r="1747" spans="1:2" x14ac:dyDescent="0.3">
      <c r="A1747" s="23" t="e">
        <f>YEAR(Table1[[#This Row],[Order Date]])</f>
        <v>#VALUE!</v>
      </c>
      <c r="B1747" s="6" t="s">
        <v>1235</v>
      </c>
    </row>
    <row r="1748" spans="1:2" x14ac:dyDescent="0.3">
      <c r="A1748" s="22" t="e">
        <f>YEAR(Table1[[#This Row],[Order Date]])</f>
        <v>#VALUE!</v>
      </c>
      <c r="B1748" s="5" t="s">
        <v>944</v>
      </c>
    </row>
    <row r="1749" spans="1:2" x14ac:dyDescent="0.3">
      <c r="A1749" s="23" t="e">
        <f>YEAR(Table1[[#This Row],[Order Date]])</f>
        <v>#VALUE!</v>
      </c>
      <c r="B1749" s="6" t="s">
        <v>2484</v>
      </c>
    </row>
    <row r="1750" spans="1:2" x14ac:dyDescent="0.3">
      <c r="A1750" s="22" t="e">
        <f>YEAR(Table1[[#This Row],[Order Date]])</f>
        <v>#VALUE!</v>
      </c>
      <c r="B1750" s="5" t="s">
        <v>330</v>
      </c>
    </row>
    <row r="1751" spans="1:2" x14ac:dyDescent="0.3">
      <c r="A1751" s="23" t="e">
        <f>YEAR(Table1[[#This Row],[Order Date]])</f>
        <v>#VALUE!</v>
      </c>
      <c r="B1751" s="6" t="s">
        <v>2024</v>
      </c>
    </row>
    <row r="1752" spans="1:2" x14ac:dyDescent="0.3">
      <c r="A1752" s="22" t="e">
        <f>YEAR(Table1[[#This Row],[Order Date]])</f>
        <v>#VALUE!</v>
      </c>
      <c r="B1752" s="5" t="s">
        <v>524</v>
      </c>
    </row>
    <row r="1753" spans="1:2" x14ac:dyDescent="0.3">
      <c r="A1753" s="23" t="e">
        <f>YEAR(Table1[[#This Row],[Order Date]])</f>
        <v>#VALUE!</v>
      </c>
      <c r="B1753" s="6" t="s">
        <v>1988</v>
      </c>
    </row>
    <row r="1754" spans="1:2" x14ac:dyDescent="0.3">
      <c r="A1754" s="22" t="e">
        <f>YEAR(Table1[[#This Row],[Order Date]])</f>
        <v>#VALUE!</v>
      </c>
      <c r="B1754" s="5" t="s">
        <v>1574</v>
      </c>
    </row>
    <row r="1755" spans="1:2" x14ac:dyDescent="0.3">
      <c r="A1755" s="23" t="e">
        <f>YEAR(Table1[[#This Row],[Order Date]])</f>
        <v>#VALUE!</v>
      </c>
      <c r="B1755" s="6" t="s">
        <v>2071</v>
      </c>
    </row>
    <row r="1756" spans="1:2" x14ac:dyDescent="0.3">
      <c r="A1756" s="22" t="e">
        <f>YEAR(Table1[[#This Row],[Order Date]])</f>
        <v>#VALUE!</v>
      </c>
      <c r="B1756" s="5" t="s">
        <v>58</v>
      </c>
    </row>
    <row r="1757" spans="1:2" x14ac:dyDescent="0.3">
      <c r="A1757" s="23" t="e">
        <f>YEAR(Table1[[#This Row],[Order Date]])</f>
        <v>#VALUE!</v>
      </c>
      <c r="B1757" s="6" t="s">
        <v>2225</v>
      </c>
    </row>
    <row r="1758" spans="1:2" x14ac:dyDescent="0.3">
      <c r="A1758" s="22" t="e">
        <f>YEAR(Table1[[#This Row],[Order Date]])</f>
        <v>#VALUE!</v>
      </c>
      <c r="B1758" s="5" t="s">
        <v>417</v>
      </c>
    </row>
    <row r="1759" spans="1:2" x14ac:dyDescent="0.3">
      <c r="A1759" s="23" t="e">
        <f>YEAR(Table1[[#This Row],[Order Date]])</f>
        <v>#VALUE!</v>
      </c>
      <c r="B1759" s="6" t="s">
        <v>1502</v>
      </c>
    </row>
    <row r="1760" spans="1:2" x14ac:dyDescent="0.3">
      <c r="A1760" s="22" t="e">
        <f>YEAR(Table1[[#This Row],[Order Date]])</f>
        <v>#VALUE!</v>
      </c>
      <c r="B1760" s="5" t="s">
        <v>58</v>
      </c>
    </row>
    <row r="1761" spans="1:2" x14ac:dyDescent="0.3">
      <c r="A1761" s="23" t="e">
        <f>YEAR(Table1[[#This Row],[Order Date]])</f>
        <v>#VALUE!</v>
      </c>
      <c r="B1761" s="6" t="s">
        <v>1446</v>
      </c>
    </row>
    <row r="1762" spans="1:2" x14ac:dyDescent="0.3">
      <c r="A1762" s="22" t="e">
        <f>YEAR(Table1[[#This Row],[Order Date]])</f>
        <v>#VALUE!</v>
      </c>
      <c r="B1762" s="5" t="s">
        <v>1526</v>
      </c>
    </row>
    <row r="1763" spans="1:2" x14ac:dyDescent="0.3">
      <c r="A1763" s="23" t="e">
        <f>YEAR(Table1[[#This Row],[Order Date]])</f>
        <v>#VALUE!</v>
      </c>
      <c r="B1763" s="6" t="s">
        <v>1521</v>
      </c>
    </row>
    <row r="1764" spans="1:2" x14ac:dyDescent="0.3">
      <c r="A1764" s="22" t="e">
        <f>YEAR(Table1[[#This Row],[Order Date]])</f>
        <v>#VALUE!</v>
      </c>
      <c r="B1764" s="5" t="s">
        <v>1124</v>
      </c>
    </row>
    <row r="1765" spans="1:2" x14ac:dyDescent="0.3">
      <c r="A1765" s="23" t="e">
        <f>YEAR(Table1[[#This Row],[Order Date]])</f>
        <v>#VALUE!</v>
      </c>
      <c r="B1765" s="6" t="s">
        <v>868</v>
      </c>
    </row>
    <row r="1766" spans="1:2" x14ac:dyDescent="0.3">
      <c r="A1766" s="22" t="e">
        <f>YEAR(Table1[[#This Row],[Order Date]])</f>
        <v>#VALUE!</v>
      </c>
      <c r="B1766" s="5" t="s">
        <v>893</v>
      </c>
    </row>
    <row r="1767" spans="1:2" x14ac:dyDescent="0.3">
      <c r="A1767" s="23" t="e">
        <f>YEAR(Table1[[#This Row],[Order Date]])</f>
        <v>#VALUE!</v>
      </c>
      <c r="B1767" s="6" t="s">
        <v>863</v>
      </c>
    </row>
    <row r="1768" spans="1:2" x14ac:dyDescent="0.3">
      <c r="A1768" s="22" t="e">
        <f>YEAR(Table1[[#This Row],[Order Date]])</f>
        <v>#VALUE!</v>
      </c>
      <c r="B1768" s="5" t="s">
        <v>341</v>
      </c>
    </row>
    <row r="1769" spans="1:2" x14ac:dyDescent="0.3">
      <c r="A1769" s="23" t="e">
        <f>YEAR(Table1[[#This Row],[Order Date]])</f>
        <v>#VALUE!</v>
      </c>
      <c r="B1769" s="6" t="s">
        <v>395</v>
      </c>
    </row>
    <row r="1770" spans="1:2" x14ac:dyDescent="0.3">
      <c r="A1770" s="22" t="e">
        <f>YEAR(Table1[[#This Row],[Order Date]])</f>
        <v>#VALUE!</v>
      </c>
      <c r="B1770" s="5" t="s">
        <v>1274</v>
      </c>
    </row>
    <row r="1771" spans="1:2" x14ac:dyDescent="0.3">
      <c r="A1771" s="23" t="e">
        <f>YEAR(Table1[[#This Row],[Order Date]])</f>
        <v>#VALUE!</v>
      </c>
      <c r="B1771" s="6" t="s">
        <v>1152</v>
      </c>
    </row>
    <row r="1772" spans="1:2" x14ac:dyDescent="0.3">
      <c r="A1772" s="22" t="e">
        <f>YEAR(Table1[[#This Row],[Order Date]])</f>
        <v>#VALUE!</v>
      </c>
      <c r="B1772" s="5" t="s">
        <v>1426</v>
      </c>
    </row>
    <row r="1773" spans="1:2" x14ac:dyDescent="0.3">
      <c r="A1773" s="23" t="e">
        <f>YEAR(Table1[[#This Row],[Order Date]])</f>
        <v>#VALUE!</v>
      </c>
      <c r="B1773" s="6" t="s">
        <v>2121</v>
      </c>
    </row>
    <row r="1774" spans="1:2" x14ac:dyDescent="0.3">
      <c r="A1774" s="22" t="e">
        <f>YEAR(Table1[[#This Row],[Order Date]])</f>
        <v>#VALUE!</v>
      </c>
      <c r="B1774" s="5" t="s">
        <v>624</v>
      </c>
    </row>
    <row r="1775" spans="1:2" x14ac:dyDescent="0.3">
      <c r="A1775" s="23" t="e">
        <f>YEAR(Table1[[#This Row],[Order Date]])</f>
        <v>#VALUE!</v>
      </c>
      <c r="B1775" s="6" t="s">
        <v>1975</v>
      </c>
    </row>
    <row r="1776" spans="1:2" x14ac:dyDescent="0.3">
      <c r="A1776" s="22" t="e">
        <f>YEAR(Table1[[#This Row],[Order Date]])</f>
        <v>#VALUE!</v>
      </c>
      <c r="B1776" s="5" t="s">
        <v>2160</v>
      </c>
    </row>
    <row r="1777" spans="1:2" x14ac:dyDescent="0.3">
      <c r="A1777" s="23" t="e">
        <f>YEAR(Table1[[#This Row],[Order Date]])</f>
        <v>#VALUE!</v>
      </c>
      <c r="B1777" s="6" t="s">
        <v>1457</v>
      </c>
    </row>
    <row r="1778" spans="1:2" x14ac:dyDescent="0.3">
      <c r="A1778" s="22" t="e">
        <f>YEAR(Table1[[#This Row],[Order Date]])</f>
        <v>#VALUE!</v>
      </c>
      <c r="B1778" s="5" t="s">
        <v>373</v>
      </c>
    </row>
    <row r="1779" spans="1:2" x14ac:dyDescent="0.3">
      <c r="A1779" s="23" t="e">
        <f>YEAR(Table1[[#This Row],[Order Date]])</f>
        <v>#VALUE!</v>
      </c>
      <c r="B1779" s="6" t="s">
        <v>1622</v>
      </c>
    </row>
    <row r="1780" spans="1:2" x14ac:dyDescent="0.3">
      <c r="A1780" s="22" t="e">
        <f>YEAR(Table1[[#This Row],[Order Date]])</f>
        <v>#VALUE!</v>
      </c>
      <c r="B1780" s="5" t="s">
        <v>878</v>
      </c>
    </row>
    <row r="1781" spans="1:2" x14ac:dyDescent="0.3">
      <c r="A1781" s="23" t="e">
        <f>YEAR(Table1[[#This Row],[Order Date]])</f>
        <v>#VALUE!</v>
      </c>
      <c r="B1781" s="6" t="s">
        <v>260</v>
      </c>
    </row>
    <row r="1782" spans="1:2" x14ac:dyDescent="0.3">
      <c r="A1782" s="22" t="e">
        <f>YEAR(Table1[[#This Row],[Order Date]])</f>
        <v>#VALUE!</v>
      </c>
      <c r="B1782" s="5" t="s">
        <v>69</v>
      </c>
    </row>
    <row r="1783" spans="1:2" x14ac:dyDescent="0.3">
      <c r="A1783" s="23" t="e">
        <f>YEAR(Table1[[#This Row],[Order Date]])</f>
        <v>#VALUE!</v>
      </c>
      <c r="B1783" s="6" t="s">
        <v>251</v>
      </c>
    </row>
    <row r="1784" spans="1:2" x14ac:dyDescent="0.3">
      <c r="A1784" s="22" t="e">
        <f>YEAR(Table1[[#This Row],[Order Date]])</f>
        <v>#VALUE!</v>
      </c>
      <c r="B1784" s="5" t="s">
        <v>594</v>
      </c>
    </row>
    <row r="1785" spans="1:2" x14ac:dyDescent="0.3">
      <c r="A1785" s="23" t="e">
        <f>YEAR(Table1[[#This Row],[Order Date]])</f>
        <v>#VALUE!</v>
      </c>
      <c r="B1785" s="6" t="s">
        <v>125</v>
      </c>
    </row>
    <row r="1786" spans="1:2" x14ac:dyDescent="0.3">
      <c r="A1786" s="22" t="e">
        <f>YEAR(Table1[[#This Row],[Order Date]])</f>
        <v>#VALUE!</v>
      </c>
      <c r="B1786" s="5" t="s">
        <v>672</v>
      </c>
    </row>
    <row r="1787" spans="1:2" x14ac:dyDescent="0.3">
      <c r="A1787" s="23" t="e">
        <f>YEAR(Table1[[#This Row],[Order Date]])</f>
        <v>#VALUE!</v>
      </c>
      <c r="B1787" s="6" t="s">
        <v>677</v>
      </c>
    </row>
    <row r="1788" spans="1:2" x14ac:dyDescent="0.3">
      <c r="A1788" s="22" t="e">
        <f>YEAR(Table1[[#This Row],[Order Date]])</f>
        <v>#VALUE!</v>
      </c>
      <c r="B1788" s="5" t="s">
        <v>1466</v>
      </c>
    </row>
    <row r="1789" spans="1:2" x14ac:dyDescent="0.3">
      <c r="A1789" s="23" t="e">
        <f>YEAR(Table1[[#This Row],[Order Date]])</f>
        <v>#VALUE!</v>
      </c>
      <c r="B1789" s="6" t="s">
        <v>916</v>
      </c>
    </row>
    <row r="1790" spans="1:2" x14ac:dyDescent="0.3">
      <c r="A1790" s="22" t="e">
        <f>YEAR(Table1[[#This Row],[Order Date]])</f>
        <v>#VALUE!</v>
      </c>
      <c r="B1790" s="5" t="s">
        <v>854</v>
      </c>
    </row>
    <row r="1791" spans="1:2" x14ac:dyDescent="0.3">
      <c r="A1791" s="23" t="e">
        <f>YEAR(Table1[[#This Row],[Order Date]])</f>
        <v>#VALUE!</v>
      </c>
      <c r="B1791" s="6" t="s">
        <v>1022</v>
      </c>
    </row>
    <row r="1792" spans="1:2" x14ac:dyDescent="0.3">
      <c r="A1792" s="22" t="e">
        <f>YEAR(Table1[[#This Row],[Order Date]])</f>
        <v>#VALUE!</v>
      </c>
      <c r="B1792" s="5" t="s">
        <v>1768</v>
      </c>
    </row>
    <row r="1793" spans="1:2" x14ac:dyDescent="0.3">
      <c r="A1793" s="23" t="e">
        <f>YEAR(Table1[[#This Row],[Order Date]])</f>
        <v>#VALUE!</v>
      </c>
      <c r="B1793" s="6" t="s">
        <v>1050</v>
      </c>
    </row>
    <row r="1794" spans="1:2" x14ac:dyDescent="0.3">
      <c r="A1794" s="22" t="e">
        <f>YEAR(Table1[[#This Row],[Order Date]])</f>
        <v>#VALUE!</v>
      </c>
      <c r="B1794" s="5" t="s">
        <v>906</v>
      </c>
    </row>
    <row r="1795" spans="1:2" x14ac:dyDescent="0.3">
      <c r="A1795" s="23" t="e">
        <f>YEAR(Table1[[#This Row],[Order Date]])</f>
        <v>#VALUE!</v>
      </c>
      <c r="B1795" s="6" t="s">
        <v>2554</v>
      </c>
    </row>
    <row r="1796" spans="1:2" x14ac:dyDescent="0.3">
      <c r="A1796" s="22" t="e">
        <f>YEAR(Table1[[#This Row],[Order Date]])</f>
        <v>#VALUE!</v>
      </c>
      <c r="B1796" s="5" t="s">
        <v>1888</v>
      </c>
    </row>
    <row r="1797" spans="1:2" x14ac:dyDescent="0.3">
      <c r="A1797" s="23" t="e">
        <f>YEAR(Table1[[#This Row],[Order Date]])</f>
        <v>#VALUE!</v>
      </c>
      <c r="B1797" s="6" t="s">
        <v>1381</v>
      </c>
    </row>
    <row r="1798" spans="1:2" x14ac:dyDescent="0.3">
      <c r="A1798" s="22" t="e">
        <f>YEAR(Table1[[#This Row],[Order Date]])</f>
        <v>#VALUE!</v>
      </c>
      <c r="B1798" s="5" t="s">
        <v>541</v>
      </c>
    </row>
    <row r="1799" spans="1:2" x14ac:dyDescent="0.3">
      <c r="A1799" s="23" t="e">
        <f>YEAR(Table1[[#This Row],[Order Date]])</f>
        <v>#VALUE!</v>
      </c>
      <c r="B1799" s="6" t="s">
        <v>206</v>
      </c>
    </row>
    <row r="1800" spans="1:2" x14ac:dyDescent="0.3">
      <c r="A1800" s="22" t="e">
        <f>YEAR(Table1[[#This Row],[Order Date]])</f>
        <v>#VALUE!</v>
      </c>
      <c r="B1800" s="5" t="s">
        <v>828</v>
      </c>
    </row>
    <row r="1801" spans="1:2" x14ac:dyDescent="0.3">
      <c r="A1801" s="23" t="e">
        <f>YEAR(Table1[[#This Row],[Order Date]])</f>
        <v>#VALUE!</v>
      </c>
      <c r="B1801" s="6" t="s">
        <v>622</v>
      </c>
    </row>
    <row r="1802" spans="1:2" x14ac:dyDescent="0.3">
      <c r="A1802" s="22" t="e">
        <f>YEAR(Table1[[#This Row],[Order Date]])</f>
        <v>#VALUE!</v>
      </c>
      <c r="B1802" s="5" t="s">
        <v>444</v>
      </c>
    </row>
    <row r="1803" spans="1:2" x14ac:dyDescent="0.3">
      <c r="A1803" s="23" t="e">
        <f>YEAR(Table1[[#This Row],[Order Date]])</f>
        <v>#VALUE!</v>
      </c>
      <c r="B1803" s="6" t="s">
        <v>837</v>
      </c>
    </row>
    <row r="1804" spans="1:2" x14ac:dyDescent="0.3">
      <c r="A1804" s="22" t="e">
        <f>YEAR(Table1[[#This Row],[Order Date]])</f>
        <v>#VALUE!</v>
      </c>
      <c r="B1804" s="5" t="s">
        <v>2056</v>
      </c>
    </row>
    <row r="1805" spans="1:2" x14ac:dyDescent="0.3">
      <c r="A1805" s="23" t="e">
        <f>YEAR(Table1[[#This Row],[Order Date]])</f>
        <v>#VALUE!</v>
      </c>
      <c r="B1805" s="6" t="s">
        <v>271</v>
      </c>
    </row>
    <row r="1806" spans="1:2" x14ac:dyDescent="0.3">
      <c r="A1806" s="22" t="e">
        <f>YEAR(Table1[[#This Row],[Order Date]])</f>
        <v>#VALUE!</v>
      </c>
      <c r="B1806" s="5" t="s">
        <v>1195</v>
      </c>
    </row>
    <row r="1807" spans="1:2" x14ac:dyDescent="0.3">
      <c r="A1807" s="23" t="e">
        <f>YEAR(Table1[[#This Row],[Order Date]])</f>
        <v>#VALUE!</v>
      </c>
      <c r="B1807" s="6" t="s">
        <v>1813</v>
      </c>
    </row>
    <row r="1808" spans="1:2" x14ac:dyDescent="0.3">
      <c r="A1808" s="22" t="e">
        <f>YEAR(Table1[[#This Row],[Order Date]])</f>
        <v>#VALUE!</v>
      </c>
      <c r="B1808" s="5" t="s">
        <v>1312</v>
      </c>
    </row>
    <row r="1809" spans="1:2" x14ac:dyDescent="0.3">
      <c r="A1809" s="23" t="e">
        <f>YEAR(Table1[[#This Row],[Order Date]])</f>
        <v>#VALUE!</v>
      </c>
      <c r="B1809" s="6" t="s">
        <v>1119</v>
      </c>
    </row>
    <row r="1810" spans="1:2" x14ac:dyDescent="0.3">
      <c r="A1810" s="22" t="e">
        <f>YEAR(Table1[[#This Row],[Order Date]])</f>
        <v>#VALUE!</v>
      </c>
      <c r="B1810" s="5" t="s">
        <v>90</v>
      </c>
    </row>
    <row r="1811" spans="1:2" x14ac:dyDescent="0.3">
      <c r="A1811" s="23" t="e">
        <f>YEAR(Table1[[#This Row],[Order Date]])</f>
        <v>#VALUE!</v>
      </c>
      <c r="B1811" s="6" t="s">
        <v>1587</v>
      </c>
    </row>
    <row r="1812" spans="1:2" x14ac:dyDescent="0.3">
      <c r="A1812" s="22" t="e">
        <f>YEAR(Table1[[#This Row],[Order Date]])</f>
        <v>#VALUE!</v>
      </c>
      <c r="B1812" s="5" t="s">
        <v>1526</v>
      </c>
    </row>
    <row r="1813" spans="1:2" x14ac:dyDescent="0.3">
      <c r="A1813" s="23" t="e">
        <f>YEAR(Table1[[#This Row],[Order Date]])</f>
        <v>#VALUE!</v>
      </c>
      <c r="B1813" s="6" t="s">
        <v>484</v>
      </c>
    </row>
    <row r="1814" spans="1:2" x14ac:dyDescent="0.3">
      <c r="A1814" s="22" t="e">
        <f>YEAR(Table1[[#This Row],[Order Date]])</f>
        <v>#VALUE!</v>
      </c>
      <c r="B1814" s="5" t="s">
        <v>238</v>
      </c>
    </row>
    <row r="1815" spans="1:2" x14ac:dyDescent="0.3">
      <c r="A1815" s="23" t="e">
        <f>YEAR(Table1[[#This Row],[Order Date]])</f>
        <v>#VALUE!</v>
      </c>
      <c r="B1815" s="6" t="s">
        <v>783</v>
      </c>
    </row>
    <row r="1816" spans="1:2" x14ac:dyDescent="0.3">
      <c r="A1816" s="22" t="e">
        <f>YEAR(Table1[[#This Row],[Order Date]])</f>
        <v>#VALUE!</v>
      </c>
      <c r="B1816" s="5" t="s">
        <v>1838</v>
      </c>
    </row>
    <row r="1817" spans="1:2" x14ac:dyDescent="0.3">
      <c r="A1817" s="23" t="e">
        <f>YEAR(Table1[[#This Row],[Order Date]])</f>
        <v>#VALUE!</v>
      </c>
      <c r="B1817" s="6" t="s">
        <v>774</v>
      </c>
    </row>
    <row r="1818" spans="1:2" x14ac:dyDescent="0.3">
      <c r="A1818" s="22" t="e">
        <f>YEAR(Table1[[#This Row],[Order Date]])</f>
        <v>#VALUE!</v>
      </c>
      <c r="B1818" s="5" t="s">
        <v>672</v>
      </c>
    </row>
    <row r="1819" spans="1:2" x14ac:dyDescent="0.3">
      <c r="A1819" s="23" t="e">
        <f>YEAR(Table1[[#This Row],[Order Date]])</f>
        <v>#VALUE!</v>
      </c>
      <c r="B1819" s="6" t="s">
        <v>1615</v>
      </c>
    </row>
    <row r="1820" spans="1:2" x14ac:dyDescent="0.3">
      <c r="A1820" s="22" t="e">
        <f>YEAR(Table1[[#This Row],[Order Date]])</f>
        <v>#VALUE!</v>
      </c>
      <c r="B1820" s="5" t="s">
        <v>1149</v>
      </c>
    </row>
    <row r="1821" spans="1:2" x14ac:dyDescent="0.3">
      <c r="A1821" s="23" t="e">
        <f>YEAR(Table1[[#This Row],[Order Date]])</f>
        <v>#VALUE!</v>
      </c>
      <c r="B1821" s="6" t="s">
        <v>1628</v>
      </c>
    </row>
    <row r="1822" spans="1:2" x14ac:dyDescent="0.3">
      <c r="A1822" s="22" t="e">
        <f>YEAR(Table1[[#This Row],[Order Date]])</f>
        <v>#VALUE!</v>
      </c>
      <c r="B1822" s="5" t="s">
        <v>1301</v>
      </c>
    </row>
    <row r="1823" spans="1:2" x14ac:dyDescent="0.3">
      <c r="A1823" s="23" t="e">
        <f>YEAR(Table1[[#This Row],[Order Date]])</f>
        <v>#VALUE!</v>
      </c>
      <c r="B1823" s="6" t="s">
        <v>2611</v>
      </c>
    </row>
    <row r="1824" spans="1:2" x14ac:dyDescent="0.3">
      <c r="A1824" s="22" t="e">
        <f>YEAR(Table1[[#This Row],[Order Date]])</f>
        <v>#VALUE!</v>
      </c>
      <c r="B1824" s="5" t="s">
        <v>2011</v>
      </c>
    </row>
    <row r="1825" spans="1:2" x14ac:dyDescent="0.3">
      <c r="A1825" s="23" t="e">
        <f>YEAR(Table1[[#This Row],[Order Date]])</f>
        <v>#VALUE!</v>
      </c>
      <c r="B1825" s="6" t="s">
        <v>1235</v>
      </c>
    </row>
    <row r="1826" spans="1:2" x14ac:dyDescent="0.3">
      <c r="A1826" s="22" t="e">
        <f>YEAR(Table1[[#This Row],[Order Date]])</f>
        <v>#VALUE!</v>
      </c>
      <c r="B1826" s="5" t="s">
        <v>1423</v>
      </c>
    </row>
    <row r="1827" spans="1:2" x14ac:dyDescent="0.3">
      <c r="A1827" s="23" t="e">
        <f>YEAR(Table1[[#This Row],[Order Date]])</f>
        <v>#VALUE!</v>
      </c>
      <c r="B1827" s="6" t="s">
        <v>383</v>
      </c>
    </row>
    <row r="1828" spans="1:2" x14ac:dyDescent="0.3">
      <c r="A1828" s="22" t="e">
        <f>YEAR(Table1[[#This Row],[Order Date]])</f>
        <v>#VALUE!</v>
      </c>
      <c r="B1828" s="5" t="s">
        <v>380</v>
      </c>
    </row>
    <row r="1829" spans="1:2" x14ac:dyDescent="0.3">
      <c r="A1829" s="23" t="e">
        <f>YEAR(Table1[[#This Row],[Order Date]])</f>
        <v>#VALUE!</v>
      </c>
      <c r="B1829" s="6" t="s">
        <v>979</v>
      </c>
    </row>
    <row r="1830" spans="1:2" x14ac:dyDescent="0.3">
      <c r="A1830" s="22" t="e">
        <f>YEAR(Table1[[#This Row],[Order Date]])</f>
        <v>#VALUE!</v>
      </c>
      <c r="B1830" s="5" t="s">
        <v>395</v>
      </c>
    </row>
    <row r="1831" spans="1:2" x14ac:dyDescent="0.3">
      <c r="A1831" s="23" t="e">
        <f>YEAR(Table1[[#This Row],[Order Date]])</f>
        <v>#VALUE!</v>
      </c>
      <c r="B1831" s="6" t="s">
        <v>729</v>
      </c>
    </row>
    <row r="1832" spans="1:2" x14ac:dyDescent="0.3">
      <c r="A1832" s="22" t="e">
        <f>YEAR(Table1[[#This Row],[Order Date]])</f>
        <v>#VALUE!</v>
      </c>
      <c r="B1832" s="5" t="s">
        <v>2161</v>
      </c>
    </row>
    <row r="1833" spans="1:2" x14ac:dyDescent="0.3">
      <c r="A1833" s="23" t="e">
        <f>YEAR(Table1[[#This Row],[Order Date]])</f>
        <v>#VALUE!</v>
      </c>
      <c r="B1833" s="6" t="s">
        <v>694</v>
      </c>
    </row>
    <row r="1834" spans="1:2" x14ac:dyDescent="0.3">
      <c r="A1834" s="22" t="e">
        <f>YEAR(Table1[[#This Row],[Order Date]])</f>
        <v>#VALUE!</v>
      </c>
      <c r="B1834" s="5" t="s">
        <v>554</v>
      </c>
    </row>
    <row r="1835" spans="1:2" x14ac:dyDescent="0.3">
      <c r="A1835" s="23" t="e">
        <f>YEAR(Table1[[#This Row],[Order Date]])</f>
        <v>#VALUE!</v>
      </c>
      <c r="B1835" s="6" t="s">
        <v>715</v>
      </c>
    </row>
    <row r="1836" spans="1:2" x14ac:dyDescent="0.3">
      <c r="A1836" s="22" t="e">
        <f>YEAR(Table1[[#This Row],[Order Date]])</f>
        <v>#VALUE!</v>
      </c>
      <c r="B1836" s="5" t="s">
        <v>1918</v>
      </c>
    </row>
    <row r="1837" spans="1:2" x14ac:dyDescent="0.3">
      <c r="A1837" s="23" t="e">
        <f>YEAR(Table1[[#This Row],[Order Date]])</f>
        <v>#VALUE!</v>
      </c>
      <c r="B1837" s="6" t="s">
        <v>1155</v>
      </c>
    </row>
    <row r="1838" spans="1:2" x14ac:dyDescent="0.3">
      <c r="A1838" s="22" t="e">
        <f>YEAR(Table1[[#This Row],[Order Date]])</f>
        <v>#VALUE!</v>
      </c>
      <c r="B1838" s="5" t="s">
        <v>1695</v>
      </c>
    </row>
    <row r="1839" spans="1:2" x14ac:dyDescent="0.3">
      <c r="A1839" s="23" t="e">
        <f>YEAR(Table1[[#This Row],[Order Date]])</f>
        <v>#VALUE!</v>
      </c>
      <c r="B1839" s="6" t="s">
        <v>1540</v>
      </c>
    </row>
    <row r="1840" spans="1:2" x14ac:dyDescent="0.3">
      <c r="A1840" s="22" t="e">
        <f>YEAR(Table1[[#This Row],[Order Date]])</f>
        <v>#VALUE!</v>
      </c>
      <c r="B1840" s="5" t="s">
        <v>615</v>
      </c>
    </row>
    <row r="1841" spans="1:2" x14ac:dyDescent="0.3">
      <c r="A1841" s="23" t="e">
        <f>YEAR(Table1[[#This Row],[Order Date]])</f>
        <v>#VALUE!</v>
      </c>
      <c r="B1841" s="6" t="s">
        <v>1165</v>
      </c>
    </row>
    <row r="1842" spans="1:2" x14ac:dyDescent="0.3">
      <c r="A1842" s="22" t="e">
        <f>YEAR(Table1[[#This Row],[Order Date]])</f>
        <v>#VALUE!</v>
      </c>
      <c r="B1842" s="5" t="s">
        <v>1020</v>
      </c>
    </row>
    <row r="1843" spans="1:2" x14ac:dyDescent="0.3">
      <c r="A1843" s="23" t="e">
        <f>YEAR(Table1[[#This Row],[Order Date]])</f>
        <v>#VALUE!</v>
      </c>
      <c r="B1843" s="6" t="s">
        <v>662</v>
      </c>
    </row>
    <row r="1844" spans="1:2" x14ac:dyDescent="0.3">
      <c r="A1844" s="22" t="e">
        <f>YEAR(Table1[[#This Row],[Order Date]])</f>
        <v>#VALUE!</v>
      </c>
      <c r="B1844" s="5" t="s">
        <v>1398</v>
      </c>
    </row>
    <row r="1845" spans="1:2" x14ac:dyDescent="0.3">
      <c r="A1845" s="23" t="e">
        <f>YEAR(Table1[[#This Row],[Order Date]])</f>
        <v>#VALUE!</v>
      </c>
      <c r="B1845" s="6" t="s">
        <v>2654</v>
      </c>
    </row>
    <row r="1846" spans="1:2" x14ac:dyDescent="0.3">
      <c r="A1846" s="22" t="e">
        <f>YEAR(Table1[[#This Row],[Order Date]])</f>
        <v>#VALUE!</v>
      </c>
      <c r="B1846" s="5" t="s">
        <v>2184</v>
      </c>
    </row>
    <row r="1847" spans="1:2" x14ac:dyDescent="0.3">
      <c r="A1847" s="23" t="e">
        <f>YEAR(Table1[[#This Row],[Order Date]])</f>
        <v>#VALUE!</v>
      </c>
      <c r="B1847" s="6" t="s">
        <v>2044</v>
      </c>
    </row>
    <row r="1848" spans="1:2" x14ac:dyDescent="0.3">
      <c r="A1848" s="22" t="e">
        <f>YEAR(Table1[[#This Row],[Order Date]])</f>
        <v>#VALUE!</v>
      </c>
      <c r="B1848" s="5" t="s">
        <v>1301</v>
      </c>
    </row>
    <row r="1849" spans="1:2" x14ac:dyDescent="0.3">
      <c r="A1849" s="23" t="e">
        <f>YEAR(Table1[[#This Row],[Order Date]])</f>
        <v>#VALUE!</v>
      </c>
      <c r="B1849" s="6" t="s">
        <v>196</v>
      </c>
    </row>
    <row r="1850" spans="1:2" x14ac:dyDescent="0.3">
      <c r="A1850" s="22" t="e">
        <f>YEAR(Table1[[#This Row],[Order Date]])</f>
        <v>#VALUE!</v>
      </c>
      <c r="B1850" s="5" t="s">
        <v>1580</v>
      </c>
    </row>
    <row r="1851" spans="1:2" x14ac:dyDescent="0.3">
      <c r="A1851" s="23" t="e">
        <f>YEAR(Table1[[#This Row],[Order Date]])</f>
        <v>#VALUE!</v>
      </c>
      <c r="B1851" s="6" t="s">
        <v>2101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51A3C-10AD-4625-906C-59F01F47D518}">
  <dimension ref="A1"/>
  <sheetViews>
    <sheetView showGridLines="0" showRowColHeaders="0" tabSelected="1" zoomScale="88" workbookViewId="0">
      <selection activeCell="AA8" sqref="AA8"/>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40D25-6469-4534-B087-7DDC09BB724D}">
  <dimension ref="A3:E21"/>
  <sheetViews>
    <sheetView workbookViewId="0">
      <selection activeCell="D4" sqref="D4:E20"/>
    </sheetView>
  </sheetViews>
  <sheetFormatPr defaultRowHeight="14.4" x14ac:dyDescent="0.3"/>
  <cols>
    <col min="1" max="1" width="12.44140625" customWidth="1"/>
    <col min="2" max="2" width="11.5546875" customWidth="1"/>
    <col min="5" max="5" width="11.109375" customWidth="1"/>
  </cols>
  <sheetData>
    <row r="3" spans="1:5" x14ac:dyDescent="0.3">
      <c r="A3" s="19" t="s">
        <v>2745</v>
      </c>
      <c r="B3" t="s">
        <v>2747</v>
      </c>
    </row>
    <row r="4" spans="1:5" x14ac:dyDescent="0.3">
      <c r="A4" s="3" t="s">
        <v>293</v>
      </c>
      <c r="B4" s="20">
        <v>72591.23000000001</v>
      </c>
      <c r="D4" t="str">
        <f>A4</f>
        <v>Machines</v>
      </c>
      <c r="E4" s="7">
        <f>B4</f>
        <v>72591.23000000001</v>
      </c>
    </row>
    <row r="5" spans="1:5" x14ac:dyDescent="0.3">
      <c r="A5" s="3" t="s">
        <v>40</v>
      </c>
      <c r="B5" s="20">
        <v>58100.92000000002</v>
      </c>
      <c r="D5" t="str">
        <f t="shared" ref="D5:D20" si="0">A5</f>
        <v>Phones</v>
      </c>
      <c r="E5" s="7">
        <f t="shared" ref="E5:E20" si="1">B5</f>
        <v>58100.92000000002</v>
      </c>
    </row>
    <row r="6" spans="1:5" x14ac:dyDescent="0.3">
      <c r="A6" s="3" t="s">
        <v>35</v>
      </c>
      <c r="B6" s="20">
        <v>45756.109999999993</v>
      </c>
      <c r="D6" t="str">
        <f t="shared" si="0"/>
        <v>Chairs</v>
      </c>
      <c r="E6" s="7">
        <f t="shared" si="1"/>
        <v>45756.109999999993</v>
      </c>
    </row>
    <row r="7" spans="1:5" x14ac:dyDescent="0.3">
      <c r="A7" s="3" t="s">
        <v>140</v>
      </c>
      <c r="B7" s="20">
        <v>39655.360000000001</v>
      </c>
      <c r="D7" t="str">
        <f t="shared" si="0"/>
        <v>Tables</v>
      </c>
      <c r="E7" s="7">
        <f t="shared" si="1"/>
        <v>39655.360000000001</v>
      </c>
    </row>
    <row r="8" spans="1:5" x14ac:dyDescent="0.3">
      <c r="A8" s="3" t="s">
        <v>52</v>
      </c>
      <c r="B8" s="20">
        <v>32722.370000000003</v>
      </c>
      <c r="D8" t="str">
        <f t="shared" si="0"/>
        <v>Accessories</v>
      </c>
      <c r="E8" s="7">
        <f t="shared" si="1"/>
        <v>32722.370000000003</v>
      </c>
    </row>
    <row r="9" spans="1:5" x14ac:dyDescent="0.3">
      <c r="A9" s="3" t="s">
        <v>18</v>
      </c>
      <c r="B9" s="20">
        <v>31647.149999999983</v>
      </c>
      <c r="D9" t="str">
        <f t="shared" si="0"/>
        <v>Storage</v>
      </c>
      <c r="E9" s="7">
        <f t="shared" si="1"/>
        <v>31647.149999999983</v>
      </c>
    </row>
    <row r="10" spans="1:5" x14ac:dyDescent="0.3">
      <c r="A10" s="3" t="s">
        <v>590</v>
      </c>
      <c r="B10" s="20">
        <v>27479.73</v>
      </c>
      <c r="D10" t="str">
        <f t="shared" si="0"/>
        <v>Copiers</v>
      </c>
      <c r="E10" s="7">
        <f t="shared" si="1"/>
        <v>27479.73</v>
      </c>
    </row>
    <row r="11" spans="1:5" x14ac:dyDescent="0.3">
      <c r="A11" s="3" t="s">
        <v>20</v>
      </c>
      <c r="B11" s="20">
        <v>26106.309999999994</v>
      </c>
      <c r="D11" t="str">
        <f t="shared" si="0"/>
        <v>Binders</v>
      </c>
      <c r="E11" s="7">
        <f t="shared" si="1"/>
        <v>26106.309999999994</v>
      </c>
    </row>
    <row r="12" spans="1:5" x14ac:dyDescent="0.3">
      <c r="A12" s="3" t="s">
        <v>74</v>
      </c>
      <c r="B12" s="20">
        <v>21253.859999999997</v>
      </c>
      <c r="D12" t="str">
        <f t="shared" si="0"/>
        <v>Bookcases</v>
      </c>
      <c r="E12" s="7">
        <f t="shared" si="1"/>
        <v>21253.859999999997</v>
      </c>
    </row>
    <row r="13" spans="1:5" x14ac:dyDescent="0.3">
      <c r="A13" s="3" t="s">
        <v>92</v>
      </c>
      <c r="B13" s="20">
        <v>17007.199999999997</v>
      </c>
      <c r="D13" t="str">
        <f t="shared" si="0"/>
        <v>Appliances</v>
      </c>
      <c r="E13" s="7">
        <f t="shared" si="1"/>
        <v>17007.199999999997</v>
      </c>
    </row>
    <row r="14" spans="1:5" x14ac:dyDescent="0.3">
      <c r="A14" s="3" t="s">
        <v>47</v>
      </c>
      <c r="B14" s="20">
        <v>14836.109999999993</v>
      </c>
      <c r="D14" t="str">
        <f t="shared" si="0"/>
        <v>Furnishings</v>
      </c>
      <c r="E14" s="7">
        <f t="shared" si="1"/>
        <v>14836.109999999993</v>
      </c>
    </row>
    <row r="15" spans="1:5" x14ac:dyDescent="0.3">
      <c r="A15" s="3" t="s">
        <v>12</v>
      </c>
      <c r="B15" s="20">
        <v>11683.990000000003</v>
      </c>
      <c r="D15" t="str">
        <f t="shared" si="0"/>
        <v>Paper</v>
      </c>
      <c r="E15" s="7">
        <f t="shared" si="1"/>
        <v>11683.990000000003</v>
      </c>
    </row>
    <row r="16" spans="1:5" x14ac:dyDescent="0.3">
      <c r="A16" s="3" t="s">
        <v>194</v>
      </c>
      <c r="B16" s="20">
        <v>10052.980000000001</v>
      </c>
      <c r="D16" t="str">
        <f t="shared" si="0"/>
        <v>Supplies</v>
      </c>
      <c r="E16" s="7">
        <f t="shared" si="1"/>
        <v>10052.980000000001</v>
      </c>
    </row>
    <row r="17" spans="1:5" x14ac:dyDescent="0.3">
      <c r="A17" s="3" t="s">
        <v>24</v>
      </c>
      <c r="B17" s="20">
        <v>5458.8299999999981</v>
      </c>
      <c r="D17" t="str">
        <f t="shared" si="0"/>
        <v>Art</v>
      </c>
      <c r="E17" s="7">
        <f t="shared" si="1"/>
        <v>5458.8299999999981</v>
      </c>
    </row>
    <row r="18" spans="1:5" x14ac:dyDescent="0.3">
      <c r="A18" s="3" t="s">
        <v>63</v>
      </c>
      <c r="B18" s="20">
        <v>2924.9500000000003</v>
      </c>
      <c r="D18" t="str">
        <f t="shared" si="0"/>
        <v>Envelopes</v>
      </c>
      <c r="E18" s="7">
        <f t="shared" si="1"/>
        <v>2924.9500000000003</v>
      </c>
    </row>
    <row r="19" spans="1:5" x14ac:dyDescent="0.3">
      <c r="A19" s="3" t="s">
        <v>16</v>
      </c>
      <c r="B19" s="20">
        <v>1815.5899999999995</v>
      </c>
      <c r="D19" t="str">
        <f t="shared" si="0"/>
        <v>Labels</v>
      </c>
      <c r="E19" s="7">
        <f t="shared" si="1"/>
        <v>1815.5899999999995</v>
      </c>
    </row>
    <row r="20" spans="1:5" x14ac:dyDescent="0.3">
      <c r="A20" s="3" t="s">
        <v>43</v>
      </c>
      <c r="B20" s="20">
        <v>301.90000000000009</v>
      </c>
      <c r="D20" t="str">
        <f t="shared" si="0"/>
        <v>Fasteners</v>
      </c>
      <c r="E20" s="7">
        <f t="shared" si="1"/>
        <v>301.90000000000009</v>
      </c>
    </row>
    <row r="21" spans="1:5" x14ac:dyDescent="0.3">
      <c r="A21" s="3" t="s">
        <v>2746</v>
      </c>
      <c r="B21" s="20">
        <v>419394.58999999997</v>
      </c>
      <c r="E21" s="7"/>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PROFIT GAINED</vt:lpstr>
      <vt:lpstr>MONTHLY  SALES</vt:lpstr>
      <vt:lpstr>TOP 5 CUSTOMERS</vt:lpstr>
      <vt:lpstr>SALES BY STATE</vt:lpstr>
      <vt:lpstr>sales data</vt:lpstr>
      <vt:lpstr>Sheet7</vt:lpstr>
      <vt:lpstr>Sheet8</vt:lpstr>
      <vt:lpstr>SALES BY CATEGORY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ronit bhatia</dc:creator>
  <cp:lastModifiedBy>ronit bhatia</cp:lastModifiedBy>
  <dcterms:created xsi:type="dcterms:W3CDTF">2024-10-28T13:37:56Z</dcterms:created>
  <dcterms:modified xsi:type="dcterms:W3CDTF">2024-11-07T05:39:21Z</dcterms:modified>
</cp:coreProperties>
</file>